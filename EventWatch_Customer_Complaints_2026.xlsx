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9</v>
                </pt>
                <pt idx="2">
                  <v>13</v>
                </pt>
                <pt idx="3">
                  <v>12</v>
                </pt>
                <pt idx="4">
                  <v>17</v>
                </pt>
                <pt idx="5">
                  <v>9</v>
                </pt>
                <pt idx="6">
                  <v>7</v>
                </pt>
                <pt idx="7">
                  <v>15</v>
                </pt>
                <pt idx="8">
                  <v>7</v>
                </pt>
                <pt idx="9">
                  <v>0</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0</v>
                </pt>
                <pt idx="2">
                  <v>1</v>
                </pt>
                <pt idx="3">
                  <v>1</v>
                </pt>
                <pt idx="4">
                  <v>1</v>
                </pt>
                <pt idx="5">
                  <v>3</v>
                </pt>
                <pt idx="6">
                  <v>4</v>
                </pt>
                <pt idx="7">
                  <v>2</v>
                </pt>
                <pt idx="8">
                  <v>6</v>
                </pt>
                <pt idx="9">
                  <v>0</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44</v>
                </pt>
                <pt idx="1">
                  <v>29</v>
                </pt>
                <pt idx="2">
                  <v>18</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4</v>
                </pt>
                <pt idx="2">
                  <v>96</v>
                </pt>
                <pt idx="3">
                  <v>11</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53</v>
                </pt>
                <pt idx="1">
                  <v>33</v>
                </pt>
                <pt idx="2">
                  <v>7</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Ford/GM</v>
                </pt>
                <pt idx="6">
                  <v>Hitachi</v>
                </pt>
                <pt idx="7">
                  <v>Merck</v>
                </pt>
                <pt idx="8">
                  <v>Schneider Electric</v>
                </pt>
                <pt idx="9">
                  <v>UVM Health Network</v>
                </pt>
                <pt idx="10">
                  <v>Other customers</v>
                </pt>
              </strCache>
            </strRef>
          </cat>
          <val>
            <numRef>
              <f>Dashboard!$B$67:$B$77</f>
              <numCache>
                <formatCode>General</formatCode>
                <ptCount val="11"/>
                <pt idx="0">
                  <v>33</v>
                </pt>
                <pt idx="1">
                  <v>13</v>
                </pt>
                <pt idx="2">
                  <v>7</v>
                </pt>
                <pt idx="3">
                  <v>4</v>
                </pt>
                <pt idx="4">
                  <v>4</v>
                </pt>
                <pt idx="5">
                  <v>3</v>
                </pt>
                <pt idx="6">
                  <v>2</v>
                </pt>
                <pt idx="7">
                  <v>2</v>
                </pt>
                <pt idx="8">
                  <v>2</v>
                </pt>
                <pt idx="9">
                  <v>2</v>
                </pt>
                <pt idx="10">
                  <v>21</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Dashboard!$E$67:$E$75</f>
              <strCache>
                <ptCount val="9"/>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strCache>
            </strRef>
          </cat>
          <val>
            <numRef>
              <f>Dashboard!$F$67:$F$75</f>
              <numCache>
                <formatCode>General</formatCode>
                <ptCount val="9"/>
                <pt idx="0">
                  <v>27</v>
                </pt>
                <pt idx="1">
                  <v>33</v>
                </pt>
                <pt idx="2">
                  <v>3</v>
                </pt>
                <pt idx="3">
                  <v>7</v>
                </pt>
                <pt idx="4">
                  <v>7</v>
                </pt>
                <pt idx="5">
                  <v>5</v>
                </pt>
                <pt idx="6">
                  <v>2</v>
                </pt>
                <pt idx="7">
                  <v>2</v>
                </pt>
                <pt idx="8">
                  <v>7</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12"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51"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12"/>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Dynamic Source Discovery</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Event Identification</t>
        </is>
      </c>
      <c r="K4" s="33" t="inlineStr">
        <is>
          <t>Improvement</t>
        </is>
      </c>
      <c r="L4" s="33" t="inlineStr">
        <is>
          <t>Fixed</t>
        </is>
      </c>
      <c r="M4" s="33" t="inlineStr">
        <is>
          <t>Customer link ingestion</t>
        </is>
      </c>
      <c r="N4" s="33" t="inlineStr">
        <is>
          <t>No</t>
        </is>
      </c>
      <c r="O4" s="33" t="inlineStr">
        <is>
          <t>Feed harvesting gap; WarRoom created after escalation.</t>
        </is>
      </c>
      <c r="P4" s="33" t="n"/>
      <c r="Q4" s="33" t="inlineStr">
        <is>
          <t>Yes</t>
        </is>
      </c>
      <c r="R4" s="39" t="n">
        <v>1</v>
      </c>
      <c r="S4" s="39" t="n"/>
      <c r="T4" s="35" t="n">
        <v>46023</v>
      </c>
      <c r="U4" s="33" t="inlineStr">
        <is>
          <t>Medium</t>
        </is>
      </c>
      <c r="V4" s="33" t="inlineStr">
        <is>
          <t>Other Control Automation</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n"/>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Event Identification</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Product</t>
        </is>
      </c>
      <c r="J11" s="33" t="inlineStr">
        <is>
          <t>Review</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t>
        </is>
      </c>
      <c r="P11" s="33" t="n"/>
      <c r="Q11" s="33" t="inlineStr">
        <is>
          <t>Yes</t>
        </is>
      </c>
      <c r="R11" s="39" t="n">
        <v>2</v>
      </c>
      <c r="S11" s="39" t="n"/>
      <c r="T11" s="35" t="n">
        <v>46054</v>
      </c>
      <c r="U11" s="33" t="inlineStr">
        <is>
          <t>Medium</t>
        </is>
      </c>
      <c r="V11" s="33" t="inlineStr">
        <is>
          <t>WarRoom &amp; Decision Validation</t>
        </is>
      </c>
      <c r="X11" s="33" t="n"/>
      <c r="Y11" s="33" t="inlineStr">
        <is>
          <t>Product &amp; Platform</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Complaint</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n"/>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Inquiry</t>
        </is>
      </c>
      <c r="H17" s="33" t="inlineStr">
        <is>
          <t>Event not triggered / not notified</t>
        </is>
      </c>
      <c r="I17" s="33" t="inlineStr">
        <is>
          <t>Product</t>
        </is>
      </c>
      <c r="J17" s="33" t="inlineStr">
        <is>
          <t>Mapping</t>
        </is>
      </c>
      <c r="K17" s="33" t="inlineStr">
        <is>
          <t>Improvement</t>
        </is>
      </c>
      <c r="L17" s="33" t="inlineStr">
        <is>
          <t>Clarification Provided</t>
        </is>
      </c>
      <c r="M17" s="33" t="inlineStr">
        <is>
          <t>Customer-facing "not mapped" explanation template + What-If guidance</t>
        </is>
      </c>
      <c r="N17" s="33" t="inlineStr">
        <is>
          <t>No</t>
        </is>
      </c>
      <c r="O17" s="33" t="inlineStr">
        <is>
          <t>Event not triggered due to company not mapped as Ford supplier; explanation provided.</t>
        </is>
      </c>
      <c r="P17" s="33" t="n"/>
      <c r="Q17" s="33" t="inlineStr">
        <is>
          <t>Yes</t>
        </is>
      </c>
      <c r="R17" s="39" t="n">
        <v>3</v>
      </c>
      <c r="S17" s="39" t="n"/>
      <c r="T17" s="35" t="n">
        <v>46082</v>
      </c>
      <c r="U17" s="33" t="inlineStr">
        <is>
          <t>Medium</t>
        </is>
      </c>
      <c r="V17" s="33" t="inlineStr">
        <is>
          <t>Entity &amp; Supplier Resolution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Complaint</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Review</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Improvement</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Complaint</t>
        </is>
      </c>
      <c r="H24" s="33" t="inlineStr">
        <is>
          <t>SEC notification not captured/provided on time</t>
        </is>
      </c>
      <c r="I24" s="33" t="inlineStr">
        <is>
          <t>People</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t>
        </is>
      </c>
      <c r="P24" s="33" t="n"/>
      <c r="Q24" s="33" t="inlineStr">
        <is>
          <t>Yes</t>
        </is>
      </c>
      <c r="R24" s="39" t="n">
        <v>3</v>
      </c>
      <c r="S24" s="39" t="n"/>
      <c r="T24" s="35" t="n">
        <v>46082</v>
      </c>
      <c r="U24" s="33" t="inlineStr">
        <is>
          <t>Medium</t>
        </is>
      </c>
      <c r="V24" s="33" t="inlineStr">
        <is>
          <t>Dynamic Source Discovery</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Event Identification</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t>
        </is>
      </c>
      <c r="P26" s="33" t="n"/>
      <c r="Q26" s="33" t="inlineStr">
        <is>
          <t>Yes</t>
        </is>
      </c>
      <c r="R26" s="39" t="n">
        <v>3</v>
      </c>
      <c r="S26" s="39" t="n"/>
      <c r="T26" s="35" t="n">
        <v>46082</v>
      </c>
      <c r="U26" s="33" t="inlineStr">
        <is>
          <t>Medium</t>
        </is>
      </c>
      <c r="V26" s="33" t="inlineStr">
        <is>
          <t>WarRoom &amp; Decision Validation</t>
        </is>
      </c>
      <c r="X26" s="33" t="n"/>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n"/>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Prioritization</t>
        </is>
      </c>
      <c r="K29" s="33" t="inlineStr">
        <is>
          <t>Improvement</t>
        </is>
      </c>
      <c r="L29" s="33" t="inlineStr">
        <is>
          <t>Fixed</t>
        </is>
      </c>
      <c r="M29" s="33" t="inlineStr">
        <is>
          <t>Source coverage expansion</t>
        </is>
      </c>
      <c r="N29" s="33" t="inlineStr">
        <is>
          <t>Yes</t>
        </is>
      </c>
      <c r="O29" s="33" t="inlineStr">
        <is>
          <t>25-day delay flagged by customer; blocked source + misclassification. Retraining completed.</t>
        </is>
      </c>
      <c r="P29" s="33" t="inlineStr">
        <is>
          <t>25 days</t>
        </is>
      </c>
      <c r="Q29" s="33" t="inlineStr">
        <is>
          <t>Yes</t>
        </is>
      </c>
      <c r="R29" s="39" t="n">
        <v>4</v>
      </c>
      <c r="S29" s="39" t="n">
        <v>600</v>
      </c>
      <c r="T29" s="35" t="n">
        <v>46113</v>
      </c>
      <c r="U29" s="33" t="inlineStr">
        <is>
          <t>Medium</t>
        </is>
      </c>
      <c r="V29" s="33" t="inlineStr">
        <is>
          <t>Dynamic Source Discovery</t>
        </is>
      </c>
      <c r="X29" s="33" t="n"/>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Mapping</t>
        </is>
      </c>
      <c r="K31" s="33" t="inlineStr">
        <is>
          <t>Improvement</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Event Identification</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Event Identification</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Event Identification</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Event Identification</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Event Identification</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Complaint</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Event Identification</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Event Identification</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Process</t>
        </is>
      </c>
      <c r="J41" s="33" t="inlineStr">
        <is>
          <t>Captured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n"/>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Event Identification</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Complaint</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Coverage Verification Request</t>
        </is>
      </c>
      <c r="I48" s="33" t="inlineStr">
        <is>
          <t>Process</t>
        </is>
      </c>
      <c r="J48" s="33" t="inlineStr">
        <is>
          <t>Process Clarification</t>
        </is>
      </c>
      <c r="K48" s="33" t="inlineStr">
        <is>
          <t>Improvement</t>
        </is>
      </c>
      <c r="L48" s="33" t="inlineStr">
        <is>
          <t>Clarification Provided</t>
        </is>
      </c>
      <c r="M48" s="33" t="inlineStr">
        <is>
          <t>Relevancy logic review</t>
        </is>
      </c>
      <c r="N48" s="33" t="inlineStr">
        <is>
          <t>Yes</t>
        </is>
      </c>
      <c r="O48" s="33" t="inlineStr">
        <is>
          <t>Customer asked RCA for Axios npm compromise; classified not relevant based on mapping + no operational disruption.</t>
        </is>
      </c>
      <c r="P48" s="33" t="n"/>
      <c r="Q48" s="33" t="inlineStr">
        <is>
          <t>No</t>
        </is>
      </c>
      <c r="R48" s="39" t="n">
        <v>5</v>
      </c>
      <c r="S48" s="39" t="n"/>
      <c r="T48" s="35" t="n">
        <v>46143</v>
      </c>
      <c r="U48" s="33" t="inlineStr">
        <is>
          <t>Medium</t>
        </is>
      </c>
      <c r="V48" s="33" t="inlineStr">
        <is>
          <t>Other Control Automation</t>
        </is>
      </c>
      <c r="X48" s="33" t="n"/>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Process Clarification</t>
        </is>
      </c>
      <c r="K52" s="33" t="inlineStr">
        <is>
          <t>Improvement</t>
        </is>
      </c>
      <c r="L52" s="33" t="inlineStr">
        <is>
          <t>Clarification Provided</t>
        </is>
      </c>
      <c r="M52" s="33" t="inlineStr">
        <is>
          <t>Mapping validation</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Entity &amp; Supplier Resolution</t>
        </is>
      </c>
      <c r="X52" s="33" t="n"/>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Event Identification</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t>
        </is>
      </c>
      <c r="P54" s="33" t="n"/>
      <c r="Q54" s="33" t="inlineStr">
        <is>
          <t>Yes</t>
        </is>
      </c>
      <c r="R54" s="39" t="n">
        <v>5</v>
      </c>
      <c r="S54" s="39" t="n"/>
      <c r="T54" s="35" t="n">
        <v>46143</v>
      </c>
      <c r="U54" s="33" t="inlineStr">
        <is>
          <t>Medium</t>
        </is>
      </c>
      <c r="V54" s="33" t="inlineStr">
        <is>
          <t>AI-Assisted Geofencing</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Prioritization</t>
        </is>
      </c>
      <c r="K55" s="33" t="inlineStr">
        <is>
          <t>Improvement</t>
        </is>
      </c>
      <c r="L55" s="33" t="inlineStr">
        <is>
          <t>Fixed</t>
        </is>
      </c>
      <c r="M55" s="33" t="inlineStr">
        <is>
          <t>Mapping validation</t>
        </is>
      </c>
      <c r="N55" s="33" t="inlineStr">
        <is>
          <t>Yes</t>
        </is>
      </c>
      <c r="O55" s="33" t="inlineStr">
        <is>
          <t>Supplier mapped but WarRoom delayed ~9 days; internal notes mention erosion of trust. RCA requested.</t>
        </is>
      </c>
      <c r="P55" s="33" t="inlineStr">
        <is>
          <t>~9 days (May 11 → May 20)</t>
        </is>
      </c>
      <c r="Q55" s="33" t="inlineStr">
        <is>
          <t>Yes</t>
        </is>
      </c>
      <c r="R55" s="39" t="n">
        <v>5</v>
      </c>
      <c r="S55" s="39" t="n">
        <v>216</v>
      </c>
      <c r="T55" s="35" t="n">
        <v>46143</v>
      </c>
      <c r="U55" s="33" t="inlineStr">
        <is>
          <t>Medium</t>
        </is>
      </c>
      <c r="V55" s="33" t="inlineStr">
        <is>
          <t>Entity &amp; Supplier Resolution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Prioritization</t>
        </is>
      </c>
      <c r="K56" s="33" t="inlineStr">
        <is>
          <t>Improvement</t>
        </is>
      </c>
      <c r="L56" s="33" t="inlineStr">
        <is>
          <t>Clarification Provided</t>
        </is>
      </c>
      <c r="M56" s="33" t="inlineStr">
        <is>
          <t>Escalation automation</t>
        </is>
      </c>
      <c r="N56" s="33" t="inlineStr">
        <is>
          <t>Yes</t>
        </is>
      </c>
      <c r="O56" s="33" t="inlineStr">
        <is>
          <t>Fire started May 18 11am; WarRoom created May 19 9:30am (~22.5 hr delay). Investigation pending.</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People</t>
        </is>
      </c>
      <c r="J57" s="33" t="inlineStr">
        <is>
          <t>Prioritization</t>
        </is>
      </c>
      <c r="K57" s="33" t="inlineStr">
        <is>
          <t>Improvement</t>
        </is>
      </c>
      <c r="L57" s="33" t="inlineStr">
        <is>
          <t>Clarification Provided</t>
        </is>
      </c>
      <c r="M57" s="33" t="inlineStr">
        <is>
          <t>Escalation automation</t>
        </is>
      </c>
      <c r="N57" s="33" t="inlineStr">
        <is>
          <t>Yes</t>
        </is>
      </c>
      <c r="O57" s="33" t="inlineStr">
        <is>
          <t>Fire started May 19 11am; WarRoom created next day ~8am (~21 hr delay). Investigation pending.</t>
        </is>
      </c>
      <c r="P57" s="33" t="inlineStr">
        <is>
          <t>~21 hours</t>
        </is>
      </c>
      <c r="Q57" s="33" t="inlineStr">
        <is>
          <t>Yes</t>
        </is>
      </c>
      <c r="R57" s="39" t="n">
        <v>5</v>
      </c>
      <c r="S57" s="39" t="n">
        <v>21</v>
      </c>
      <c r="T57" s="35" t="n">
        <v>46143</v>
      </c>
      <c r="U57" s="33" t="inlineStr">
        <is>
          <t>Medium</t>
        </is>
      </c>
      <c r="V57" s="33" t="inlineStr">
        <is>
          <t>WarRoom &amp; Decision Validation</t>
        </is>
      </c>
      <c r="X57" s="33" t="n"/>
      <c r="Y57" s="33" t="inlineStr">
        <is>
          <t>EventWatch Ops - Nitin Rindhe</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46174</v>
      </c>
      <c r="B60" s="37" t="n">
        <v>46176</v>
      </c>
      <c r="C60" s="33" t="inlineStr">
        <is>
          <t>Bankruptcy</t>
        </is>
      </c>
      <c r="D60" s="33" t="inlineStr">
        <is>
          <t>Ford</t>
        </is>
      </c>
      <c r="E60" s="39" t="n">
        <v>1</v>
      </c>
      <c r="F60" s="33" t="inlineStr">
        <is>
          <t>CROMTRYCK s.r.o. Insolvency (Czech Republic)</t>
        </is>
      </c>
      <c r="G60" s="33" t="inlineStr">
        <is>
          <t>Complaint</t>
        </is>
      </c>
      <c r="H60" s="33" t="inlineStr">
        <is>
          <t>Missed Event</t>
        </is>
      </c>
      <c r="I60" s="33" t="inlineStr">
        <is>
          <t>Product</t>
        </is>
      </c>
      <c r="J60" s="33" t="inlineStr">
        <is>
          <t>Source Coverage</t>
        </is>
      </c>
      <c r="K60" s="33" t="inlineStr">
        <is>
          <t>Improvement</t>
        </is>
      </c>
      <c r="L60" s="33" t="inlineStr">
        <is>
          <t>Fixed</t>
        </is>
      </c>
      <c r="M60" s="33" t="inlineStr">
        <is>
          <t>Dynamic Source Discovery</t>
        </is>
      </c>
      <c r="N60" s="33" t="inlineStr">
        <is>
          <t>Yes</t>
        </is>
      </c>
      <c r="O60" s="33" t="inlineStr">
        <is>
          <t>Missed insolvency event due to regional insolvency source coverage limitations and restricted/paywalled source visibility. Vendor source expansion requested.</t>
        </is>
      </c>
      <c r="P60" s="33" t="n"/>
      <c r="Q60" s="33" t="inlineStr">
        <is>
          <t>Yes</t>
        </is>
      </c>
      <c r="R60" s="39" t="n">
        <v>6</v>
      </c>
      <c r="S60" s="39" t="n"/>
      <c r="T60" s="35" t="n">
        <v>46174</v>
      </c>
      <c r="U60" s="33" t="inlineStr">
        <is>
          <t>Medium</t>
        </is>
      </c>
      <c r="V60" s="33" t="inlineStr">
        <is>
          <t>Dynamic Source Discovery</t>
        </is>
      </c>
      <c r="X60" s="33" t="n"/>
      <c r="Y60" s="33" t="inlineStr">
        <is>
          <t>Product &amp; Platform</t>
        </is>
      </c>
      <c r="Z60" s="37" t="n"/>
    </row>
    <row r="61">
      <c r="A61" s="35" t="n">
        <v>46174</v>
      </c>
      <c r="B61" s="37" t="n">
        <v>46177</v>
      </c>
      <c r="C61" s="33" t="inlineStr">
        <is>
          <t>Protest/Riot</t>
        </is>
      </c>
      <c r="D61" s="34" t="inlineStr">
        <is>
          <t>Ford</t>
        </is>
      </c>
      <c r="E61" s="39" t="n">
        <v>1</v>
      </c>
      <c r="F61" s="33" t="inlineStr">
        <is>
          <t>ANTAC Transport Blockades in Mexico</t>
        </is>
      </c>
      <c r="G61" s="33" t="inlineStr">
        <is>
          <t>Complaint</t>
        </is>
      </c>
      <c r="H61" s="33" t="inlineStr">
        <is>
          <t>Missed Event</t>
        </is>
      </c>
      <c r="I61" s="33" t="inlineStr">
        <is>
          <t>Product</t>
        </is>
      </c>
      <c r="J61" s="33" t="inlineStr">
        <is>
          <t>Keyword Update</t>
        </is>
      </c>
      <c r="K61" s="33" t="inlineStr">
        <is>
          <t>Improvement</t>
        </is>
      </c>
      <c r="L61" s="33" t="inlineStr">
        <is>
          <t>RCA Shared</t>
        </is>
      </c>
      <c r="M61" s="33" t="inlineStr">
        <is>
          <t>Dynamic Source Discovery</t>
        </is>
      </c>
      <c r="N61" s="33" t="inlineStr">
        <is>
          <t>Yes</t>
        </is>
      </c>
      <c r="O61" s="33" t="inlineStr">
        <is>
          <t>RCA completed; keyword gap identified and corrective actions implemented. Spanish-language detection logic did not recognize transportation disruption and protest terminology. Relevant keywords were added.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46178</v>
      </c>
      <c r="C62" s="33" t="inlineStr">
        <is>
          <t>Factory Disruption</t>
        </is>
      </c>
      <c r="D62" s="33" t="inlineStr">
        <is>
          <t>Eaton</t>
        </is>
      </c>
      <c r="E62" s="39" t="n">
        <v>1</v>
      </c>
      <c r="F62" s="33" t="inlineStr">
        <is>
          <t>Burnstein von Seelen Precision Casting Operational Disruption</t>
        </is>
      </c>
      <c r="G62" s="33" t="inlineStr">
        <is>
          <t>Complaint</t>
        </is>
      </c>
      <c r="H62" s="33" t="inlineStr">
        <is>
          <t>Missed Event</t>
        </is>
      </c>
      <c r="I62" s="33" t="inlineStr">
        <is>
          <t>People</t>
        </is>
      </c>
      <c r="J62" s="33" t="inlineStr">
        <is>
          <t>Review</t>
        </is>
      </c>
      <c r="K62" s="33" t="inlineStr">
        <is>
          <t>Improvement</t>
        </is>
      </c>
      <c r="L62" s="33" t="inlineStr">
        <is>
          <t>RCA Shared</t>
        </is>
      </c>
      <c r="M62" s="33" t="inlineStr">
        <is>
          <t>Supplier-aware escalation model + Not Impactful override validation</t>
        </is>
      </c>
      <c r="N62" s="33" t="inlineStr">
        <is>
          <t>Yes</t>
        </is>
      </c>
      <c r="O62" s="33" t="inlineStr">
        <is>
          <t>RCA shared; analyst classified event as Not Impactful. Event was successfully received and reviewed but incorrectly classified and therefore not escalated.</t>
        </is>
      </c>
      <c r="P62" s="33" t="n"/>
      <c r="Q62" s="33" t="inlineStr">
        <is>
          <t>Yes</t>
        </is>
      </c>
      <c r="R62" s="39" t="n">
        <v>6</v>
      </c>
      <c r="S62" s="39" t="n"/>
      <c r="T62" s="35" t="n">
        <v>46174</v>
      </c>
      <c r="U62" s="33" t="inlineStr">
        <is>
          <t>Medium</t>
        </is>
      </c>
      <c r="V62" s="33" t="inlineStr">
        <is>
          <t>WarRoom &amp; Decision Validation</t>
        </is>
      </c>
      <c r="W62" s="33" t="inlineStr">
        <is>
          <t>EAO-1</t>
        </is>
      </c>
      <c r="X62"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2" s="33" t="inlineStr">
        <is>
          <t>EventWatch Ops - Nitin Rindhe</t>
        </is>
      </c>
      <c r="Z62" s="37" t="n">
        <v>46181</v>
      </c>
    </row>
    <row r="63">
      <c r="A63" s="35" t="n">
        <v>46174</v>
      </c>
      <c r="B63" s="37" t="n">
        <v>46183</v>
      </c>
      <c r="C63" s="33" t="inlineStr">
        <is>
          <t>Merger &amp; Acquisition</t>
        </is>
      </c>
      <c r="D63" s="33" t="inlineStr">
        <is>
          <t>Ford</t>
        </is>
      </c>
      <c r="E63" s="39" t="n">
        <v>1</v>
      </c>
      <c r="F63" s="33" t="inlineStr">
        <is>
          <t>Credit Suisse / UBS Acquisition Alert Missing from EventWatch News Dashboard (Ford)</t>
        </is>
      </c>
      <c r="G63" s="33" t="inlineStr">
        <is>
          <t>Complaint</t>
        </is>
      </c>
      <c r="H63" s="33" t="inlineStr">
        <is>
          <t>News dashboard visibility gap</t>
        </is>
      </c>
      <c r="I63" s="33" t="inlineStr">
        <is>
          <t>Product</t>
        </is>
      </c>
      <c r="J63" s="33" t="inlineStr">
        <is>
          <t>Visibility</t>
        </is>
      </c>
      <c r="K63" s="33" t="inlineStr">
        <is>
          <t>Improvement</t>
        </is>
      </c>
      <c r="L63" s="33" t="inlineStr">
        <is>
          <t>Fixed</t>
        </is>
      </c>
      <c r="M63" s="33" t="inlineStr">
        <is>
          <t>Parity checking between Global Search and the EventWatch News Dashboard so a published alert cannot be findable in one and absent from the other</t>
        </is>
      </c>
      <c r="N63" s="33" t="inlineStr">
        <is>
          <t>No</t>
        </is>
      </c>
      <c r="O63"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3" s="33" t="n"/>
      <c r="Q63" s="33" t="inlineStr">
        <is>
          <t>No</t>
        </is>
      </c>
      <c r="R63" s="39" t="n">
        <v>6</v>
      </c>
      <c r="S63" s="39" t="n"/>
      <c r="T63" s="35" t="inlineStr">
        <is>
          <t>Jun 2026</t>
        </is>
      </c>
      <c r="U63" s="33" t="inlineStr">
        <is>
          <t>Medium</t>
        </is>
      </c>
      <c r="V63" s="33" t="inlineStr">
        <is>
          <t>Notification Visibility Monitoring</t>
        </is>
      </c>
      <c r="W63" s="33" t="inlineStr">
        <is>
          <t>CAN-3377</t>
        </is>
      </c>
      <c r="X63" s="33" t="n"/>
      <c r="Y63" s="33" t="inlineStr">
        <is>
          <t>Product &amp; Platform</t>
        </is>
      </c>
      <c r="Z63" s="37" t="n"/>
    </row>
    <row r="64">
      <c r="A64" s="35" t="n">
        <v>46174</v>
      </c>
      <c r="B64" s="37" t="n">
        <v>46188</v>
      </c>
      <c r="C64" s="33" t="inlineStr">
        <is>
          <t>Chemical Spill</t>
        </is>
      </c>
      <c r="D64" s="33" t="inlineStr">
        <is>
          <t>Eaton</t>
        </is>
      </c>
      <c r="E64" s="39" t="n">
        <v>1</v>
      </c>
      <c r="F64" s="33" t="inlineStr">
        <is>
          <t>CO₂ Leak at Schaeffler India Plant, Pune</t>
        </is>
      </c>
      <c r="G64" s="33" t="inlineStr">
        <is>
          <t>Complaint</t>
        </is>
      </c>
      <c r="H64" s="33" t="inlineStr">
        <is>
          <t>Missed Event</t>
        </is>
      </c>
      <c r="I64" s="33" t="inlineStr">
        <is>
          <t>Product</t>
        </is>
      </c>
      <c r="J64" s="33" t="inlineStr">
        <is>
          <t>Event Identification</t>
        </is>
      </c>
      <c r="K64" s="33" t="inlineStr">
        <is>
          <t>Improvement</t>
        </is>
      </c>
      <c r="L64" s="33" t="inlineStr">
        <is>
          <t>RCA Shared</t>
        </is>
      </c>
      <c r="M64" s="33" t="inlineStr">
        <is>
          <t>Hazardous gas leak detection + mapped supplier escalation model</t>
        </is>
      </c>
      <c r="N64" s="33" t="inlineStr">
        <is>
          <t>Yes</t>
        </is>
      </c>
      <c r="O64" s="33" t="inlineStr">
        <is>
          <t>RCA document prepared and shared with customer. Customer reported missing EventWatch coverage related to a CO₂ leak involving fatalities at a mapped supplier facility.</t>
        </is>
      </c>
      <c r="P64" s="33" t="n"/>
      <c r="Q64" s="33" t="inlineStr">
        <is>
          <t>Yes</t>
        </is>
      </c>
      <c r="R64" s="39" t="n">
        <v>6</v>
      </c>
      <c r="S64" s="39" t="n"/>
      <c r="T64" s="35" t="n">
        <v>46174</v>
      </c>
      <c r="U64" s="33" t="inlineStr">
        <is>
          <t>Medium</t>
        </is>
      </c>
      <c r="V64" s="33" t="inlineStr">
        <is>
          <t>WarRoom &amp; Decision Validation</t>
        </is>
      </c>
      <c r="W64" s="33" t="inlineStr">
        <is>
          <t>EAO-4</t>
        </is>
      </c>
      <c r="X64" s="33" t="inlineStr">
        <is>
          <t>RCA approved and sent to the customer on 15-Jun-2026 as a PDF attached to EAO-4; the document text is not in the ticket.</t>
        </is>
      </c>
      <c r="Y64" s="33" t="inlineStr">
        <is>
          <t>Product &amp; Platform</t>
        </is>
      </c>
      <c r="Z64" s="37" t="n">
        <v>46191</v>
      </c>
    </row>
    <row r="65">
      <c r="A65" s="35" t="n">
        <v>46174</v>
      </c>
      <c r="B65" s="37" t="n">
        <v>46188</v>
      </c>
      <c r="C65" s="33" t="inlineStr">
        <is>
          <t>Supply Shortage</t>
        </is>
      </c>
      <c r="D65" s="33" t="inlineStr">
        <is>
          <t>Belden Inc</t>
        </is>
      </c>
      <c r="E65" s="39" t="n">
        <v>1</v>
      </c>
      <c r="F65" s="33" t="inlineStr">
        <is>
          <t>MLCC Supply Chain Alert Related to AI Demand Growth</t>
        </is>
      </c>
      <c r="G65" s="33" t="inlineStr">
        <is>
          <t>Inquiry</t>
        </is>
      </c>
      <c r="H65" s="33" t="inlineStr">
        <is>
          <t>Coverage Verification Request</t>
        </is>
      </c>
      <c r="I65" s="33" t="inlineStr">
        <is>
          <t>Process</t>
        </is>
      </c>
      <c r="J65" s="33" t="inlineStr">
        <is>
          <t>Process Clarification</t>
        </is>
      </c>
      <c r="K65" s="33" t="inlineStr">
        <is>
          <t>Improvement</t>
        </is>
      </c>
      <c r="L65" s="33" t="inlineStr">
        <is>
          <t>Clarification Provided</t>
        </is>
      </c>
      <c r="M65" s="33" t="inlineStr">
        <is>
          <t>Forecast vs Event differentiation</t>
        </is>
      </c>
      <c r="N65" s="33" t="inlineStr">
        <is>
          <t>No</t>
        </is>
      </c>
      <c r="O65" s="33" t="inlineStr">
        <is>
          <t>Article was an investment and market outlook discussing future MLCC demand and did not meet EventWatch reporting thresholds.</t>
        </is>
      </c>
      <c r="P65" s="33" t="n"/>
      <c r="Q65" s="33" t="inlineStr">
        <is>
          <t>No</t>
        </is>
      </c>
      <c r="R65" s="39" t="n">
        <v>6</v>
      </c>
      <c r="S65" s="39" t="n"/>
      <c r="T65" s="35" t="n">
        <v>46174</v>
      </c>
      <c r="U65" s="33" t="inlineStr">
        <is>
          <t>Medium</t>
        </is>
      </c>
      <c r="V65" s="33" t="inlineStr">
        <is>
          <t>Other Control Automation</t>
        </is>
      </c>
      <c r="W65" s="33" t="inlineStr">
        <is>
          <t>EAO-8</t>
        </is>
      </c>
      <c r="X65" s="33" t="n"/>
      <c r="Y65" s="33" t="inlineStr">
        <is>
          <t>EventWatch Ops - Nitin Rindhe</t>
        </is>
      </c>
      <c r="Z65" s="37" t="n">
        <v>46202</v>
      </c>
    </row>
    <row r="66">
      <c r="A66" s="35" t="n">
        <v>46174</v>
      </c>
      <c r="B66" s="37" t="n">
        <v>46196</v>
      </c>
      <c r="C66" s="33" t="inlineStr">
        <is>
          <t>Merger &amp; Acquisition</t>
        </is>
      </c>
      <c r="D66" s="33" t="inlineStr">
        <is>
          <t>Caterpillar</t>
        </is>
      </c>
      <c r="E66" s="39" t="n">
        <v>1</v>
      </c>
      <c r="F66" s="33" t="inlineStr">
        <is>
          <t>Dana Incorporated to Merge with Eaton's Mobility Business</t>
        </is>
      </c>
      <c r="G66" s="33" t="inlineStr">
        <is>
          <t>Complaint</t>
        </is>
      </c>
      <c r="H66" s="33" t="inlineStr">
        <is>
          <t>Impacted Supplier Missing</t>
        </is>
      </c>
      <c r="I66" s="33" t="inlineStr">
        <is>
          <t>People</t>
        </is>
      </c>
      <c r="J66" s="33" t="inlineStr">
        <is>
          <t>Mapping</t>
        </is>
      </c>
      <c r="K66" s="33" t="inlineStr">
        <is>
          <t>Improvement</t>
        </is>
      </c>
      <c r="L66" s="33" t="inlineStr">
        <is>
          <t>RCA Shared</t>
        </is>
      </c>
      <c r="M66" s="33" t="inlineStr">
        <is>
          <t>Supplier relationship validation + impacted entity completeness checks</t>
        </is>
      </c>
      <c r="N66" s="33" t="inlineStr">
        <is>
          <t>Yes</t>
        </is>
      </c>
      <c r="O66" s="33" t="inlineStr">
        <is>
          <t>Customer-facing RCA requested and RCA document prepared. Dana Holding Corporation was not included in impacted supplier selection during initial WarRoom creation and was subsequently added.</t>
        </is>
      </c>
      <c r="P66" s="33" t="n"/>
      <c r="Q66" s="33" t="inlineStr">
        <is>
          <t>No</t>
        </is>
      </c>
      <c r="R66" s="39" t="n">
        <v>6</v>
      </c>
      <c r="S66" s="39" t="n"/>
      <c r="T66" s="35" t="n">
        <v>46174</v>
      </c>
      <c r="U66" s="33" t="inlineStr">
        <is>
          <t>Medium</t>
        </is>
      </c>
      <c r="V66" s="33" t="inlineStr">
        <is>
          <t>Entity &amp; Supplier Resolution</t>
        </is>
      </c>
      <c r="W66" s="33" t="inlineStr">
        <is>
          <t>EAO-6</t>
        </is>
      </c>
      <c r="X66"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6" s="33" t="inlineStr">
        <is>
          <t>EventWatch Ops - Nitin Rindhe</t>
        </is>
      </c>
      <c r="Z66" s="37" t="n">
        <v>46217</v>
      </c>
    </row>
    <row r="67">
      <c r="A67" s="35" t="n">
        <v>46174</v>
      </c>
      <c r="B67" s="37" t="n">
        <v>46196</v>
      </c>
      <c r="C67" s="33" t="inlineStr">
        <is>
          <t>Geopolitical</t>
        </is>
      </c>
      <c r="D67" s="33" t="inlineStr">
        <is>
          <t>Western Digital</t>
        </is>
      </c>
      <c r="E67" s="39" t="n">
        <v>1</v>
      </c>
      <c r="F67" s="33" t="inlineStr">
        <is>
          <t>Inquiry on Route Disruption – Sepone Bridge, Laos</t>
        </is>
      </c>
      <c r="G67" s="33" t="inlineStr">
        <is>
          <t>Inquiry</t>
        </is>
      </c>
      <c r="H67" s="33" t="inlineStr">
        <is>
          <t>Customer Requested Verification</t>
        </is>
      </c>
      <c r="I67" s="33" t="inlineStr">
        <is>
          <t>Process</t>
        </is>
      </c>
      <c r="J67" s="33" t="inlineStr">
        <is>
          <t>Process Clarification</t>
        </is>
      </c>
      <c r="K67" s="33" t="inlineStr">
        <is>
          <t>Improvement</t>
        </is>
      </c>
      <c r="L67" s="33" t="inlineStr">
        <is>
          <t>Clarification Provided</t>
        </is>
      </c>
      <c r="M67" s="33" t="inlineStr">
        <is>
          <t>Route-risk monitoring enhancement</t>
        </is>
      </c>
      <c r="N67" s="33" t="inlineStr">
        <is>
          <t>No</t>
        </is>
      </c>
      <c r="O67" s="33" t="inlineStr">
        <is>
          <t>Review of English and local-language sources did not identify any verified disruption, closure, or logistic impact.</t>
        </is>
      </c>
      <c r="P67" s="33" t="n"/>
      <c r="Q67" s="33" t="inlineStr">
        <is>
          <t>No</t>
        </is>
      </c>
      <c r="R67" s="39" t="n">
        <v>6</v>
      </c>
      <c r="S67" s="39" t="n"/>
      <c r="T67" s="35" t="n">
        <v>46174</v>
      </c>
      <c r="U67" s="33" t="inlineStr">
        <is>
          <t>Medium</t>
        </is>
      </c>
      <c r="V67" s="33" t="inlineStr">
        <is>
          <t>Other Control Automation</t>
        </is>
      </c>
      <c r="W67" s="33" t="inlineStr">
        <is>
          <t>EAO-7</t>
        </is>
      </c>
      <c r="X67" s="33" t="n"/>
      <c r="Y67" s="33" t="inlineStr">
        <is>
          <t>EventWatch Ops - Nitin Rindhe</t>
        </is>
      </c>
      <c r="Z67" s="37" t="n">
        <v>46198</v>
      </c>
    </row>
    <row r="68">
      <c r="A68" s="35" t="n">
        <v>46174</v>
      </c>
      <c r="B68" s="37" t="n">
        <v>46197</v>
      </c>
      <c r="C68" s="33" t="inlineStr">
        <is>
          <t>Cyber Attack</t>
        </is>
      </c>
      <c r="D68" s="33" t="inlineStr">
        <is>
          <t>Western Digital</t>
        </is>
      </c>
      <c r="E68" s="39" t="n">
        <v>1</v>
      </c>
      <c r="F68" s="33" t="inlineStr">
        <is>
          <t>Nidec Chaun Choung Technology Suffers Ransomware Attack</t>
        </is>
      </c>
      <c r="G68" s="33" t="inlineStr">
        <is>
          <t>Complaint</t>
        </is>
      </c>
      <c r="H68" s="33" t="inlineStr">
        <is>
          <t>Missed Event</t>
        </is>
      </c>
      <c r="I68" s="33" t="inlineStr">
        <is>
          <t>People</t>
        </is>
      </c>
      <c r="J68" s="33" t="inlineStr">
        <is>
          <t>Review</t>
        </is>
      </c>
      <c r="K68" s="33" t="inlineStr">
        <is>
          <t>Improvement</t>
        </is>
      </c>
      <c r="L68" s="33" t="inlineStr">
        <is>
          <t>RCA Shared</t>
        </is>
      </c>
      <c r="M68" s="33" t="inlineStr">
        <is>
          <t>Supplier-aware cyber incident escalation model</t>
        </is>
      </c>
      <c r="N68" s="33" t="inlineStr">
        <is>
          <t>Yes</t>
        </is>
      </c>
      <c r="O68" s="33" t="inlineStr">
        <is>
          <t>RCA prepared; analyst impact-assessment failure identified. Event was captured successfully but incorrectly assessed as Not Impactful during analyst review and therefore not escalated.</t>
        </is>
      </c>
      <c r="P68" s="33" t="n"/>
      <c r="Q68" s="33" t="inlineStr">
        <is>
          <t>Yes</t>
        </is>
      </c>
      <c r="R68" s="39" t="n">
        <v>6</v>
      </c>
      <c r="S68" s="39" t="n"/>
      <c r="T68" s="35" t="n">
        <v>46174</v>
      </c>
      <c r="U68" s="33" t="inlineStr">
        <is>
          <t>Medium</t>
        </is>
      </c>
      <c r="V68" s="33" t="inlineStr">
        <is>
          <t>WarRoom &amp; Decision Validation</t>
        </is>
      </c>
      <c r="W68" s="33" t="inlineStr">
        <is>
          <t>EAO-10</t>
        </is>
      </c>
      <c r="X68" s="33" t="inlineStr">
        <is>
          <t>RCA reviewed and sent to the customer as a PDF attached to EAO-10 (29-Jun-2026); the document text is not in the ticket.</t>
        </is>
      </c>
      <c r="Y68" s="33" t="inlineStr">
        <is>
          <t>EventWatch Ops - Nitin Rindhe</t>
        </is>
      </c>
      <c r="Z68" s="37" t="n">
        <v>46202</v>
      </c>
    </row>
    <row r="69">
      <c r="A69" s="35" t="n">
        <v>46174</v>
      </c>
      <c r="B69" s="37" t="n">
        <v>46198</v>
      </c>
      <c r="C69" s="33" t="inlineStr">
        <is>
          <t>Factory Fire</t>
        </is>
      </c>
      <c r="D69" s="33" t="inlineStr">
        <is>
          <t>Caterpillar</t>
        </is>
      </c>
      <c r="E69" s="39" t="n">
        <v>1</v>
      </c>
      <c r="F69" s="33" t="inlineStr">
        <is>
          <t>Fire at the Isselguss GmbH Facility in Isselburg, Germany</t>
        </is>
      </c>
      <c r="G69" s="33" t="inlineStr">
        <is>
          <t>Complaint</t>
        </is>
      </c>
      <c r="H69" s="33" t="inlineStr">
        <is>
          <t>Missed Event</t>
        </is>
      </c>
      <c r="I69" s="33" t="inlineStr">
        <is>
          <t>Product</t>
        </is>
      </c>
      <c r="J69" s="33" t="inlineStr">
        <is>
          <t>Event Identification</t>
        </is>
      </c>
      <c r="K69" s="33" t="inlineStr">
        <is>
          <t>Improvement</t>
        </is>
      </c>
      <c r="L69" s="33" t="inlineStr">
        <is>
          <t>RCA Shared</t>
        </is>
      </c>
      <c r="M69" s="33" t="inlineStr">
        <is>
          <t>Entity-location-aware clustering + cluster separation validation</t>
        </is>
      </c>
      <c r="N69" s="33" t="inlineStr">
        <is>
          <t>Yes</t>
        </is>
      </c>
      <c r="O69" s="33" t="inlineStr">
        <is>
          <t>RCA PDF prepared and approved for customer sharing. Event was captured by feeds but incorrectly clustered with another unrelated factory fire in Germany, preventing separate WarRoom creation.</t>
        </is>
      </c>
      <c r="P69" s="33" t="n"/>
      <c r="Q69" s="33" t="inlineStr">
        <is>
          <t>Yes</t>
        </is>
      </c>
      <c r="R69" s="39" t="n">
        <v>6</v>
      </c>
      <c r="S69" s="39" t="n"/>
      <c r="T69" s="35" t="n">
        <v>46174</v>
      </c>
      <c r="U69" s="33" t="inlineStr">
        <is>
          <t>Medium</t>
        </is>
      </c>
      <c r="V69" s="33" t="inlineStr">
        <is>
          <t>Entity &amp; Supplier Resolution</t>
        </is>
      </c>
      <c r="W69" s="33" t="inlineStr">
        <is>
          <t>EAO-9</t>
        </is>
      </c>
      <c r="X69" s="33" t="inlineStr">
        <is>
          <t>RCA approved and sent to the customer on 25-Jun-2026 as a PDF attached to EAO-9; the document text is not in the ticket. The WarRoom itself was published before the RCA was issued.</t>
        </is>
      </c>
      <c r="Y69" s="33" t="inlineStr">
        <is>
          <t>Product &amp; Platform</t>
        </is>
      </c>
      <c r="Z69" s="37" t="n">
        <v>46202</v>
      </c>
    </row>
    <row r="70">
      <c r="A70" s="35" t="n">
        <v>46174</v>
      </c>
      <c r="B70" s="37" t="n">
        <v>46199</v>
      </c>
      <c r="C70" s="33" t="inlineStr">
        <is>
          <t>Extreme Weather</t>
        </is>
      </c>
      <c r="D70" s="33" t="inlineStr">
        <is>
          <t>Woodward</t>
        </is>
      </c>
      <c r="E70" s="39" t="n">
        <v>1</v>
      </c>
      <c r="F70" s="33" t="inlineStr">
        <is>
          <t>Severe Storms Trigger Disruptions Across the Midwest USA – Geographic Misclassification</t>
        </is>
      </c>
      <c r="G70" s="33" t="inlineStr">
        <is>
          <t>Complaint</t>
        </is>
      </c>
      <c r="H70" s="33" t="inlineStr">
        <is>
          <t>Geographic Misclassification</t>
        </is>
      </c>
      <c r="I70" s="33" t="inlineStr">
        <is>
          <t>People</t>
        </is>
      </c>
      <c r="J70" s="33" t="inlineStr">
        <is>
          <t>Review</t>
        </is>
      </c>
      <c r="K70" s="33" t="inlineStr">
        <is>
          <t>Improvement</t>
        </is>
      </c>
      <c r="L70" s="33" t="inlineStr">
        <is>
          <t>Fixed</t>
        </is>
      </c>
      <c r="M70" s="33" t="inlineStr">
        <is>
          <t>Cluster integrity validation + geographic consistency checks</t>
        </is>
      </c>
      <c r="N70" s="33" t="inlineStr">
        <is>
          <t>Yes</t>
        </is>
      </c>
      <c r="O70" s="33" t="inlineStr">
        <is>
          <t>California sites were incorrectly included because two different events were merged into the same WarRoom.</t>
        </is>
      </c>
      <c r="P70" s="33" t="n"/>
      <c r="Q70" s="33" t="inlineStr">
        <is>
          <t>No</t>
        </is>
      </c>
      <c r="R70" s="39" t="n">
        <v>6</v>
      </c>
      <c r="S70" s="39" t="n"/>
      <c r="T70" s="35" t="n">
        <v>46174</v>
      </c>
      <c r="U70" s="33" t="inlineStr">
        <is>
          <t>Medium</t>
        </is>
      </c>
      <c r="V70" s="33" t="inlineStr">
        <is>
          <t>AI-Assisted Geofencing</t>
        </is>
      </c>
      <c r="W70" s="33" t="inlineStr">
        <is>
          <t>EAO-5</t>
        </is>
      </c>
      <c r="X70" s="33" t="n"/>
      <c r="Y70" s="33" t="inlineStr">
        <is>
          <t>EventWatch Ops - Nitin Rindhe</t>
        </is>
      </c>
      <c r="Z70" s="37" t="n"/>
    </row>
    <row r="71">
      <c r="A71" s="35" t="n">
        <v>46174</v>
      </c>
      <c r="B71" s="37" t="n">
        <v>46203</v>
      </c>
      <c r="C71" s="33" t="inlineStr">
        <is>
          <t>Factory Fire</t>
        </is>
      </c>
      <c r="D71" s="33" t="inlineStr">
        <is>
          <t>Caterpillar</t>
        </is>
      </c>
      <c r="E71" s="39" t="n">
        <v>1</v>
      </c>
      <c r="F71" s="33" t="inlineStr">
        <is>
          <t>Isselguss / Isselburg Foundry Naming Clarification</t>
        </is>
      </c>
      <c r="G71" s="33" t="inlineStr">
        <is>
          <t>Inquiry</t>
        </is>
      </c>
      <c r="H71" s="33" t="inlineStr">
        <is>
          <t>Customer Terminology Preference</t>
        </is>
      </c>
      <c r="I71" s="33" t="inlineStr">
        <is>
          <t>Process</t>
        </is>
      </c>
      <c r="J71" s="33" t="inlineStr">
        <is>
          <t>Process Clarification</t>
        </is>
      </c>
      <c r="K71" s="33" t="inlineStr">
        <is>
          <t>Improvement</t>
        </is>
      </c>
      <c r="L71" s="33" t="inlineStr">
        <is>
          <t>Clarification Provided</t>
        </is>
      </c>
      <c r="M71" s="33" t="inlineStr">
        <is>
          <t>Company alias management</t>
        </is>
      </c>
      <c r="N71" s="33" t="inlineStr">
        <is>
          <t>No</t>
        </is>
      </c>
      <c r="O71" s="33" t="inlineStr">
        <is>
          <t>Isselguss and Isselburg Foundry refer to the same facility. Title updated to align with customer terminology preference and not due to a reporting error.</t>
        </is>
      </c>
      <c r="P71" s="33" t="n"/>
      <c r="Q71" s="33" t="inlineStr">
        <is>
          <t>No</t>
        </is>
      </c>
      <c r="R71" s="39" t="n">
        <v>6</v>
      </c>
      <c r="S71" s="39" t="n"/>
      <c r="T71" s="35" t="n">
        <v>46174</v>
      </c>
      <c r="U71" s="33" t="inlineStr">
        <is>
          <t>Medium</t>
        </is>
      </c>
      <c r="V71" s="33" t="inlineStr">
        <is>
          <t>Entity &amp; Supplier Resolution</t>
        </is>
      </c>
      <c r="W71" s="33" t="inlineStr">
        <is>
          <t>EAO-11</t>
        </is>
      </c>
      <c r="X71" s="33" t="n"/>
      <c r="Y71" s="33" t="inlineStr">
        <is>
          <t>EventWatch Ops - Nitin Rindhe</t>
        </is>
      </c>
      <c r="Z71" s="37" t="n">
        <v>46204</v>
      </c>
    </row>
    <row r="72">
      <c r="A72" s="35" t="n">
        <v>46204</v>
      </c>
      <c r="B72" s="37" t="n">
        <v>46204</v>
      </c>
      <c r="C72" s="28" t="inlineStr">
        <is>
          <t>Labor Disruption</t>
        </is>
      </c>
      <c r="D72" s="33" t="inlineStr">
        <is>
          <t>Ford</t>
        </is>
      </c>
      <c r="E72" s="39" t="n">
        <v>1</v>
      </c>
      <c r="F72" s="33" t="inlineStr">
        <is>
          <t>BorgWarner Indefinite Strike – Vigo Metropolitan Area, Spain</t>
        </is>
      </c>
      <c r="G72" s="33" t="inlineStr">
        <is>
          <t>Complaint</t>
        </is>
      </c>
      <c r="H72" s="33" t="inlineStr">
        <is>
          <t>Missed Event</t>
        </is>
      </c>
      <c r="I72" s="33" t="inlineStr">
        <is>
          <t>Product</t>
        </is>
      </c>
      <c r="J72" s="33" t="inlineStr">
        <is>
          <t>Event Identification</t>
        </is>
      </c>
      <c r="K72" s="33" t="inlineStr">
        <is>
          <t>Improvement</t>
        </is>
      </c>
      <c r="L72" s="33" t="inlineStr">
        <is>
          <t>Clarification Provided</t>
        </is>
      </c>
      <c r="M72" s="33" t="inlineStr">
        <is>
          <t>Vendor-to-portal feed validation + cluster state integrity monitoring</t>
        </is>
      </c>
      <c r="N72" s="33" t="inlineStr">
        <is>
          <t>Yes</t>
        </is>
      </c>
      <c r="O72" s="33" t="inlineStr">
        <is>
          <t>Customer reported missed EventWatch notification for an indefinite strike at BorgWarner facilities in Zamáns, O Porriño, and Nigrán. CS investigation confirmed two previous strike notifications were successfully delivered to Ford, but no notification was generated for the July 1 event. Internal investigation notes indicate the articles were captured by the vendor and Spanish language algorithm but did not appear in the analyst portal. Engineering review referenced an inconsistent cluster state condition during the affected period.</t>
        </is>
      </c>
      <c r="P72" s="33" t="inlineStr">
        <is>
          <t>Yes</t>
        </is>
      </c>
      <c r="Q72" s="33" t="inlineStr">
        <is>
          <t>Yes</t>
        </is>
      </c>
      <c r="R72" s="39" t="n">
        <v>7</v>
      </c>
      <c r="S72" s="39" t="n"/>
      <c r="T72" s="35" t="n">
        <v>46204</v>
      </c>
      <c r="U72" s="33" t="inlineStr">
        <is>
          <t>Medium</t>
        </is>
      </c>
      <c r="V72" s="33" t="inlineStr">
        <is>
          <t>Dynamic Source Discovery</t>
        </is>
      </c>
      <c r="W72" s="33" t="inlineStr">
        <is>
          <t>EAO-12</t>
        </is>
      </c>
      <c r="X72" s="33" t="inlineStr">
        <is>
          <t>Feeds covering the BorgWarner Vigo indefinite strike were in the public domain from 26-Jun-2026 but were not captured on the portal until 1 July; Engineering was asked to investigate why the 26-27 June sources were missed. RCA approved and shared 09-Jul-2026.</t>
        </is>
      </c>
      <c r="Y72" s="33" t="inlineStr">
        <is>
          <t>Product &amp; Platform</t>
        </is>
      </c>
      <c r="Z72" s="37" t="n">
        <v>46216</v>
      </c>
    </row>
    <row r="73">
      <c r="A73" s="35" t="n">
        <v>46204</v>
      </c>
      <c r="B73" s="37" t="n">
        <v>46209</v>
      </c>
      <c r="C73" s="33" t="inlineStr">
        <is>
          <t>Factory Fire</t>
        </is>
      </c>
      <c r="D73" s="33" t="inlineStr">
        <is>
          <t>Ford</t>
        </is>
      </c>
      <c r="E73" s="39" t="n">
        <v>1</v>
      </c>
      <c r="F73" s="33" t="inlineStr">
        <is>
          <t>Fire at FXI Foam Manufacturing Plant in Cuautitlan, Mexico</t>
        </is>
      </c>
      <c r="G73" s="33" t="inlineStr">
        <is>
          <t>Complaint</t>
        </is>
      </c>
      <c r="H73" s="33" t="inlineStr">
        <is>
          <t>Missed Event</t>
        </is>
      </c>
      <c r="I73" s="33" t="inlineStr">
        <is>
          <t>People</t>
        </is>
      </c>
      <c r="J73" s="33" t="inlineStr">
        <is>
          <t>Event Identification</t>
        </is>
      </c>
      <c r="K73" s="33" t="inlineStr">
        <is>
          <t>Improvement</t>
        </is>
      </c>
      <c r="L73" s="33" t="inlineStr">
        <is>
          <t>Clarification Provided</t>
        </is>
      </c>
      <c r="M73" s="33" t="inlineStr">
        <is>
          <t>Supplier-aware factory fire escalation model + Not Impactful override validation</t>
        </is>
      </c>
      <c r="N73" s="33" t="inlineStr">
        <is>
          <t>Yes</t>
        </is>
      </c>
      <c r="O73" s="33" t="inlineStr">
        <is>
          <t>Customer reported fire at FXI (Tier 2 supplier) causing Force Majeure at Sage Automotive Interiors. No matching EventWatch notification/WarRoom found during investigation.</t>
        </is>
      </c>
      <c r="P73" s="33" t="n"/>
      <c r="Q73" s="33" t="inlineStr">
        <is>
          <t>Yes</t>
        </is>
      </c>
      <c r="R73" s="39" t="n">
        <v>7</v>
      </c>
      <c r="S73" s="39" t="n"/>
      <c r="T73" s="35" t="n">
        <v>46204</v>
      </c>
      <c r="U73" s="33" t="inlineStr">
        <is>
          <t>Medium</t>
        </is>
      </c>
      <c r="V73" s="33" t="inlineStr">
        <is>
          <t>WarRoom &amp; Decision Validation</t>
        </is>
      </c>
      <c r="W73" s="33" t="inlineStr">
        <is>
          <t>EAO-13</t>
        </is>
      </c>
      <c r="X73" s="33" t="n"/>
      <c r="Y73" s="33" t="inlineStr">
        <is>
          <t>EventWatch Ops - Nitin Rindhe</t>
        </is>
      </c>
      <c r="Z73" s="37" t="n">
        <v>46220</v>
      </c>
    </row>
    <row r="74">
      <c r="A74" s="35" t="n">
        <v>46204</v>
      </c>
      <c r="B74" s="37" t="n">
        <v>46211</v>
      </c>
      <c r="C74" s="33" t="inlineStr">
        <is>
          <t>Factory Fire</t>
        </is>
      </c>
      <c r="D74" s="33" t="inlineStr">
        <is>
          <t>Ford</t>
        </is>
      </c>
      <c r="E74" s="39" t="n">
        <v>1</v>
      </c>
      <c r="F74" s="33" t="inlineStr">
        <is>
          <t>New World International Co. Factory Fire, Thailand</t>
        </is>
      </c>
      <c r="G74" s="33" t="inlineStr">
        <is>
          <t>Complaint</t>
        </is>
      </c>
      <c r="H74" s="33" t="inlineStr">
        <is>
          <t>Missed Event</t>
        </is>
      </c>
      <c r="I74" s="33" t="inlineStr">
        <is>
          <t>People</t>
        </is>
      </c>
      <c r="J74" s="33" t="inlineStr">
        <is>
          <t>Review</t>
        </is>
      </c>
      <c r="K74" s="33" t="inlineStr">
        <is>
          <t>Improvement</t>
        </is>
      </c>
      <c r="L74" s="33" t="inlineStr">
        <is>
          <t>Clarification Provided</t>
        </is>
      </c>
      <c r="M74" s="33" t="inlineStr">
        <is>
          <t>Supplier-aware factory fire escalation model + Not Impactful override validation</t>
        </is>
      </c>
      <c r="N74" s="33" t="inlineStr">
        <is>
          <t>Yes</t>
        </is>
      </c>
      <c r="O74" s="33" t="inlineStr">
        <is>
          <t>Feeds were received and event was reportedly marked Not Impactful despite destruction of production/storage facility. Investigation ongoing.</t>
        </is>
      </c>
      <c r="P74" s="33" t="n"/>
      <c r="Q74" s="33" t="inlineStr">
        <is>
          <t>Yes</t>
        </is>
      </c>
      <c r="R74" s="39" t="n">
        <v>7</v>
      </c>
      <c r="S74" s="39" t="n"/>
      <c r="T74" s="35" t="n">
        <v>46204</v>
      </c>
      <c r="U74" s="33" t="inlineStr">
        <is>
          <t>Medium</t>
        </is>
      </c>
      <c r="V74" s="33" t="inlineStr">
        <is>
          <t>WarRoom &amp; Decision Validation</t>
        </is>
      </c>
      <c r="W74" s="33" t="inlineStr">
        <is>
          <t>EAO-14</t>
        </is>
      </c>
      <c r="X74" s="33" t="inlineStr">
        <is>
          <t>RCA approved and sent to the customer on 13-Jul-2026 as a PDF attached to EAO-14; the document text is not in the ticket.</t>
        </is>
      </c>
      <c r="Y74" s="33" t="inlineStr">
        <is>
          <t>EventWatch Ops - Nitin Rindhe</t>
        </is>
      </c>
      <c r="Z74" s="37" t="n">
        <v>46217</v>
      </c>
    </row>
    <row r="75">
      <c r="A75" s="35" t="n">
        <v>46204</v>
      </c>
      <c r="B75" s="37" t="n">
        <v>46211</v>
      </c>
      <c r="C75" s="33" t="inlineStr">
        <is>
          <t>Supply Shortage</t>
        </is>
      </c>
      <c r="D75" s="33" t="inlineStr">
        <is>
          <t>META</t>
        </is>
      </c>
      <c r="E75" s="39" t="n">
        <v>1</v>
      </c>
      <c r="F75" s="33" t="inlineStr">
        <is>
          <t>Samsung DRAM Price Increase Alert – WarRoom Not Created</t>
        </is>
      </c>
      <c r="G75" s="33" t="inlineStr">
        <is>
          <t>Inquiry</t>
        </is>
      </c>
      <c r="H75" s="33" t="inlineStr">
        <is>
          <t>Missed WarRoom</t>
        </is>
      </c>
      <c r="I75" s="33" t="inlineStr">
        <is>
          <t>Process</t>
        </is>
      </c>
      <c r="J75" s="33" t="inlineStr">
        <is>
          <t>WarRoom Creation</t>
        </is>
      </c>
      <c r="K75" s="33" t="inlineStr">
        <is>
          <t>Improvement</t>
        </is>
      </c>
      <c r="L75" s="33" t="inlineStr">
        <is>
          <t>Clarification Provided</t>
        </is>
      </c>
      <c r="M75" s="33" t="inlineStr">
        <is>
          <t>Site Selection Suggestion based on unnormalized supplier names</t>
        </is>
      </c>
      <c r="N75" s="33" t="inlineStr">
        <is>
          <t>Yes</t>
        </is>
      </c>
      <c r="O75" s="33" t="inlineStr">
        <is>
          <t>EventWatch alert published but corresponding WarRoom not created despite supplier normalization. Investigation ongoing.</t>
        </is>
      </c>
      <c r="P75" s="33" t="inlineStr">
        <is>
          <t>No</t>
        </is>
      </c>
      <c r="Q75" s="33" t="inlineStr">
        <is>
          <t>Yes</t>
        </is>
      </c>
      <c r="R75" s="39" t="n">
        <v>7</v>
      </c>
      <c r="S75" s="39" t="n"/>
      <c r="T75" s="35" t="n">
        <v>46204</v>
      </c>
      <c r="U75" s="33" t="inlineStr">
        <is>
          <t>Low</t>
        </is>
      </c>
      <c r="V75" s="33" t="inlineStr">
        <is>
          <t>Entity &amp; Supplier Resolution</t>
        </is>
      </c>
      <c r="W75" s="33" t="inlineStr">
        <is>
          <t>EAO-15</t>
        </is>
      </c>
      <c r="X75"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t>
        </is>
      </c>
      <c r="Y75" s="33" t="inlineStr">
        <is>
          <t>EventWatch Ops - Nitin Rindhe</t>
        </is>
      </c>
      <c r="Z75" s="37" t="n">
        <v>46220</v>
      </c>
    </row>
    <row r="76">
      <c r="A76" s="35" t="n">
        <v>46204</v>
      </c>
      <c r="B76" s="37" t="n">
        <v>46213</v>
      </c>
      <c r="C76" s="33" t="inlineStr">
        <is>
          <t>Hurricane/Typhoon</t>
        </is>
      </c>
      <c r="D76" s="33" t="inlineStr">
        <is>
          <t>Eaton</t>
        </is>
      </c>
      <c r="E76" s="39" t="n">
        <v>1</v>
      </c>
      <c r="F76" s="33" t="inlineStr">
        <is>
          <t>Super Typhoon Bavi WarRoom Timing Clarification (Taiwan)</t>
        </is>
      </c>
      <c r="G76" s="33" t="inlineStr">
        <is>
          <t>Inquiry</t>
        </is>
      </c>
      <c r="H76" s="33" t="inlineStr">
        <is>
          <t>WarRoom Timing/Trigger Criteria Clarification</t>
        </is>
      </c>
      <c r="I76" s="33" t="inlineStr">
        <is>
          <t>Process</t>
        </is>
      </c>
      <c r="J76" s="33" t="inlineStr">
        <is>
          <t>Process Clarification</t>
        </is>
      </c>
      <c r="K76" s="33" t="inlineStr">
        <is>
          <t>Improvement</t>
        </is>
      </c>
      <c r="L76" s="33" t="inlineStr">
        <is>
          <t>Clarification Provided</t>
        </is>
      </c>
      <c r="M76" s="33" t="inlineStr">
        <is>
          <t>WarRoom trigger-criteria explanation template for post-peak activations</t>
        </is>
      </c>
      <c r="N76" s="33" t="inlineStr">
        <is>
          <t>No</t>
        </is>
      </c>
      <c r="O76" s="33" t="inlineStr">
        <is>
          <t>Staged from Jira EAO-16 (Done). Eaton asked why the WarRoom for Super Typhoon Bavi (Taiwan) was activated on 9-Jul after the storm had already peaked, and what triggering criteria were used.</t>
        </is>
      </c>
      <c r="Q76" s="33" t="inlineStr">
        <is>
          <t>No</t>
        </is>
      </c>
      <c r="R76" s="39" t="n">
        <v>7</v>
      </c>
      <c r="T76" s="35" t="n">
        <v>46204</v>
      </c>
      <c r="U76" s="33" t="inlineStr">
        <is>
          <t>Low</t>
        </is>
      </c>
      <c r="V76" s="33" t="inlineStr">
        <is>
          <t>WarRoom &amp; Decision Validation</t>
        </is>
      </c>
      <c r="W76" s="33" t="inlineStr">
        <is>
          <t>EAO-16</t>
        </is>
      </c>
      <c r="X76"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6" s="33" t="inlineStr">
        <is>
          <t>EventWatch Ops - Nitin Rindhe</t>
        </is>
      </c>
      <c r="Z76" s="37" t="n">
        <v>46224</v>
      </c>
    </row>
    <row r="77">
      <c r="A77" s="35" t="n">
        <v>46204</v>
      </c>
      <c r="B77" s="37" t="n">
        <v>46213</v>
      </c>
      <c r="C77" s="33" t="inlineStr">
        <is>
          <t>Litigation/Legal</t>
        </is>
      </c>
      <c r="D77" s="33" t="inlineStr">
        <is>
          <t>Micron</t>
        </is>
      </c>
      <c r="E77" s="39" t="n">
        <v>1</v>
      </c>
      <c r="F77" s="33" t="inlineStr">
        <is>
          <t>Jacobs Engineering/CH2M Hill Forced Labor Lawsuit – Missed EventWatch Notification (Micron)</t>
        </is>
      </c>
      <c r="G77" s="33" t="inlineStr">
        <is>
          <t>Complaint</t>
        </is>
      </c>
      <c r="H77" s="33" t="inlineStr">
        <is>
          <t>Missed Event</t>
        </is>
      </c>
      <c r="I77" s="33" t="inlineStr">
        <is>
          <t>Product</t>
        </is>
      </c>
      <c r="J77" s="33" t="inlineStr">
        <is>
          <t>Source Coverage</t>
        </is>
      </c>
      <c r="K77" s="33" t="inlineStr">
        <is>
          <t>Improvement</t>
        </is>
      </c>
      <c r="L77" s="33" t="inlineStr">
        <is>
          <t>RCA Shared</t>
        </is>
      </c>
      <c r="M77" s="33" t="inlineStr">
        <is>
          <t>Legal/labor-litigation source coverage and entity-linking for supplier-adjacent lawsuits</t>
        </is>
      </c>
      <c r="N77" s="33" t="inlineStr">
        <is>
          <t>Yes</t>
        </is>
      </c>
      <c r="O77" s="33" t="inlineStr">
        <is>
          <t>Staged from Jira EAO-17 (Done). Micron reported a forced-labor lawsuit against Jacobs Engineering/CH2M Hill was not captured in EventWatch and requested RCA if it was in scope.</t>
        </is>
      </c>
      <c r="Q77" s="33" t="inlineStr">
        <is>
          <t>Yes</t>
        </is>
      </c>
      <c r="R77" s="39" t="n">
        <v>7</v>
      </c>
      <c r="T77" s="35" t="n">
        <v>46204</v>
      </c>
      <c r="U77" s="33" t="inlineStr">
        <is>
          <t>Medium</t>
        </is>
      </c>
      <c r="V77" s="33" t="inlineStr">
        <is>
          <t>Dynamic Source Discovery</t>
        </is>
      </c>
      <c r="W77" s="33" t="inlineStr">
        <is>
          <t>EAO-17</t>
        </is>
      </c>
      <c r="X77" s="33" t="inlineStr">
        <is>
          <t>RCA reviewed and sent to the customer on 14-Jul-2026 as a PDF attached to EAO-17; the document text is not in the ticket.</t>
        </is>
      </c>
      <c r="Y77" s="33" t="inlineStr">
        <is>
          <t>Product &amp; Platform</t>
        </is>
      </c>
      <c r="Z77" s="37" t="n">
        <v>46217</v>
      </c>
    </row>
    <row r="78">
      <c r="A78" s="35" t="n">
        <v>46204</v>
      </c>
      <c r="B78" s="37" t="n">
        <v>46216</v>
      </c>
      <c r="C78" s="33" t="inlineStr">
        <is>
          <t>Supply Shortage</t>
        </is>
      </c>
      <c r="D78" s="33" t="inlineStr">
        <is>
          <t>Western Digital</t>
        </is>
      </c>
      <c r="E78" s="39" t="n">
        <v>1</v>
      </c>
      <c r="F78" s="33" t="inlineStr">
        <is>
          <t>Suspension Baseplate Supply Risk Monitoring Request (Fujita Plating/NHK/OSK)</t>
        </is>
      </c>
      <c r="G78" s="33" t="inlineStr">
        <is>
          <t>Inquiry</t>
        </is>
      </c>
      <c r="H78" s="33" t="inlineStr">
        <is>
          <t>Coverage Verification Request</t>
        </is>
      </c>
      <c r="I78" s="33" t="inlineStr">
        <is>
          <t>Process</t>
        </is>
      </c>
      <c r="J78" s="33" t="inlineStr">
        <is>
          <t>Process Clarification</t>
        </is>
      </c>
      <c r="K78" s="33" t="inlineStr">
        <is>
          <t>Improvement</t>
        </is>
      </c>
      <c r="L78" s="33" t="inlineStr">
        <is>
          <t>Clarification Provided</t>
        </is>
      </c>
      <c r="M78" s="33" t="inlineStr">
        <is>
          <t>Supplier decommitment/capacity-risk monitoring for sub-tier component makers</t>
        </is>
      </c>
      <c r="N78" s="33" t="inlineStr">
        <is>
          <t>No</t>
        </is>
      </c>
      <c r="O78" s="33" t="inlineStr">
        <is>
          <t>Staged from Jira EAO-18 (Done). Western Digital asked whether EventWatch has published or is monitoring a reported Suspension Baseplate supply risk tied to Fujita Plating/NHK/OSK decommitments; CS found no matching event in the backend.</t>
        </is>
      </c>
      <c r="Q78" s="33" t="inlineStr">
        <is>
          <t>No</t>
        </is>
      </c>
      <c r="R78" s="39" t="n">
        <v>7</v>
      </c>
      <c r="T78" s="35" t="n">
        <v>46204</v>
      </c>
      <c r="U78" s="33" t="inlineStr">
        <is>
          <t>Low</t>
        </is>
      </c>
      <c r="V78" s="33" t="inlineStr">
        <is>
          <t>Other Control Automation</t>
        </is>
      </c>
      <c r="W78" s="33" t="inlineStr">
        <is>
          <t>EAO-18</t>
        </is>
      </c>
      <c r="X78" s="33" t="n"/>
      <c r="Y78" s="33" t="inlineStr">
        <is>
          <t>EventWatch Ops - Nitin Rindhe</t>
        </is>
      </c>
      <c r="Z78" s="37" t="n">
        <v>46224</v>
      </c>
    </row>
    <row r="79">
      <c r="A79" s="35" t="n">
        <v>46204</v>
      </c>
      <c r="B79" s="37" t="n">
        <v>46217</v>
      </c>
      <c r="C79" s="33" t="inlineStr">
        <is>
          <t>Power Outage</t>
        </is>
      </c>
      <c r="D79" s="33" t="inlineStr">
        <is>
          <t>Ford</t>
        </is>
      </c>
      <c r="E79" s="39" t="n">
        <v>1</v>
      </c>
      <c r="F79" s="33" t="inlineStr">
        <is>
          <t>RFI – Power Grid Failure Monitoring Strategy</t>
        </is>
      </c>
      <c r="G79" s="33" t="inlineStr">
        <is>
          <t>Inquiry</t>
        </is>
      </c>
      <c r="H79" s="33" t="inlineStr">
        <is>
          <t>Monitoring Strategy RFI</t>
        </is>
      </c>
      <c r="I79" s="33" t="inlineStr">
        <is>
          <t>Process</t>
        </is>
      </c>
      <c r="J79" s="33" t="inlineStr">
        <is>
          <t>Process Clarification</t>
        </is>
      </c>
      <c r="K79" s="33" t="inlineStr">
        <is>
          <t>Improvement</t>
        </is>
      </c>
      <c r="L79" s="33" t="inlineStr">
        <is>
          <t>Clarification Provided</t>
        </is>
      </c>
      <c r="M79" s="33" t="inlineStr">
        <is>
          <t>Published monitoring-scope documentation for power-grid/infrastructure failure events</t>
        </is>
      </c>
      <c r="N79" s="33" t="inlineStr">
        <is>
          <t>No</t>
        </is>
      </c>
      <c r="O79" s="33" t="inlineStr">
        <is>
          <t>Staged from Jira EAO-19 (Done). Ford requested an explanation of Resilinc's monitoring strategy for power grid failure events after multiple incidents affected suppliers in the US and Europe.</t>
        </is>
      </c>
      <c r="Q79" s="33" t="inlineStr">
        <is>
          <t>No</t>
        </is>
      </c>
      <c r="R79" s="39" t="n">
        <v>7</v>
      </c>
      <c r="T79" s="35" t="n">
        <v>46204</v>
      </c>
      <c r="U79" s="33" t="inlineStr">
        <is>
          <t>Low</t>
        </is>
      </c>
      <c r="V79" s="33" t="inlineStr">
        <is>
          <t>Other Control Automation</t>
        </is>
      </c>
      <c r="W79" s="33" t="inlineStr">
        <is>
          <t>EAO-19</t>
        </is>
      </c>
      <c r="X79"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79" s="33" t="inlineStr">
        <is>
          <t>EventWatch Ops - Nitin Rindhe</t>
        </is>
      </c>
      <c r="Z79" s="37" t="n">
        <v>46220</v>
      </c>
    </row>
    <row r="80">
      <c r="A80" s="35" t="n">
        <v>46204</v>
      </c>
      <c r="B80" s="37" t="n">
        <v>46220</v>
      </c>
      <c r="C80" s="33" t="inlineStr">
        <is>
          <t>Bankruptcy</t>
        </is>
      </c>
      <c r="D80" s="33" t="inlineStr">
        <is>
          <t>Honeywell</t>
        </is>
      </c>
      <c r="E80" s="39" t="n">
        <v>1</v>
      </c>
      <c r="F80" s="33" t="inlineStr">
        <is>
          <t>ASSMANN WSW Components GmbH Bankruptcy Filing – Missed Coverage (Honeywell Tier 1 Supplier)</t>
        </is>
      </c>
      <c r="G80" s="33" t="inlineStr">
        <is>
          <t>Complaint</t>
        </is>
      </c>
      <c r="H80" s="33" t="inlineStr">
        <is>
          <t>Missed insolvency alert</t>
        </is>
      </c>
      <c r="I80" s="33" t="inlineStr">
        <is>
          <t>Product</t>
        </is>
      </c>
      <c r="J80" s="33" t="inlineStr">
        <is>
          <t>Source Coverage</t>
        </is>
      </c>
      <c r="K80" s="33" t="inlineStr">
        <is>
          <t>Improvement</t>
        </is>
      </c>
      <c r="L80" s="33" t="inlineStr">
        <is>
          <t>Fixed</t>
        </is>
      </c>
      <c r="M80" s="33" t="inlineStr">
        <is>
          <t>Tier-1 supplier bankruptcy/insolvency filing source coverage expansion (EU registries)</t>
        </is>
      </c>
      <c r="N80" s="33" t="inlineStr">
        <is>
          <t>Yes</t>
        </is>
      </c>
      <c r="O80" s="33" t="inlineStr">
        <is>
          <t>Staged from Jira EAO-20 (Done). Honeywell reported ASSMANN WSW Components GmbH's July 6 insolvency filing (a mapped Tier-1 supplier) was never published as an EventWatch bulletin or WarRoom; RCA requested.</t>
        </is>
      </c>
      <c r="Q80" s="33" t="inlineStr">
        <is>
          <t>Yes</t>
        </is>
      </c>
      <c r="R80" s="39" t="n">
        <v>7</v>
      </c>
      <c r="T80" s="35" t="n">
        <v>46204</v>
      </c>
      <c r="U80" s="33" t="inlineStr">
        <is>
          <t>Medium</t>
        </is>
      </c>
      <c r="V80" s="33" t="inlineStr">
        <is>
          <t>Dynamic Source Discovery</t>
        </is>
      </c>
      <c r="W80" s="33" t="inlineStr">
        <is>
          <t>EAO-20</t>
        </is>
      </c>
      <c r="X80" s="33" t="inlineStr">
        <is>
          <t>German-language sources reporting the ASSMANN WSW Components insolvency were not captured by the portal; Engineering was asked to investigate the feed gap. RCA reviewed and shared with the customer 20-Jul-2026.</t>
        </is>
      </c>
      <c r="Y80" s="33" t="inlineStr">
        <is>
          <t>Product &amp; Platform</t>
        </is>
      </c>
      <c r="Z80" s="37" t="n">
        <v>46224</v>
      </c>
    </row>
    <row r="81">
      <c r="A81" s="35" t="n">
        <v>46204</v>
      </c>
      <c r="B81" s="37" t="n">
        <v>46220</v>
      </c>
      <c r="C81" s="33" t="inlineStr">
        <is>
          <t>Wildfire</t>
        </is>
      </c>
      <c r="D81" s="33" t="inlineStr">
        <is>
          <t>Ford</t>
        </is>
      </c>
      <c r="E81" s="39" t="n">
        <v>1</v>
      </c>
      <c r="F81" s="33" t="inlineStr">
        <is>
          <t>Severe Air Quality Degradation – Canadian Wildfires Missed Alert (Midwest/Northeast US)</t>
        </is>
      </c>
      <c r="G81" s="33" t="inlineStr">
        <is>
          <t>Complaint</t>
        </is>
      </c>
      <c r="H81" s="33" t="inlineStr">
        <is>
          <t>Missed Event</t>
        </is>
      </c>
      <c r="I81" s="33" t="inlineStr">
        <is>
          <t>People</t>
        </is>
      </c>
      <c r="J81" s="33" t="inlineStr">
        <is>
          <t>Event Identification</t>
        </is>
      </c>
      <c r="K81" s="33" t="inlineStr">
        <is>
          <t>Improvement</t>
        </is>
      </c>
      <c r="L81" s="33" t="inlineStr">
        <is>
          <t>RCA Shared</t>
        </is>
      </c>
      <c r="M81" s="33" t="inlineStr">
        <is>
          <t>Escalation automation for environmental-hazard advisories</t>
        </is>
      </c>
      <c r="N81" s="33" t="inlineStr">
        <is>
          <t>Yes</t>
        </is>
      </c>
      <c r="O81" s="33" t="inlineStr">
        <is>
          <t>Staged from Jira EAO-21 (Done). Ford reported no EventWatch alert/WarRoom was generated for July 15-17 wildfire smoke air-quality degradation across the US Midwest/Northeast; CS confirmed no matching notification was found.</t>
        </is>
      </c>
      <c r="Q81" s="33" t="inlineStr">
        <is>
          <t>Yes</t>
        </is>
      </c>
      <c r="R81" s="39" t="n">
        <v>7</v>
      </c>
      <c r="T81" s="35" t="n">
        <v>46204</v>
      </c>
      <c r="U81" s="33" t="inlineStr">
        <is>
          <t>Medium</t>
        </is>
      </c>
      <c r="V81" s="33" t="inlineStr">
        <is>
          <t>WarRoom &amp; Decision Validation</t>
        </is>
      </c>
      <c r="W81" s="33" t="inlineStr">
        <is>
          <t>EAO-21</t>
        </is>
      </c>
      <c r="X81" s="33" t="inlineStr">
        <is>
          <t>RCA approved and sent to the customer on 21-Jul-2026 as a PDF attached to EAO-21; the document text is not in the ticket.</t>
        </is>
      </c>
      <c r="Y81" s="33" t="inlineStr">
        <is>
          <t>EventWatch Ops - Nitin Rindhe</t>
        </is>
      </c>
      <c r="Z81" s="37" t="n">
        <v>46230</v>
      </c>
    </row>
    <row r="82">
      <c r="A82" s="35" t="n">
        <v>46204</v>
      </c>
      <c r="B82" s="37" t="n">
        <v>46230</v>
      </c>
      <c r="C82" s="33" t="inlineStr">
        <is>
          <t>Cyber Attack</t>
        </is>
      </c>
      <c r="D82" s="33" t="inlineStr">
        <is>
          <t>Eaton</t>
        </is>
      </c>
      <c r="E82" s="39" t="n">
        <v>1</v>
      </c>
      <c r="F82" s="33" t="inlineStr">
        <is>
          <t>Romania ANCPI Cyberattack – Missed EventWatch Notification</t>
        </is>
      </c>
      <c r="G82" s="33" t="inlineStr">
        <is>
          <t>Complaint</t>
        </is>
      </c>
      <c r="H82" s="33" t="inlineStr">
        <is>
          <t>Missed Event</t>
        </is>
      </c>
      <c r="I82" s="33" t="inlineStr">
        <is>
          <t>Product</t>
        </is>
      </c>
      <c r="J82" s="33" t="inlineStr">
        <is>
          <t>Source Coverage</t>
        </is>
      </c>
      <c r="K82" s="33" t="inlineStr">
        <is>
          <t>Improvement</t>
        </is>
      </c>
      <c r="L82" s="33" t="inlineStr">
        <is>
          <t>RCA Shared</t>
        </is>
      </c>
      <c r="M82" s="33" t="inlineStr">
        <is>
          <t>Government/public-sector cyberattack source coverage expansion (regional-language sources)</t>
        </is>
      </c>
      <c r="N82" s="33" t="inlineStr">
        <is>
          <t>Yes</t>
        </is>
      </c>
      <c r="O82" s="33" t="inlineStr">
        <is>
          <t>Staged from Jira EAO-22 (Done). Eaton reported the July 14-16 ANCPI (Romania land registry) cyberattack had no corresponding WarRoom or news on the portal; RCA requested if it was in scope.</t>
        </is>
      </c>
      <c r="Q82" s="33" t="inlineStr">
        <is>
          <t>Yes</t>
        </is>
      </c>
      <c r="R82" s="39" t="n">
        <v>7</v>
      </c>
      <c r="T82" s="35" t="n">
        <v>46204</v>
      </c>
      <c r="U82" s="33" t="inlineStr">
        <is>
          <t>Medium</t>
        </is>
      </c>
      <c r="V82" s="33" t="inlineStr">
        <is>
          <t>Dynamic Source Discovery</t>
        </is>
      </c>
      <c r="W82" s="33" t="inlineStr">
        <is>
          <t>EAO-22</t>
        </is>
      </c>
      <c r="X82" s="33" t="n"/>
      <c r="Y82" s="33" t="inlineStr">
        <is>
          <t>Product &amp; Platform</t>
        </is>
      </c>
      <c r="Z82" s="37" t="n">
        <v>46232</v>
      </c>
    </row>
    <row r="83">
      <c r="A83" s="35" t="n">
        <v>46235</v>
      </c>
      <c r="B83" s="37" t="n">
        <v>46237</v>
      </c>
      <c r="C83" s="33" t="inlineStr">
        <is>
          <t>Factory Fire</t>
        </is>
      </c>
      <c r="D83" s="33" t="inlineStr">
        <is>
          <t>Ford</t>
        </is>
      </c>
      <c r="E83" s="39" t="n">
        <v>1</v>
      </c>
      <c r="F83" s="33" t="inlineStr">
        <is>
          <t>TOHOKU Chemical Japan Fire – Sub-tier Cashew Dust Supplier</t>
        </is>
      </c>
      <c r="G83" s="33" t="inlineStr">
        <is>
          <t>Complaint</t>
        </is>
      </c>
      <c r="H83" s="33" t="inlineStr">
        <is>
          <t>Missed Event</t>
        </is>
      </c>
      <c r="I83" s="33" t="inlineStr">
        <is>
          <t>Product</t>
        </is>
      </c>
      <c r="J83" s="33" t="inlineStr">
        <is>
          <t>Source Coverage</t>
        </is>
      </c>
      <c r="K83" s="33" t="inlineStr">
        <is>
          <t>Improvement</t>
        </is>
      </c>
      <c r="L83" s="33" t="inlineStr">
        <is>
          <t>RCA Shared</t>
        </is>
      </c>
      <c r="M83" s="33" t="inlineStr">
        <is>
          <t>Dynamic Source Discovery</t>
        </is>
      </c>
      <c r="N83" s="33" t="inlineStr">
        <is>
          <t>Yes</t>
        </is>
      </c>
      <c r="O83" s="33" t="inlineStr">
        <is>
          <t>EAO-24: No proactive alert was generated for the July 21 fire. Customer requested RCA, ICA, and PCA for the missed coverage. RCA shared.</t>
        </is>
      </c>
      <c r="P83" s="33" t="n"/>
      <c r="Q83" s="33" t="inlineStr">
        <is>
          <t>Yes</t>
        </is>
      </c>
      <c r="R83" s="39" t="n">
        <v>8</v>
      </c>
      <c r="S83" s="39" t="n"/>
      <c r="T83" s="35" t="n">
        <v>46235</v>
      </c>
      <c r="U83" s="33" t="inlineStr">
        <is>
          <t>Medium</t>
        </is>
      </c>
      <c r="V83" s="33" t="inlineStr">
        <is>
          <t>Dynamic Source Discovery</t>
        </is>
      </c>
      <c r="W83" s="33" t="inlineStr">
        <is>
          <t>EAO-24</t>
        </is>
      </c>
      <c r="X83" s="33" t="n"/>
      <c r="Y83" s="33" t="inlineStr">
        <is>
          <t>Product &amp; Platform</t>
        </is>
      </c>
      <c r="Z83" s="37" t="n">
        <v>46239</v>
      </c>
    </row>
    <row r="84">
      <c r="A84" s="35" t="n">
        <v>46235</v>
      </c>
      <c r="B84" s="37" t="n">
        <v>46237</v>
      </c>
      <c r="C84" s="33" t="inlineStr">
        <is>
          <t>Factory Fire</t>
        </is>
      </c>
      <c r="D84" s="33" t="inlineStr">
        <is>
          <t>GM</t>
        </is>
      </c>
      <c r="E84" s="39" t="n">
        <v>1</v>
      </c>
      <c r="F84" s="33" t="inlineStr">
        <is>
          <t>Fire at UTAS-Nova Automotive Lighting Systems, Danyang, Jiangsu, China</t>
        </is>
      </c>
      <c r="G84" s="33" t="inlineStr">
        <is>
          <t>Complaint</t>
        </is>
      </c>
      <c r="H84" s="33" t="inlineStr">
        <is>
          <t>Missed Event</t>
        </is>
      </c>
      <c r="I84" s="33" t="inlineStr">
        <is>
          <t>Product</t>
        </is>
      </c>
      <c r="J84" s="33" t="inlineStr">
        <is>
          <t>Source Coverage</t>
        </is>
      </c>
      <c r="K84" s="33" t="inlineStr">
        <is>
          <t>Improvement</t>
        </is>
      </c>
      <c r="L84" s="33" t="inlineStr">
        <is>
          <t>RCA Shared</t>
        </is>
      </c>
      <c r="M84" s="33" t="inlineStr">
        <is>
          <t>Cluster-assignment validation so an article grouped into the wrong cluster is caught before analyst review</t>
        </is>
      </c>
      <c r="N84" s="33" t="inlineStr">
        <is>
          <t>Yes</t>
        </is>
      </c>
      <c r="O84"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4" s="33" t="inlineStr">
        <is>
          <t>Yes</t>
        </is>
      </c>
      <c r="R84" s="39" t="n">
        <v>8</v>
      </c>
      <c r="T84" s="35" t="n">
        <v>46235</v>
      </c>
      <c r="U84" s="33" t="inlineStr">
        <is>
          <t>Medium</t>
        </is>
      </c>
      <c r="V84" s="33" t="inlineStr">
        <is>
          <t>Dynamic Source Discovery</t>
        </is>
      </c>
      <c r="W84" s="33" t="inlineStr">
        <is>
          <t>EAO-25</t>
        </is>
      </c>
      <c r="X84"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4" s="33" t="inlineStr">
        <is>
          <t>Product &amp; Platform</t>
        </is>
      </c>
      <c r="Z84" s="37" t="n"/>
    </row>
    <row r="85">
      <c r="A85" s="35" t="n">
        <v>46235</v>
      </c>
      <c r="B85" s="37" t="n">
        <v>46237</v>
      </c>
      <c r="C85" s="33" t="inlineStr">
        <is>
          <t>Tornado</t>
        </is>
      </c>
      <c r="D85" s="33" t="inlineStr">
        <is>
          <t>GM</t>
        </is>
      </c>
      <c r="E85" s="39" t="n">
        <v>1</v>
      </c>
      <c r="F85" s="33" t="inlineStr">
        <is>
          <t>Chicago Heights, Illinois Tornado – Trialco Impact Not Identified</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46238</v>
      </c>
      <c r="C86" s="33" t="inlineStr">
        <is>
          <t>Earthquake</t>
        </is>
      </c>
      <c r="D86" s="33" t="inlineStr">
        <is>
          <t>Hitachi</t>
        </is>
      </c>
      <c r="E86" s="39" t="n">
        <v>1</v>
      </c>
      <c r="F86" s="33" t="inlineStr">
        <is>
          <t>Disruption Agent Returns Only Tier 1 Suppliers for Kumamoto Earthquake Query (Hitachi)</t>
        </is>
      </c>
      <c r="G86" s="33" t="inlineStr">
        <is>
          <t>Complaint</t>
        </is>
      </c>
      <c r="H86" s="33" t="inlineStr">
        <is>
          <t>Impacted Supplier Missing</t>
        </is>
      </c>
      <c r="I86" s="33" t="inlineStr">
        <is>
          <t>Product</t>
        </is>
      </c>
      <c r="J86" s="33" t="inlineStr">
        <is>
          <t>Policy/Logic</t>
        </is>
      </c>
      <c r="K86" s="33" t="inlineStr">
        <is>
          <t>Improvement</t>
        </is>
      </c>
      <c r="L86" s="33" t="inlineStr">
        <is>
          <t>Fixed</t>
        </is>
      </c>
      <c r="M86" s="33" t="inlineStr">
        <is>
          <t>Disruption Agent response completeness checks so a prompt asking for multiple supplier tiers returns all of them in one response</t>
        </is>
      </c>
      <c r="N86" s="33" t="inlineStr">
        <is>
          <t>No</t>
        </is>
      </c>
      <c r="O86" s="33" t="inlineStr">
        <is>
          <t>From Jira CAN-3433 (Resolved). For Hitachi, a single Disruption Agent prompt asking for both Tier 1 and Tier 2 suppliers potentially impacted by the 6.8 magnitude Kumamoto earthquake returned Tier 1 only; Tier 2 required a second prompt.</t>
        </is>
      </c>
      <c r="P86" s="33" t="n"/>
      <c r="Q86" s="33" t="inlineStr">
        <is>
          <t>No</t>
        </is>
      </c>
      <c r="R86" s="39" t="n">
        <v>8</v>
      </c>
      <c r="S86" s="39" t="n"/>
      <c r="T86" s="35" t="inlineStr">
        <is>
          <t>Aug 2026</t>
        </is>
      </c>
      <c r="U86" s="33" t="inlineStr">
        <is>
          <t>Low</t>
        </is>
      </c>
      <c r="V86" s="33" t="inlineStr">
        <is>
          <t>Other Control Automation</t>
        </is>
      </c>
      <c r="W86" s="33" t="inlineStr">
        <is>
          <t>CAN-3433</t>
        </is>
      </c>
      <c r="X86" s="33" t="n"/>
      <c r="Y86" s="33" t="inlineStr">
        <is>
          <t>Product &amp; Platform</t>
        </is>
      </c>
      <c r="Z86" s="37" t="n"/>
    </row>
    <row r="87">
      <c r="A87" s="35" t="n">
        <v>46235</v>
      </c>
      <c r="B87" s="37" t="n">
        <v>46245</v>
      </c>
      <c r="C87" s="33" t="inlineStr">
        <is>
          <t>Regulatory Change</t>
        </is>
      </c>
      <c r="D87" s="33" t="inlineStr">
        <is>
          <t>Ford</t>
        </is>
      </c>
      <c r="E87" s="39" t="n">
        <v>1</v>
      </c>
      <c r="F87" s="33" t="inlineStr">
        <is>
          <t>China MOFCOM Announcement No. 30 of 2026 (Export Control Watchlist)</t>
        </is>
      </c>
      <c r="G87" s="33" t="inlineStr">
        <is>
          <t>Complaint</t>
        </is>
      </c>
      <c r="H87" s="33" t="inlineStr">
        <is>
          <t>Missed Event</t>
        </is>
      </c>
      <c r="I87" s="33" t="inlineStr">
        <is>
          <t>People</t>
        </is>
      </c>
      <c r="J87" s="33" t="inlineStr">
        <is>
          <t>Review</t>
        </is>
      </c>
      <c r="K87" s="33" t="inlineStr">
        <is>
          <t>Improvement</t>
        </is>
      </c>
      <c r="L87" s="33" t="inlineStr">
        <is>
          <t>RCA Shared</t>
        </is>
      </c>
      <c r="M87" s="33" t="inlineStr">
        <is>
          <t>Not Impactful Decision Validation</t>
        </is>
      </c>
      <c r="N87" s="33" t="inlineStr">
        <is>
          <t>Yes</t>
        </is>
      </c>
      <c r="O87" s="33" t="inlineStr">
        <is>
          <t>EAO-23: News was captured but initially classified as Not Impactful by AI. Human-in-the-loop review did not escalate the event. RCA shared based on the investigation trail.</t>
        </is>
      </c>
      <c r="P87" s="33" t="n"/>
      <c r="Q87" s="33" t="inlineStr">
        <is>
          <t>Yes</t>
        </is>
      </c>
      <c r="R87" s="39" t="n">
        <v>8</v>
      </c>
      <c r="S87" s="39" t="n"/>
      <c r="T87" s="35" t="n">
        <v>46235</v>
      </c>
      <c r="U87" s="33" t="inlineStr">
        <is>
          <t>Medium</t>
        </is>
      </c>
      <c r="V87" s="33" t="inlineStr">
        <is>
          <t>WarRoom &amp; Decision Validation</t>
        </is>
      </c>
      <c r="W87" s="33" t="inlineStr">
        <is>
          <t>EAO-23</t>
        </is>
      </c>
      <c r="X87" s="33" t="inlineStr">
        <is>
          <t>RCA approved and sent to the customer on 05-Aug-2026 as a PDF attached to EAO-23; the document text is not in the ticket.</t>
        </is>
      </c>
      <c r="Y87" s="33" t="inlineStr">
        <is>
          <t>EventWatch Ops - Nitin Rindhe</t>
        </is>
      </c>
      <c r="Z87" s="37" t="n">
        <v>46252</v>
      </c>
    </row>
    <row r="88">
      <c r="A88" s="35" t="n">
        <v>46235</v>
      </c>
      <c r="B88" s="37" t="n">
        <v>46251</v>
      </c>
      <c r="C88" s="33" t="inlineStr">
        <is>
          <t>Geopolitical</t>
        </is>
      </c>
      <c r="D88" s="33" t="inlineStr">
        <is>
          <t>Ford</t>
        </is>
      </c>
      <c r="E88" s="39" t="n">
        <v>1</v>
      </c>
      <c r="F88" s="33" t="inlineStr">
        <is>
          <t>Ceuta Border Security &amp; Humanitarian Crisis</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WarRoom Trigger Automation</t>
        </is>
      </c>
      <c r="N88" s="33" t="inlineStr">
        <is>
          <t>Yes</t>
        </is>
      </c>
      <c r="O88" s="33" t="inlineStr">
        <is>
          <t>EAO-27: Customer reported a missed EventWatch alert and requested an update. RCA shared following review of the event.</t>
        </is>
      </c>
      <c r="P88" s="33" t="n"/>
      <c r="Q88" s="33" t="inlineStr">
        <is>
          <t>Yes</t>
        </is>
      </c>
      <c r="R88" s="39" t="n">
        <v>8</v>
      </c>
      <c r="S88" s="39" t="n"/>
      <c r="T88" s="35" t="n">
        <v>46235</v>
      </c>
      <c r="U88" s="33" t="inlineStr">
        <is>
          <t>Medium</t>
        </is>
      </c>
      <c r="V88" s="33" t="inlineStr">
        <is>
          <t>WarRoom &amp; Decision Validation</t>
        </is>
      </c>
      <c r="W88" s="33" t="inlineStr">
        <is>
          <t>EAO-27</t>
        </is>
      </c>
      <c r="X88" s="33" t="inlineStr">
        <is>
          <t>RCA reviewed and sent to the customer on 20-Aug-2026 as a PDF attached to EAO-27; the document text is not in the ticket. Closed 25-Aug-2026 after no customer follow-up.</t>
        </is>
      </c>
      <c r="Y88" s="33" t="inlineStr">
        <is>
          <t>EventWatch Ops - Nitin Rindhe</t>
        </is>
      </c>
      <c r="Z88" s="37" t="n">
        <v>46259</v>
      </c>
    </row>
    <row r="89">
      <c r="A89" s="35" t="n">
        <v>46235</v>
      </c>
      <c r="B89" s="37" t="n">
        <v>46251</v>
      </c>
      <c r="C89" s="33" t="inlineStr">
        <is>
          <t>Transport Disruption</t>
        </is>
      </c>
      <c r="D89" s="33" t="inlineStr">
        <is>
          <t>Eaton</t>
        </is>
      </c>
      <c r="E89" s="39" t="n">
        <v>1</v>
      </c>
      <c r="F89" s="33" t="inlineStr">
        <is>
          <t>Kandla Port Cargo Congestion – Supplier Impact Notification Clarification (Eaton)</t>
        </is>
      </c>
      <c r="G89" s="33" t="inlineStr">
        <is>
          <t>Inquiry</t>
        </is>
      </c>
      <c r="H89" s="33" t="inlineStr">
        <is>
          <t>Supplier Impact Mapping Clarification</t>
        </is>
      </c>
      <c r="I89" s="33" t="inlineStr">
        <is>
          <t>Process</t>
        </is>
      </c>
      <c r="J89" s="33" t="inlineStr">
        <is>
          <t>Mapping</t>
        </is>
      </c>
      <c r="K89" s="33" t="inlineStr">
        <is>
          <t>Improvement</t>
        </is>
      </c>
      <c r="L89" s="33" t="inlineStr">
        <is>
          <t>Clarification Provided</t>
        </is>
      </c>
      <c r="M89" s="33" t="inlineStr">
        <is>
          <t>Impact-confirmation notification criteria documentation for port/logistics bulletins</t>
        </is>
      </c>
      <c r="N89" s="33" t="inlineStr">
        <is>
          <t>No</t>
        </is>
      </c>
      <c r="O89" s="33" t="inlineStr">
        <is>
          <t>Staged from Jira EAO-28 (Done). Eaton asked what criteria triggered impact-confirmation notifications to Eaton suppliers on the Kandla Port cargo congestion bulletin, since the bulletin text focused on rice exports.</t>
        </is>
      </c>
      <c r="Q89" s="33" t="inlineStr">
        <is>
          <t>No</t>
        </is>
      </c>
      <c r="R89" s="39" t="n">
        <v>8</v>
      </c>
      <c r="T89" s="35" t="n">
        <v>46235</v>
      </c>
      <c r="U89" s="33" t="inlineStr">
        <is>
          <t>Low</t>
        </is>
      </c>
      <c r="V89" s="33" t="inlineStr">
        <is>
          <t>Entity &amp; Supplier Resolution</t>
        </is>
      </c>
      <c r="W89" s="33" t="inlineStr">
        <is>
          <t>EAO-28</t>
        </is>
      </c>
      <c r="X89"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89" s="33" t="inlineStr">
        <is>
          <t>EventWatch Ops - Nitin Rindhe</t>
        </is>
      </c>
      <c r="Z89" s="37" t="n">
        <v>46259</v>
      </c>
    </row>
    <row r="90">
      <c r="A90" s="35" t="n">
        <v>46235</v>
      </c>
      <c r="B90" s="37" t="n">
        <v>46252</v>
      </c>
      <c r="C90" s="33" t="inlineStr">
        <is>
          <t>Factory Fire</t>
        </is>
      </c>
      <c r="D90" s="33" t="inlineStr">
        <is>
          <t>Ford</t>
        </is>
      </c>
      <c r="E90" s="39" t="n">
        <v>1</v>
      </c>
      <c r="F90" s="33" t="inlineStr">
        <is>
          <t>Sasol Polyethylene Plant Fire / Shutdown</t>
        </is>
      </c>
      <c r="G90" s="33" t="inlineStr">
        <is>
          <t>Complaint</t>
        </is>
      </c>
      <c r="H90" s="33" t="inlineStr">
        <is>
          <t>Missed Event</t>
        </is>
      </c>
      <c r="I90" s="33" t="inlineStr">
        <is>
          <t>Product</t>
        </is>
      </c>
      <c r="J90" s="33" t="inlineStr">
        <is>
          <t>Source Coverage</t>
        </is>
      </c>
      <c r="K90" s="33" t="inlineStr">
        <is>
          <t>Improvement</t>
        </is>
      </c>
      <c r="L90" s="33" t="inlineStr">
        <is>
          <t>RCA Shared</t>
        </is>
      </c>
      <c r="M90" s="33" t="inlineStr">
        <is>
          <t>Dynamic Source Discovery</t>
        </is>
      </c>
      <c r="N90" s="33" t="inlineStr">
        <is>
          <t>Yes</t>
        </is>
      </c>
      <c r="O90" s="33" t="inlineStr">
        <is>
          <t>EAO-26: Customer reported a missed EventWatch alert for the Sasol polyethylene plant fire and shutdown. Investigation and RCA were requested; RCA shared.</t>
        </is>
      </c>
      <c r="P90" s="33" t="n"/>
      <c r="Q90" s="33" t="inlineStr">
        <is>
          <t>Yes</t>
        </is>
      </c>
      <c r="R90" s="39" t="n">
        <v>8</v>
      </c>
      <c r="S90" s="39" t="n"/>
      <c r="T90" s="35" t="n">
        <v>46235</v>
      </c>
      <c r="U90" s="33" t="inlineStr">
        <is>
          <t>Medium</t>
        </is>
      </c>
      <c r="V90" s="33" t="inlineStr">
        <is>
          <t>Dynamic Source Discovery</t>
        </is>
      </c>
      <c r="W90" s="33" t="inlineStr">
        <is>
          <t>EAO-26</t>
        </is>
      </c>
      <c r="X90" s="33" t="inlineStr">
        <is>
          <t>RCA reviewed and sent to the customer on 20-Aug-2026 as a PDF attached to EAO-26; the document text is not in the ticket. Closed 25-Aug-2026 after no customer follow-up.</t>
        </is>
      </c>
      <c r="Y90" s="33" t="inlineStr">
        <is>
          <t>Product &amp; Platform</t>
        </is>
      </c>
      <c r="Z90" s="37" t="n">
        <v>46259</v>
      </c>
    </row>
    <row r="91">
      <c r="A91" s="35" t="n">
        <v>46235</v>
      </c>
      <c r="B91" s="37" t="n">
        <v>46254</v>
      </c>
      <c r="C91" s="33" t="inlineStr">
        <is>
          <t>Hurricane/Typhoon</t>
        </is>
      </c>
      <c r="D91" s="33" t="inlineStr">
        <is>
          <t>Ford</t>
        </is>
      </c>
      <c r="E91" s="39" t="n">
        <v>1</v>
      </c>
      <c r="F91" s="33" t="inlineStr">
        <is>
          <t>Typhoon Dolphin Bulletins Distributed Across Two WarRooms</t>
        </is>
      </c>
      <c r="G91" s="33" t="inlineStr">
        <is>
          <t>Complaint</t>
        </is>
      </c>
      <c r="H91" s="33" t="inlineStr">
        <is>
          <t>Duplicate WarRooms</t>
        </is>
      </c>
      <c r="I91" s="33" t="inlineStr">
        <is>
          <t>Product</t>
        </is>
      </c>
      <c r="J91" s="33" t="inlineStr">
        <is>
          <t>Duplication</t>
        </is>
      </c>
      <c r="K91" s="33" t="inlineStr">
        <is>
          <t>Improvement</t>
        </is>
      </c>
      <c r="L91" s="33" t="inlineStr">
        <is>
          <t>RCA Shared</t>
        </is>
      </c>
      <c r="M91" s="33" t="inlineStr">
        <is>
          <t>Cluster Integrity Validation</t>
        </is>
      </c>
      <c r="N91" s="33" t="inlineStr">
        <is>
          <t>Yes</t>
        </is>
      </c>
      <c r="O91" s="33" t="inlineStr">
        <is>
          <t>EAO-29: Bulletins were distributed across two WarRooms, resulting in gaps in the update sequence. Customer requested RCA; RCA shared.</t>
        </is>
      </c>
      <c r="P91" s="33" t="n"/>
      <c r="Q91" s="33" t="inlineStr">
        <is>
          <t>No</t>
        </is>
      </c>
      <c r="R91" s="39" t="n">
        <v>8</v>
      </c>
      <c r="S91" s="39" t="n"/>
      <c r="T91" s="35" t="n">
        <v>46235</v>
      </c>
      <c r="U91" s="33" t="inlineStr">
        <is>
          <t>Low</t>
        </is>
      </c>
      <c r="V91" s="33" t="inlineStr">
        <is>
          <t>Cluster Integrity &amp; Duplicate Prevention</t>
        </is>
      </c>
      <c r="W91" s="33" t="inlineStr">
        <is>
          <t>EAO-29</t>
        </is>
      </c>
      <c r="X91" s="33" t="n"/>
      <c r="Y91" s="33" t="inlineStr">
        <is>
          <t>Product &amp; Platform</t>
        </is>
      </c>
      <c r="Z91" s="37" t="n">
        <v>46272</v>
      </c>
    </row>
    <row r="92">
      <c r="A92" s="35" t="n">
        <v>46235</v>
      </c>
      <c r="B92" s="37" t="n">
        <v>46255</v>
      </c>
      <c r="C92" s="33" t="inlineStr">
        <is>
          <t>Transport Disruption</t>
        </is>
      </c>
      <c r="D92" s="33" t="inlineStr">
        <is>
          <t>Ford/GM</t>
        </is>
      </c>
      <c r="E92" s="39" t="n">
        <v>2</v>
      </c>
      <c r="F92" s="33" t="inlineStr">
        <is>
          <t>World Trade Bridge Closed in Laredo, Texas</t>
        </is>
      </c>
      <c r="G92" s="33" t="inlineStr">
        <is>
          <t>Complaint</t>
        </is>
      </c>
      <c r="H92" s="33" t="inlineStr">
        <is>
          <t>Missed Event</t>
        </is>
      </c>
      <c r="I92" s="33" t="inlineStr">
        <is>
          <t>Product</t>
        </is>
      </c>
      <c r="J92" s="33" t="inlineStr">
        <is>
          <t>Keyword Update</t>
        </is>
      </c>
      <c r="K92" s="33" t="inlineStr">
        <is>
          <t>Improvement</t>
        </is>
      </c>
      <c r="L92" s="33" t="inlineStr">
        <is>
          <t>Fixed</t>
        </is>
      </c>
      <c r="M92" s="33" t="inlineStr">
        <is>
          <t>Dynamic Source Discovery</t>
        </is>
      </c>
      <c r="N92" s="33" t="inlineStr">
        <is>
          <t>Yes</t>
        </is>
      </c>
      <c r="O92" s="33" t="inlineStr">
        <is>
          <t>EAO-25: Event was missed due to a keyword gap. Keyword was added and the article is now being captured.</t>
        </is>
      </c>
      <c r="P92" s="33" t="n"/>
      <c r="Q92" s="33" t="inlineStr">
        <is>
          <t>Yes</t>
        </is>
      </c>
      <c r="R92" s="39" t="n">
        <v>8</v>
      </c>
      <c r="S92" s="39" t="n"/>
      <c r="T92" s="35" t="n">
        <v>46235</v>
      </c>
      <c r="U92" s="33" t="inlineStr">
        <is>
          <t>Medium</t>
        </is>
      </c>
      <c r="V92" s="33" t="inlineStr">
        <is>
          <t>Dynamic Source Discovery</t>
        </is>
      </c>
      <c r="W92" s="33" t="inlineStr">
        <is>
          <t>EAO-25</t>
        </is>
      </c>
      <c r="X92"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2" s="33" t="inlineStr">
        <is>
          <t>Product &amp; Platform</t>
        </is>
      </c>
      <c r="Z92" s="37" t="n"/>
    </row>
    <row r="93">
      <c r="A93" s="35" t="n">
        <v>46235</v>
      </c>
      <c r="B93" s="37" t="n">
        <v>46255</v>
      </c>
      <c r="C93" s="33" t="inlineStr">
        <is>
          <t>Factory Fire</t>
        </is>
      </c>
      <c r="D93" s="33" t="inlineStr">
        <is>
          <t>Ford/GM</t>
        </is>
      </c>
      <c r="E93" s="39" t="n">
        <v>2</v>
      </c>
      <c r="F93" s="33" t="inlineStr">
        <is>
          <t>Fire at FXI de Cuautitlán, S.A. de C.V.</t>
        </is>
      </c>
      <c r="G93" s="33" t="inlineStr">
        <is>
          <t>Complaint</t>
        </is>
      </c>
      <c r="H93" s="33" t="inlineStr">
        <is>
          <t>Missed Event</t>
        </is>
      </c>
      <c r="I93" s="33" t="inlineStr">
        <is>
          <t>Product</t>
        </is>
      </c>
      <c r="J93" s="33" t="inlineStr">
        <is>
          <t>Source Coverage</t>
        </is>
      </c>
      <c r="K93" s="33" t="inlineStr">
        <is>
          <t>Improvement</t>
        </is>
      </c>
      <c r="L93" s="33" t="inlineStr">
        <is>
          <t>RCA Shared</t>
        </is>
      </c>
      <c r="M93" s="33" t="inlineStr">
        <is>
          <t>Dynamic Source Discovery</t>
        </is>
      </c>
      <c r="N93" s="33" t="inlineStr">
        <is>
          <t>Yes</t>
        </is>
      </c>
      <c r="O93" s="33" t="inlineStr">
        <is>
          <t>EAO-25: Event was not captured by the vendor due to a source coverage gap. Vendor was asked to add the sources to its network. RCA shared based on the investigation trail.</t>
        </is>
      </c>
      <c r="P93" s="33" t="n"/>
      <c r="Q93" s="33" t="inlineStr">
        <is>
          <t>Yes</t>
        </is>
      </c>
      <c r="R93" s="39" t="n">
        <v>8</v>
      </c>
      <c r="S93" s="39" t="n"/>
      <c r="T93" s="35" t="n">
        <v>46235</v>
      </c>
      <c r="U93" s="33" t="inlineStr">
        <is>
          <t>Medium</t>
        </is>
      </c>
      <c r="V93" s="33" t="inlineStr">
        <is>
          <t>Dynamic Source Discovery</t>
        </is>
      </c>
      <c r="W93" s="33" t="inlineStr">
        <is>
          <t>EAO-25</t>
        </is>
      </c>
      <c r="X93"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3" s="33" t="inlineStr">
        <is>
          <t>Product &amp; Platform</t>
        </is>
      </c>
      <c r="Z93" s="37" t="n"/>
    </row>
    <row r="94">
      <c r="A94" s="35" t="n">
        <v>46235</v>
      </c>
      <c r="B94" s="37" t="n">
        <v>46258</v>
      </c>
      <c r="C94" s="33" t="inlineStr">
        <is>
          <t>Factory Fire</t>
        </is>
      </c>
      <c r="D94" s="33" t="inlineStr">
        <is>
          <t>Ford/GM</t>
        </is>
      </c>
      <c r="E94" s="39" t="n">
        <v>2</v>
      </c>
      <c r="F94" s="33" t="inlineStr">
        <is>
          <t>Fire at Nemak Factory in Monterrey, Mexico</t>
        </is>
      </c>
      <c r="G94" s="33" t="inlineStr">
        <is>
          <t>Complaint</t>
        </is>
      </c>
      <c r="H94" s="33" t="inlineStr">
        <is>
          <t>Missed Event</t>
        </is>
      </c>
      <c r="I94" s="33" t="inlineStr">
        <is>
          <t>People</t>
        </is>
      </c>
      <c r="J94" s="33" t="inlineStr">
        <is>
          <t>Review</t>
        </is>
      </c>
      <c r="K94" s="33" t="inlineStr">
        <is>
          <t>Improvement</t>
        </is>
      </c>
      <c r="L94" s="33" t="inlineStr">
        <is>
          <t>RCA Shared</t>
        </is>
      </c>
      <c r="M94" s="33" t="inlineStr">
        <is>
          <t>Not Impactful Decision Validation</t>
        </is>
      </c>
      <c r="N94" s="33" t="inlineStr">
        <is>
          <t>Yes</t>
        </is>
      </c>
      <c r="O94" s="33" t="inlineStr">
        <is>
          <t>EAO-25: News processing captured the article and attached it to an updated factory-fire cluster. The event was later marked Not Impactful by the analyst. RCA shared based on the investigation trail.</t>
        </is>
      </c>
      <c r="P94" s="33" t="n"/>
      <c r="Q94" s="33" t="inlineStr">
        <is>
          <t>Yes</t>
        </is>
      </c>
      <c r="R94" s="39" t="n">
        <v>8</v>
      </c>
      <c r="S94" s="39" t="n"/>
      <c r="T94" s="35" t="n">
        <v>46235</v>
      </c>
      <c r="U94" s="33" t="inlineStr">
        <is>
          <t>Medium</t>
        </is>
      </c>
      <c r="V94" s="33" t="inlineStr">
        <is>
          <t>WarRoom &amp; Decision Validation</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EventWatch Ops - Nitin Rindhe</t>
        </is>
      </c>
      <c r="Z94" s="37" t="n"/>
    </row>
    <row r="95">
      <c r="A95" s="35" t="n">
        <v>46235</v>
      </c>
      <c r="B95" s="37" t="n">
        <v>46258</v>
      </c>
      <c r="C95" s="33" t="inlineStr">
        <is>
          <t>Cyber Attack</t>
        </is>
      </c>
      <c r="D95" s="33" t="inlineStr">
        <is>
          <t>The American National Red Cross</t>
        </is>
      </c>
      <c r="E95" s="39" t="n">
        <v>1</v>
      </c>
      <c r="F95" s="33" t="inlineStr">
        <is>
          <t>Uber Freight Investigates Reported Cyberattack After Hackers Claim Data Breach</t>
        </is>
      </c>
      <c r="G95" s="33" t="inlineStr">
        <is>
          <t>Complaint</t>
        </is>
      </c>
      <c r="H95" s="33" t="inlineStr">
        <is>
          <t>WarRoom not visible in customer profile</t>
        </is>
      </c>
      <c r="I95" s="33" t="inlineStr">
        <is>
          <t>Process</t>
        </is>
      </c>
      <c r="J95" s="33" t="inlineStr">
        <is>
          <t>Visibility</t>
        </is>
      </c>
      <c r="K95" s="33" t="inlineStr">
        <is>
          <t>Improvement</t>
        </is>
      </c>
      <c r="L95" s="33" t="inlineStr">
        <is>
          <t>RCA Shared</t>
        </is>
      </c>
      <c r="M95" s="33" t="inlineStr">
        <is>
          <t>Notification Visibility Monitoring</t>
        </is>
      </c>
      <c r="N95" s="33" t="inlineStr">
        <is>
          <t>No</t>
        </is>
      </c>
      <c r="O95" s="33" t="inlineStr">
        <is>
          <t>EAO-30: EventWatch news was published on August 13 but was not visible on the customer portal. Portal visibility investigation completed and clarification provided.</t>
        </is>
      </c>
      <c r="P95" s="33" t="n"/>
      <c r="Q95" s="33" t="inlineStr">
        <is>
          <t>Yes</t>
        </is>
      </c>
      <c r="R95" s="39" t="n">
        <v>8</v>
      </c>
      <c r="S95" s="39" t="n"/>
      <c r="T95" s="35" t="n">
        <v>46235</v>
      </c>
      <c r="U95" s="33" t="inlineStr">
        <is>
          <t>Medium</t>
        </is>
      </c>
      <c r="V95" s="33" t="inlineStr">
        <is>
          <t>Notification Visibility Monitoring</t>
        </is>
      </c>
      <c r="W95" s="33" t="inlineStr">
        <is>
          <t>TS-22695</t>
        </is>
      </c>
      <c r="X95" s="33" t="n"/>
      <c r="Y95" s="33" t="inlineStr">
        <is>
          <t>EventWatch Ops - Nitin Rindhe</t>
        </is>
      </c>
      <c r="Z95" s="37" t="n"/>
    </row>
    <row r="96">
      <c r="A96" s="35" t="n">
        <v>46235</v>
      </c>
      <c r="B96" s="37" t="n">
        <v>46265</v>
      </c>
      <c r="C96" s="33" t="inlineStr">
        <is>
          <t>Cyber Attack</t>
        </is>
      </c>
      <c r="D96" s="33" t="inlineStr">
        <is>
          <t>Schneider Electric</t>
        </is>
      </c>
      <c r="E96" s="39" t="n">
        <v>1</v>
      </c>
      <c r="F96" s="33" t="inlineStr">
        <is>
          <t>Gindre India Data Breach – EventWatch Alert/WarRoom Missing</t>
        </is>
      </c>
      <c r="G96" s="33" t="inlineStr">
        <is>
          <t>Complaint</t>
        </is>
      </c>
      <c r="H96" s="33" t="inlineStr">
        <is>
          <t>Missed Event</t>
        </is>
      </c>
      <c r="I96" s="33" t="inlineStr">
        <is>
          <t>Product</t>
        </is>
      </c>
      <c r="J96" s="33" t="inlineStr">
        <is>
          <t>Source Coverage</t>
        </is>
      </c>
      <c r="K96" s="33" t="inlineStr">
        <is>
          <t>Improvement</t>
        </is>
      </c>
      <c r="L96" s="33" t="inlineStr">
        <is>
          <t>RCA Shared</t>
        </is>
      </c>
      <c r="M96" s="33" t="inlineStr">
        <is>
          <t>Dynamic Source Discovery</t>
        </is>
      </c>
      <c r="N96" s="33" t="inlineStr">
        <is>
          <t>Yes</t>
        </is>
      </c>
      <c r="O96" s="33" t="inlineStr">
        <is>
          <t>EAO-31: No corresponding EventWatch event or WarRoom was found for the reported data breach. Source coverage review completed and RCA shared.</t>
        </is>
      </c>
      <c r="P96" s="33" t="n"/>
      <c r="Q96" s="33" t="inlineStr">
        <is>
          <t>Yes</t>
        </is>
      </c>
      <c r="R96" s="39" t="n">
        <v>8</v>
      </c>
      <c r="S96" s="39" t="n"/>
      <c r="T96" s="35" t="n">
        <v>46235</v>
      </c>
      <c r="U96" s="33" t="inlineStr">
        <is>
          <t>Medium</t>
        </is>
      </c>
      <c r="V96" s="33" t="inlineStr">
        <is>
          <t>Dynamic Source Discovery</t>
        </is>
      </c>
      <c r="W96" s="33" t="inlineStr">
        <is>
          <t>EAO-31</t>
        </is>
      </c>
      <c r="X96" s="33" t="inlineStr">
        <is>
          <t>Feeds reporting the Qilin ransomware breach at Gindre India were not captured on the EventWatch portal; Engineering investigation requested 31-Aug-2026. RCA reviewed and shared with the customer 03-Sep-2026.</t>
        </is>
      </c>
      <c r="Y96" s="33" t="inlineStr">
        <is>
          <t>Product &amp; Platform</t>
        </is>
      </c>
      <c r="Z96" s="37" t="n">
        <v>46272</v>
      </c>
    </row>
    <row r="97">
      <c r="A97" s="35" t="n">
        <v>46235</v>
      </c>
      <c r="B97" s="37" t="n">
        <v>46265</v>
      </c>
      <c r="C97" s="33" t="inlineStr">
        <is>
          <t>Cyber Attack</t>
        </is>
      </c>
      <c r="D97" s="33" t="inlineStr">
        <is>
          <t>Merck</t>
        </is>
      </c>
      <c r="E97" s="39" t="n">
        <v>1</v>
      </c>
      <c r="F97" s="33" t="inlineStr">
        <is>
          <t>Baxter International Reports a Cybersecurity Incident</t>
        </is>
      </c>
      <c r="G97" s="33" t="inlineStr">
        <is>
          <t>Complaint</t>
        </is>
      </c>
      <c r="H97" s="33" t="inlineStr">
        <is>
          <t>Missed Event</t>
        </is>
      </c>
      <c r="I97" s="33" t="inlineStr">
        <is>
          <t>People</t>
        </is>
      </c>
      <c r="J97" s="33" t="inlineStr">
        <is>
          <t>Review</t>
        </is>
      </c>
      <c r="K97" s="33" t="inlineStr">
        <is>
          <t>Improvement</t>
        </is>
      </c>
      <c r="L97" s="33" t="inlineStr">
        <is>
          <t>RCA Shared</t>
        </is>
      </c>
      <c r="M97" s="33" t="inlineStr">
        <is>
          <t>Not Impactful Decision Validation</t>
        </is>
      </c>
      <c r="N97" s="33" t="inlineStr">
        <is>
          <t>Yes</t>
        </is>
      </c>
      <c r="O97" s="33" t="inlineStr">
        <is>
          <t>Customer reported the missed Baxter ransomware incident. EventWatch captured the report on August 14, but human review incorrectly marked it Not Impactful; the event was re-evaluated, a WarRoom was created, and an NC was raised.</t>
        </is>
      </c>
      <c r="P97" s="33" t="n"/>
      <c r="Q97" s="33" t="inlineStr">
        <is>
          <t>Yes</t>
        </is>
      </c>
      <c r="R97" s="39" t="n">
        <v>8</v>
      </c>
      <c r="S97" s="39" t="n"/>
      <c r="T97" s="35" t="n">
        <v>46235</v>
      </c>
      <c r="U97" s="33" t="inlineStr">
        <is>
          <t>Medium</t>
        </is>
      </c>
      <c r="V97" s="33" t="inlineStr">
        <is>
          <t>WarRoom &amp; Decision Validation</t>
        </is>
      </c>
      <c r="X97" s="33" t="n"/>
      <c r="Y97" s="33" t="inlineStr">
        <is>
          <t>EventWatch Ops - Nitin Rindhe</t>
        </is>
      </c>
      <c r="Z97" s="37" t="n"/>
    </row>
    <row r="98">
      <c r="A98" s="35" t="n">
        <v>46235</v>
      </c>
      <c r="B98" s="37" t="n">
        <v>46265</v>
      </c>
      <c r="C98" s="33" t="inlineStr">
        <is>
          <t>Cyber Attack</t>
        </is>
      </c>
      <c r="D98" s="33" t="inlineStr">
        <is>
          <t>Merck</t>
        </is>
      </c>
      <c r="E98" s="39" t="n">
        <v>1</v>
      </c>
      <c r="F98" s="33" t="inlineStr">
        <is>
          <t>McKesson Corporation Confirms Data Breach Following a Cybersecurity Incident</t>
        </is>
      </c>
      <c r="G98" s="33" t="inlineStr">
        <is>
          <t>Complaint</t>
        </is>
      </c>
      <c r="H98" s="33" t="inlineStr">
        <is>
          <t>Missed Event</t>
        </is>
      </c>
      <c r="I98" s="33" t="inlineStr">
        <is>
          <t>People</t>
        </is>
      </c>
      <c r="J98" s="33" t="inlineStr">
        <is>
          <t>Review</t>
        </is>
      </c>
      <c r="K98" s="33" t="inlineStr">
        <is>
          <t>Improvement</t>
        </is>
      </c>
      <c r="L98" s="33" t="inlineStr">
        <is>
          <t>RCA Shared</t>
        </is>
      </c>
      <c r="M98" s="33" t="inlineStr">
        <is>
          <t>Entity &amp; Duplicate Decision Validation</t>
        </is>
      </c>
      <c r="N98" s="33" t="inlineStr">
        <is>
          <t>Yes</t>
        </is>
      </c>
      <c r="O98" s="33" t="inlineStr">
        <is>
          <t>Customer reported the missed McKesson data-breach incident. EventWatch captured the report on August 28, but human review assumed it was already covered; the event was re-evaluated, a WarRoom was created, and an NC was raised.</t>
        </is>
      </c>
      <c r="P98" s="33" t="n"/>
      <c r="Q98" s="33" t="inlineStr">
        <is>
          <t>Yes</t>
        </is>
      </c>
      <c r="R98" s="39" t="n">
        <v>8</v>
      </c>
      <c r="S98" s="39" t="n"/>
      <c r="T98" s="35" t="n">
        <v>46235</v>
      </c>
      <c r="U98" s="33" t="inlineStr">
        <is>
          <t>Medium</t>
        </is>
      </c>
      <c r="V98" s="33" t="inlineStr">
        <is>
          <t>WarRoom &amp; Decision Validation</t>
        </is>
      </c>
      <c r="X98" s="33" t="n"/>
      <c r="Y98" s="33" t="inlineStr">
        <is>
          <t>EventWatch Ops - Nitin Rindhe</t>
        </is>
      </c>
      <c r="Z98" s="37" t="n"/>
    </row>
    <row r="99">
      <c r="A99" s="35" t="n">
        <v>46235</v>
      </c>
      <c r="B99" s="37" t="n">
        <v>46265</v>
      </c>
      <c r="C99" s="33" t="inlineStr">
        <is>
          <t>Counterfeit</t>
        </is>
      </c>
      <c r="D99" s="33" t="inlineStr">
        <is>
          <t>Liberty Blume</t>
        </is>
      </c>
      <c r="E99" s="39" t="n">
        <v>1</v>
      </c>
      <c r="F99" s="33" t="inlineStr">
        <is>
          <t>Ciena 400G Optics Counterfeit Risk Intelligence Request (Liberty Blume)</t>
        </is>
      </c>
      <c r="G99" s="33" t="inlineStr">
        <is>
          <t>Inquiry</t>
        </is>
      </c>
      <c r="H99" s="33" t="inlineStr">
        <is>
          <t>Intelligence/Advisory Request</t>
        </is>
      </c>
      <c r="I99" s="33" t="inlineStr">
        <is>
          <t>Process</t>
        </is>
      </c>
      <c r="J99" s="33" t="inlineStr">
        <is>
          <t>Process Clarification</t>
        </is>
      </c>
      <c r="K99" s="33" t="inlineStr">
        <is>
          <t>Improvement</t>
        </is>
      </c>
      <c r="L99" s="33" t="inlineStr">
        <is>
          <t>Clarification Provided</t>
        </is>
      </c>
      <c r="M99" s="33" t="inlineStr">
        <is>
          <t>Counterfeit/grey-market component intelligence briefing capability</t>
        </is>
      </c>
      <c r="N99" s="33" t="inlineStr">
        <is>
          <t>No</t>
        </is>
      </c>
      <c r="O99" s="33" t="inlineStr">
        <is>
          <t>Staged from Jira EAO-32 (Open). Liberty Blume requested industry intelligence on counterfeit/grey-market Ciena 400G optical transceivers beyond the supplier scanning report already provided.</t>
        </is>
      </c>
      <c r="Q99" s="33" t="inlineStr">
        <is>
          <t>No</t>
        </is>
      </c>
      <c r="R99" s="39" t="n">
        <v>8</v>
      </c>
      <c r="T99" s="35" t="n">
        <v>46235</v>
      </c>
      <c r="U99" s="33" t="inlineStr">
        <is>
          <t>Low</t>
        </is>
      </c>
      <c r="V99" s="33" t="inlineStr">
        <is>
          <t>Other Control Automation</t>
        </is>
      </c>
      <c r="W99" s="33" t="inlineStr">
        <is>
          <t>EAO-32</t>
        </is>
      </c>
      <c r="X99"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99" s="33" t="inlineStr">
        <is>
          <t>EventWatch Ops - Nitin Rindhe</t>
        </is>
      </c>
      <c r="Z99" s="37" t="n"/>
    </row>
    <row r="100">
      <c r="A100" s="35" t="n">
        <v>46266</v>
      </c>
      <c r="B100" s="37" t="n">
        <v>46267</v>
      </c>
      <c r="C100" s="33" t="inlineStr">
        <is>
          <t>Geopolitical</t>
        </is>
      </c>
      <c r="D100" s="33" t="inlineStr">
        <is>
          <t>Caterpillar</t>
        </is>
      </c>
      <c r="E100" s="39" t="n">
        <v>1</v>
      </c>
      <c r="F100" s="33" t="inlineStr">
        <is>
          <t>Taiwan Strait Conflict Risk Assessment – Missed EventWatch Notification</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Geopolitical conflict risk-assessment scenario monitoring and escalation</t>
        </is>
      </c>
      <c r="N100" s="33" t="inlineStr">
        <is>
          <t>Yes</t>
        </is>
      </c>
      <c r="O100" s="33" t="inlineStr">
        <is>
          <t>Staged from Jira EAO-33 (In Progress). Caterpillar reported no notification for “Taiwan Strait Conflict Risk Assessment and Potential Global Supply Chain Impact”; CS found no matching event in the backend.</t>
        </is>
      </c>
      <c r="Q100" s="33" t="inlineStr">
        <is>
          <t>Yes</t>
        </is>
      </c>
      <c r="R100" s="39" t="n">
        <v>9</v>
      </c>
      <c r="T100" s="35" t="n">
        <v>46266</v>
      </c>
      <c r="U100" s="33" t="inlineStr">
        <is>
          <t>Medium</t>
        </is>
      </c>
      <c r="V100" s="33" t="inlineStr">
        <is>
          <t>WarRoom &amp; Decision Validation</t>
        </is>
      </c>
      <c r="W100" s="33" t="inlineStr">
        <is>
          <t>EAO-33</t>
        </is>
      </c>
      <c r="X100" s="33" t="inlineStr">
        <is>
          <t>Human error. The analyst marked the event Not Impactful while clearing stories at pace, so it was never escalated for WarRoom consideration. The event was captured and available for review; ingestion, source coverage and mapping did not contribute.</t>
        </is>
      </c>
      <c r="Y100" s="33" t="inlineStr">
        <is>
          <t>EventWatch Ops - Nitin Rindhe</t>
        </is>
      </c>
      <c r="Z100" s="37" t="n"/>
    </row>
    <row r="101">
      <c r="A101" s="35" t="n">
        <v>46266</v>
      </c>
      <c r="B101" s="37" t="n">
        <v>46268</v>
      </c>
      <c r="C101" s="33" t="inlineStr">
        <is>
          <t>Protest/Riot</t>
        </is>
      </c>
      <c r="D101" s="33" t="inlineStr">
        <is>
          <t>Ford</t>
        </is>
      </c>
      <c r="E101" s="39" t="n">
        <v>1</v>
      </c>
      <c r="F101" s="33" t="inlineStr">
        <is>
          <t>Western Balkans Truck Driver/EU Border Blockade – August 31 Update Missed Alert (Ford)</t>
        </is>
      </c>
      <c r="G101" s="33" t="inlineStr">
        <is>
          <t>Complaint</t>
        </is>
      </c>
      <c r="H101" s="33" t="inlineStr">
        <is>
          <t>Missed Event</t>
        </is>
      </c>
      <c r="I101" s="33" t="inlineStr">
        <is>
          <t>People</t>
        </is>
      </c>
      <c r="J101" s="33" t="inlineStr">
        <is>
          <t>Review</t>
        </is>
      </c>
      <c r="K101" s="33" t="inlineStr">
        <is>
          <t>Improvement</t>
        </is>
      </c>
      <c r="L101" s="33" t="inlineStr">
        <is>
          <t>RCA Shared</t>
        </is>
      </c>
      <c r="M101" s="33" t="inlineStr">
        <is>
          <t>Recurring/evolving-event WarRoom update monitoring and re-escalation detection</t>
        </is>
      </c>
      <c r="N101" s="33" t="inlineStr">
        <is>
          <t>Yes</t>
        </is>
      </c>
      <c r="O101"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1" s="33" t="inlineStr">
        <is>
          <t>Yes</t>
        </is>
      </c>
      <c r="R101" s="39" t="n">
        <v>9</v>
      </c>
      <c r="T101" s="35" t="n">
        <v>46266</v>
      </c>
      <c r="U101" s="33" t="inlineStr">
        <is>
          <t>Medium</t>
        </is>
      </c>
      <c r="V101" s="33" t="inlineStr">
        <is>
          <t>WarRoom &amp; Decision Validation</t>
        </is>
      </c>
      <c r="W101" s="33" t="inlineStr">
        <is>
          <t>EAO-34</t>
        </is>
      </c>
      <c r="X101" s="33" t="inlineStr">
        <is>
          <t>Human error. The analyst marked the event Not Impactful while clearing stories at pace, so it was never escalated for WarRoom consideration. The event was captured and available for review; ingestion, source coverage and mapping did not contribute.</t>
        </is>
      </c>
      <c r="Y101" s="33" t="inlineStr">
        <is>
          <t>EventWatch Ops - Nitin Rindhe</t>
        </is>
      </c>
      <c r="Z101" s="37" t="n"/>
    </row>
    <row r="102">
      <c r="A102" s="35" t="n">
        <v>46266</v>
      </c>
      <c r="B102" s="37" t="n">
        <v>46272</v>
      </c>
      <c r="C102" s="33" t="inlineStr">
        <is>
          <t>Power Outage</t>
        </is>
      </c>
      <c r="D102" s="33" t="inlineStr">
        <is>
          <t>Eaton/Ford</t>
        </is>
      </c>
      <c r="E102" s="39" t="n">
        <v>2</v>
      </c>
      <c r="F102" s="33" t="inlineStr">
        <is>
          <t>Punjab Region Risk Event – Supplier Sites Outside the Impact Area Mapped for Impact Confirmation (Eaton/Ford)</t>
        </is>
      </c>
      <c r="G102" s="33" t="inlineStr">
        <is>
          <t>Complaint</t>
        </is>
      </c>
      <c r="H102" s="33" t="inlineStr">
        <is>
          <t>Geographic Misclassification</t>
        </is>
      </c>
      <c r="I102" s="33" t="inlineStr">
        <is>
          <t>Product</t>
        </is>
      </c>
      <c r="J102" s="33" t="inlineStr">
        <is>
          <t>Mapping</t>
        </is>
      </c>
      <c r="K102" s="33" t="inlineStr">
        <is>
          <t>Improvement</t>
        </is>
      </c>
      <c r="L102" s="33" t="inlineStr">
        <is>
          <t>RCA Shared</t>
        </is>
      </c>
      <c r="M102" s="33" t="inlineStr">
        <is>
          <t>Geographic validation of supplier site geocodes against the event impact polygon before impact-confirmation requests are issued, so sites outside the affected region cannot be attached to an event</t>
        </is>
      </c>
      <c r="N102" s="33" t="inlineStr">
        <is>
          <t>Yes</t>
        </is>
      </c>
      <c r="O102"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probable cause is incorrect geocoding of supplier site coordinates rather than an operator or polygon error. Ford requested RCA, immediate corrective action and preventive corrective action. Number of Customers is 2; see the customer exposure table for the per-customer split.</t>
        </is>
      </c>
      <c r="P102" s="33" t="n"/>
      <c r="Q102" s="33" t="inlineStr">
        <is>
          <t>No</t>
        </is>
      </c>
      <c r="R102" s="39" t="n">
        <v>9</v>
      </c>
      <c r="S102" s="39" t="n"/>
      <c r="T102" s="35" t="inlineStr">
        <is>
          <t>Sep 2026</t>
        </is>
      </c>
      <c r="U102" s="33" t="inlineStr">
        <is>
          <t>Medium</t>
        </is>
      </c>
      <c r="V102" s="33" t="inlineStr">
        <is>
          <t>AI-Assisted Geofencing</t>
        </is>
      </c>
      <c r="W102" s="33" t="inlineStr">
        <is>
          <t>EAO-35/EAO-36</t>
        </is>
      </c>
      <c r="X102" s="33" t="inlineStr">
        <is>
          <t>Supplier selection for this event was system-driven: a polygon was drawn around the affected region in Punjab, so no analyst chose the sites by hand and an incorrect manual selection is not possible. The probable cause is incorrect geocoding placing supplier sites inside the impact area. Reported to Eaton and Ford on that basis.</t>
        </is>
      </c>
      <c r="Y102" s="33" t="inlineStr">
        <is>
          <t>Product &amp; Platform</t>
        </is>
      </c>
      <c r="Z102" s="37" t="n"/>
    </row>
    <row r="103">
      <c r="A103" s="35" t="n">
        <v>46266</v>
      </c>
      <c r="B103" s="37" t="n">
        <v>46273</v>
      </c>
      <c r="C103" s="33" t="inlineStr">
        <is>
          <t>Extreme Weather</t>
        </is>
      </c>
      <c r="D103" s="33" t="inlineStr">
        <is>
          <t>Sandisk</t>
        </is>
      </c>
      <c r="E103" s="39" t="n">
        <v>1</v>
      </c>
      <c r="F103" s="33" t="inlineStr">
        <is>
          <t>Record Heavy Rain in Yokkaichi City, Japan – No EventWatch Notification (Sandisk)</t>
        </is>
      </c>
      <c r="G103" s="33" t="inlineStr">
        <is>
          <t>Complaint</t>
        </is>
      </c>
      <c r="H103" s="33" t="inlineStr">
        <is>
          <t>Delayed Event</t>
        </is>
      </c>
      <c r="I103" s="33" t="inlineStr">
        <is>
          <t>People</t>
        </is>
      </c>
      <c r="J103" s="33" t="inlineStr">
        <is>
          <t>Captured Late</t>
        </is>
      </c>
      <c r="K103" s="33" t="inlineStr">
        <is>
          <t>Improvement</t>
        </is>
      </c>
      <c r="L103" s="33" t="inlineStr">
        <is>
          <t>RCA Shared</t>
        </is>
      </c>
      <c r="M103" s="33" t="inlineStr">
        <is>
          <t>Timeliness monitoring that flags a region already producing captured stories where a related event has not been published within the reporting window</t>
        </is>
      </c>
      <c r="N103" s="33" t="inlineStr">
        <is>
          <t>Yes</t>
        </is>
      </c>
      <c r="O103"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3" s="33" t="inlineStr">
        <is>
          <t>~1 day (customer query 08-Sep-2026 -&gt; EventWatch report 09-Sep-2026)</t>
        </is>
      </c>
      <c r="Q103" s="33" t="inlineStr">
        <is>
          <t>Yes</t>
        </is>
      </c>
      <c r="R103" s="39" t="n">
        <v>9</v>
      </c>
      <c r="S103" s="39" t="n"/>
      <c r="T103" s="35" t="inlineStr">
        <is>
          <t>Sep 2026</t>
        </is>
      </c>
      <c r="U103" s="33" t="inlineStr">
        <is>
          <t>Medium</t>
        </is>
      </c>
      <c r="V103" s="33" t="inlineStr">
        <is>
          <t>WarRoom &amp; Decision Validation</t>
        </is>
      </c>
      <c r="W103" s="33" t="inlineStr">
        <is>
          <t>EAO-37</t>
        </is>
      </c>
      <c r="X103"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3" s="33" t="inlineStr">
        <is>
          <t>EventWatch Ops - Nitin Rindhe</t>
        </is>
      </c>
      <c r="Z103" s="37" t="n"/>
    </row>
    <row r="104">
      <c r="A104" s="35" t="n">
        <v>46266</v>
      </c>
      <c r="B104" s="37" t="n">
        <v>46273</v>
      </c>
      <c r="C104" s="33" t="inlineStr">
        <is>
          <t>Merger &amp; Acquisition</t>
        </is>
      </c>
      <c r="D104" s="33" t="inlineStr">
        <is>
          <t>Eaton</t>
        </is>
      </c>
      <c r="E104" s="39" t="n">
        <v>1</v>
      </c>
      <c r="F104" s="33" t="inlineStr">
        <is>
          <t>Vertiv Acquires UtilityInnovation Group – Supplier Notification and Medium Risk Classification Queried (Eaton)</t>
        </is>
      </c>
      <c r="G104" s="33" t="inlineStr">
        <is>
          <t>Inquiry</t>
        </is>
      </c>
      <c r="H104" s="33" t="inlineStr">
        <is>
          <t>Severity / consolidation handling concern</t>
        </is>
      </c>
      <c r="I104" s="33" t="inlineStr">
        <is>
          <t>Process</t>
        </is>
      </c>
      <c r="J104" s="33" t="inlineStr">
        <is>
          <t>Policy/Logic</t>
        </is>
      </c>
      <c r="K104" s="33" t="inlineStr">
        <is>
          <t>Improvement</t>
        </is>
      </c>
      <c r="L104" s="33" t="inlineStr">
        <is>
          <t>Clarification Provided</t>
        </is>
      </c>
      <c r="M104" s="33" t="inlineStr">
        <is>
          <t>Automated enforcement of the M&amp;A notification threshold so acquiring-side suppliers are excluded from impact-confirmation requests, plus a documented basis for the risk classification</t>
        </is>
      </c>
      <c r="N104" s="33" t="inlineStr">
        <is>
          <t>No</t>
        </is>
      </c>
      <c r="O104"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4" s="33" t="n"/>
      <c r="Q104" s="33" t="inlineStr">
        <is>
          <t>No</t>
        </is>
      </c>
      <c r="R104" s="39" t="n">
        <v>9</v>
      </c>
      <c r="S104" s="39" t="n"/>
      <c r="T104" s="35" t="inlineStr">
        <is>
          <t>Sep 2026</t>
        </is>
      </c>
      <c r="U104" s="33" t="inlineStr">
        <is>
          <t>Low</t>
        </is>
      </c>
      <c r="V104" s="33" t="inlineStr">
        <is>
          <t>WarRoom &amp; Decision Validation</t>
        </is>
      </c>
      <c r="W104" s="33" t="inlineStr">
        <is>
          <t>EAO-38</t>
        </is>
      </c>
      <c r="X104"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4" s="33" t="inlineStr">
        <is>
          <t>EventWatch Ops - Nitin Rindhe</t>
        </is>
      </c>
      <c r="Z104" s="37" t="n"/>
    </row>
    <row r="105">
      <c r="A105" s="35" t="n">
        <v>46266</v>
      </c>
      <c r="B105" s="37" t="n">
        <v>46276</v>
      </c>
      <c r="C105" s="33" t="inlineStr">
        <is>
          <t>Supply Shortage</t>
        </is>
      </c>
      <c r="D105" s="33" t="inlineStr">
        <is>
          <t>Belden Inc</t>
        </is>
      </c>
      <c r="E105" s="39" t="n">
        <v>1</v>
      </c>
      <c r="F105" s="33" t="inlineStr">
        <is>
          <t>TSMC 28nm Production Capacity Reduction – No EventWatch Notification (Belden)</t>
        </is>
      </c>
      <c r="G105" s="33" t="inlineStr">
        <is>
          <t>Inquiry</t>
        </is>
      </c>
      <c r="H105" s="33" t="inlineStr">
        <is>
          <t>Coverage Verification Request</t>
        </is>
      </c>
      <c r="I105" s="33" t="inlineStr">
        <is>
          <t>Product</t>
        </is>
      </c>
      <c r="J105" s="33" t="inlineStr">
        <is>
          <t>Source Coverage</t>
        </is>
      </c>
      <c r="K105" s="33" t="inlineStr">
        <is>
          <t>Improvement</t>
        </is>
      </c>
      <c r="L105" s="33" t="inlineStr">
        <is>
          <t>Clarification Provided</t>
        </is>
      </c>
      <c r="M105"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5" s="33" t="inlineStr">
        <is>
          <t>Yes</t>
        </is>
      </c>
      <c r="O105" s="33" t="inlineStr">
        <is>
          <t>EAO-39: Belden asked why they received no EventWatch notification and saw no related news for TSMC's 28nm production capacity reduction. The query ran on through two follow-ups, both part of the same contact rather than separate records. First, on 18-Sep-2026 the customer cited a 22-Jun-2026 report that TSMC denied phasing out 28nm and asked how EventWatch separates real reporting from fake, what criteria establish that a notification is not fake, and whether the 28nm reduction is real; a written assessment was issued covering the source hierarchy, the five evidence grades and the TSMC timeline. Second, on 22-Sep-2026 the customer corrected their own position and confirmed TSMC is not mapped in their BOM - they source the wafer via Broadcom, and the Taiwan Semiconductor entity they had mapped covers resistors and MOSFETs - so no customer notification was owed. Reclassified on review from Complaint to Inquiry with Missed_Flag No, and logged under Source Coverage.</t>
        </is>
      </c>
      <c r="P105" s="33" t="n"/>
      <c r="Q105" s="33" t="inlineStr">
        <is>
          <t>No</t>
        </is>
      </c>
      <c r="R105" s="39" t="n">
        <v>9</v>
      </c>
      <c r="S105" s="39" t="n"/>
      <c r="T105" s="35" t="inlineStr">
        <is>
          <t>Sep 2026</t>
        </is>
      </c>
      <c r="U105" s="33" t="inlineStr">
        <is>
          <t>Medium</t>
        </is>
      </c>
      <c r="V105" s="33" t="inlineStr">
        <is>
          <t>Dynamic Source Discovery</t>
        </is>
      </c>
      <c r="W105" s="33" t="inlineStr">
        <is>
          <t>EAO-39</t>
        </is>
      </c>
      <c r="X105"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5" s="33" t="inlineStr">
        <is>
          <t>Product &amp; Platform</t>
        </is>
      </c>
      <c r="Z105" s="37" t="n"/>
    </row>
    <row r="106">
      <c r="A106" s="35" t="n">
        <v>46266</v>
      </c>
      <c r="B106" s="37" t="n">
        <v>46276</v>
      </c>
      <c r="C106" s="33" t="inlineStr">
        <is>
          <t>Supply Shortage</t>
        </is>
      </c>
      <c r="D106" s="33" t="inlineStr">
        <is>
          <t>Belden Inc</t>
        </is>
      </c>
      <c r="E106" s="39" t="n">
        <v>1</v>
      </c>
      <c r="F106" s="33" t="inlineStr">
        <is>
          <t>Murata MLCC Product Line Discontinuation – No EventWatch Notification (Belden)</t>
        </is>
      </c>
      <c r="G106" s="33" t="inlineStr">
        <is>
          <t>Complaint</t>
        </is>
      </c>
      <c r="H106" s="33" t="inlineStr">
        <is>
          <t>Missed Event</t>
        </is>
      </c>
      <c r="I106" s="33" t="inlineStr">
        <is>
          <t>People</t>
        </is>
      </c>
      <c r="J106" s="33" t="inlineStr">
        <is>
          <t>Review</t>
        </is>
      </c>
      <c r="K106" s="33" t="inlineStr">
        <is>
          <t>Improvement</t>
        </is>
      </c>
      <c r="L106" s="33" t="inlineStr">
        <is>
          <t>Pending</t>
        </is>
      </c>
      <c r="M106" s="33" t="inlineStr">
        <is>
          <t>Validation step on high-impact component end-of-life and discontinuation notices before an analyst can clear them, so a major supplier's EOL announcement cannot be dismissed at review</t>
        </is>
      </c>
      <c r="N106" s="33" t="inlineStr">
        <is>
          <t>Yes</t>
        </is>
      </c>
      <c r="O106"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6" s="33" t="n"/>
      <c r="Q106" s="33" t="inlineStr">
        <is>
          <t>Yes</t>
        </is>
      </c>
      <c r="R106" s="39" t="n">
        <v>9</v>
      </c>
      <c r="S106" s="39" t="n"/>
      <c r="T106" s="35" t="inlineStr">
        <is>
          <t>Sep 2026</t>
        </is>
      </c>
      <c r="U106" s="33" t="inlineStr">
        <is>
          <t>Medium</t>
        </is>
      </c>
      <c r="V106" s="33" t="inlineStr">
        <is>
          <t>WarRoom &amp; Decision Validation</t>
        </is>
      </c>
      <c r="W106" s="33" t="inlineStr">
        <is>
          <t>EAO-39</t>
        </is>
      </c>
      <c r="X106" s="33" t="inlineStr">
        <is>
          <t>Analyst miss. The event was available for review and was not escalated into EventWatch coverage. Ingestion and source coverage did not contribute.</t>
        </is>
      </c>
      <c r="Y106" s="33" t="inlineStr">
        <is>
          <t>EventWatch Ops - Nitin Rindhe</t>
        </is>
      </c>
      <c r="Z106" s="37" t="n"/>
    </row>
    <row r="107">
      <c r="A107" s="35" t="n">
        <v>46266</v>
      </c>
      <c r="B107" s="37" t="n">
        <v>46276</v>
      </c>
      <c r="C107" s="33" t="inlineStr">
        <is>
          <t>Factory Fire</t>
        </is>
      </c>
      <c r="D107" s="33" t="inlineStr">
        <is>
          <t>Ford</t>
        </is>
      </c>
      <c r="E107" s="39" t="n">
        <v>1</v>
      </c>
      <c r="F107" s="33" t="inlineStr">
        <is>
          <t>Precision Resource Facility Fire, Mt. Sterling, Kentucky – Deep-Tier Supplier Event Not Captured (Ford)</t>
        </is>
      </c>
      <c r="G107" s="33" t="inlineStr">
        <is>
          <t>Complaint</t>
        </is>
      </c>
      <c r="H107" s="33" t="inlineStr">
        <is>
          <t>Missed Event</t>
        </is>
      </c>
      <c r="I107" s="33" t="inlineStr">
        <is>
          <t>Product</t>
        </is>
      </c>
      <c r="J107" s="33" t="inlineStr">
        <is>
          <t>Source Coverage</t>
        </is>
      </c>
      <c r="K107" s="33" t="inlineStr">
        <is>
          <t>Improvement</t>
        </is>
      </c>
      <c r="L107" s="33" t="inlineStr">
        <is>
          <t>Pending</t>
        </is>
      </c>
      <c r="M107" s="33" t="inlineStr">
        <is>
          <t>Monitoring of local and regional outlets covering industrial incidents at deep-tier supplier sites, with event-to-supply-chain correlation so a sub-tier fire is linked to the OEMs exposed through it</t>
        </is>
      </c>
      <c r="N107" s="33" t="inlineStr">
        <is>
          <t>Yes</t>
        </is>
      </c>
      <c r="O107"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7" s="33" t="n"/>
      <c r="Q107" s="33" t="inlineStr">
        <is>
          <t>Yes</t>
        </is>
      </c>
      <c r="R107" s="39" t="n">
        <v>9</v>
      </c>
      <c r="S107" s="39" t="n"/>
      <c r="T107" s="35" t="inlineStr">
        <is>
          <t>Sep 2026</t>
        </is>
      </c>
      <c r="U107" s="33" t="inlineStr">
        <is>
          <t>High</t>
        </is>
      </c>
      <c r="V107" s="33" t="inlineStr">
        <is>
          <t>Dynamic Source Discovery</t>
        </is>
      </c>
      <c r="W107" s="33" t="inlineStr">
        <is>
          <t>EAO-40</t>
        </is>
      </c>
      <c r="X107"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7" s="33" t="inlineStr">
        <is>
          <t>Product &amp; Platform</t>
        </is>
      </c>
      <c r="Z107" s="37" t="n"/>
    </row>
    <row r="108">
      <c r="A108" s="35" t="n">
        <v>46266</v>
      </c>
      <c r="B108" s="37" t="n">
        <v>46279</v>
      </c>
      <c r="C108" s="33" t="inlineStr">
        <is>
          <t>Bankruptcy</t>
        </is>
      </c>
      <c r="D108" s="33" t="inlineStr">
        <is>
          <t>Irving Oil</t>
        </is>
      </c>
      <c r="E108" s="39" t="n">
        <v>1</v>
      </c>
      <c r="F108" s="33" t="inlineStr">
        <is>
          <t>Paystone CCAA Filing – No EventWatch Notification (Irving Oil)</t>
        </is>
      </c>
      <c r="G108" s="33" t="inlineStr">
        <is>
          <t>Inquiry</t>
        </is>
      </c>
      <c r="H108" s="33" t="inlineStr">
        <is>
          <t>Missed insolvency alert</t>
        </is>
      </c>
      <c r="I108" s="33" t="inlineStr">
        <is>
          <t>Product</t>
        </is>
      </c>
      <c r="J108" s="33" t="inlineStr">
        <is>
          <t>Keyword Update</t>
        </is>
      </c>
      <c r="K108" s="33" t="inlineStr">
        <is>
          <t>Improvement</t>
        </is>
      </c>
      <c r="L108" s="33" t="inlineStr">
        <is>
          <t>RCA Shared</t>
        </is>
      </c>
      <c r="M108" s="33" t="inlineStr">
        <is>
          <t>Keyword coverage for insolvency and restructuring terminology in the bankruptcy algorithm, with a regression check when a filing type such as CCAA is added, so the same class of filing is not missed twice</t>
        </is>
      </c>
      <c r="N108" s="33" t="inlineStr">
        <is>
          <t>Yes</t>
        </is>
      </c>
      <c r="O108"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08" s="33" t="n"/>
      <c r="Q108" s="33" t="inlineStr">
        <is>
          <t>Yes</t>
        </is>
      </c>
      <c r="R108" s="39" t="n">
        <v>9</v>
      </c>
      <c r="S108" s="39" t="n"/>
      <c r="T108" s="35" t="inlineStr">
        <is>
          <t>Sep 2026</t>
        </is>
      </c>
      <c r="U108" s="33" t="inlineStr">
        <is>
          <t>Medium</t>
        </is>
      </c>
      <c r="V108" s="33" t="inlineStr">
        <is>
          <t>Dynamic Source Discovery</t>
        </is>
      </c>
      <c r="W108" s="33" t="inlineStr">
        <is>
          <t>EAO-41</t>
        </is>
      </c>
      <c r="X108"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08" s="33" t="inlineStr">
        <is>
          <t>Product &amp; Platform</t>
        </is>
      </c>
      <c r="Z108" s="37" t="n">
        <v>46288</v>
      </c>
    </row>
    <row r="109">
      <c r="A109" s="35" t="n">
        <v>46266</v>
      </c>
      <c r="B109" s="37" t="n">
        <v>46281</v>
      </c>
      <c r="C109" s="33" t="inlineStr">
        <is>
          <t>Bankruptcy</t>
        </is>
      </c>
      <c r="D109" s="33" t="inlineStr">
        <is>
          <t>Eaton</t>
        </is>
      </c>
      <c r="E109" s="39" t="n">
        <v>1</v>
      </c>
      <c r="F109" s="33" t="inlineStr">
        <is>
          <t>Pollmann Austria GmbH Insolvency – No EventWatch Notification (Eaton)</t>
        </is>
      </c>
      <c r="G109" s="33" t="inlineStr">
        <is>
          <t>Complaint</t>
        </is>
      </c>
      <c r="H109" s="33" t="inlineStr">
        <is>
          <t>Missed insolvency alert</t>
        </is>
      </c>
      <c r="I109" s="33" t="inlineStr">
        <is>
          <t>Product</t>
        </is>
      </c>
      <c r="J109" s="33" t="inlineStr">
        <is>
          <t>Keyword Update</t>
        </is>
      </c>
      <c r="K109" s="33" t="inlineStr">
        <is>
          <t>Improvement</t>
        </is>
      </c>
      <c r="L109" s="33" t="inlineStr">
        <is>
          <t>RCA Shared</t>
        </is>
      </c>
      <c r="M109" s="33" t="inlineStr">
        <is>
          <t>Keyword coverage for insolvency and restructuring terminology in the bankruptcy algorithm, with a regression check when a filing type is added, so the same class of filing is not missed twice</t>
        </is>
      </c>
      <c r="N109" s="33" t="inlineStr">
        <is>
          <t>Yes</t>
        </is>
      </c>
      <c r="O109"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09" s="33" t="inlineStr">
        <is>
          <t>15 days (01-Sep proceedings - 15-Sep escalation, never published)</t>
        </is>
      </c>
      <c r="Q109" s="33" t="inlineStr">
        <is>
          <t>Yes</t>
        </is>
      </c>
      <c r="R109" s="39" t="n">
        <v>9</v>
      </c>
      <c r="S109" s="39" t="n"/>
      <c r="T109" s="35" t="inlineStr">
        <is>
          <t>Sep 2026</t>
        </is>
      </c>
      <c r="U109" s="33" t="inlineStr">
        <is>
          <t>Medium</t>
        </is>
      </c>
      <c r="V109" s="33" t="inlineStr">
        <is>
          <t>Dynamic Source Discovery</t>
        </is>
      </c>
      <c r="W109" s="33" t="inlineStr">
        <is>
          <t>EAO-42</t>
        </is>
      </c>
      <c r="X109"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09" s="33" t="inlineStr">
        <is>
          <t>Product &amp; Platform</t>
        </is>
      </c>
      <c r="Z109" s="37" t="n">
        <v>46288</v>
      </c>
    </row>
    <row r="110">
      <c r="A110" s="35" t="n">
        <v>46266</v>
      </c>
      <c r="B110" s="37" t="n">
        <v>46283</v>
      </c>
      <c r="C110" s="33" t="inlineStr">
        <is>
          <t>Merger &amp; Acquisition</t>
        </is>
      </c>
      <c r="D110" s="33" t="inlineStr">
        <is>
          <t>Eaton</t>
        </is>
      </c>
      <c r="E110" s="39" t="n">
        <v>1</v>
      </c>
      <c r="F110" s="33" t="inlineStr">
        <is>
          <t>Clarification on Impact Confirmation Requests for Supplier Acquisitions (Eaton)</t>
        </is>
      </c>
      <c r="G110" s="33" t="inlineStr">
        <is>
          <t>Inquiry</t>
        </is>
      </c>
      <c r="H110" s="33" t="inlineStr">
        <is>
          <t>Monitoring Strategy RFI</t>
        </is>
      </c>
      <c r="I110" s="33" t="inlineStr">
        <is>
          <t>Process</t>
        </is>
      </c>
      <c r="J110" s="33" t="inlineStr">
        <is>
          <t>Process Clarification</t>
        </is>
      </c>
      <c r="K110" s="33" t="inlineStr">
        <is>
          <t>Improvement</t>
        </is>
      </c>
      <c r="L110" s="33" t="inlineStr">
        <is>
          <t>Clarification Provided</t>
        </is>
      </c>
      <c r="M110" s="33" t="inlineStr">
        <is>
          <t>Publish the M&amp;A impact-confirmation trigger criteria in-product, so the rationale for an acquiring-side outreach is visible on the request itself instead of being explained per account after the fact</t>
        </is>
      </c>
      <c r="N110" s="33" t="inlineStr">
        <is>
          <t>No</t>
        </is>
      </c>
      <c r="O110"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0" s="33" t="n"/>
      <c r="Q110" s="33" t="inlineStr">
        <is>
          <t>No</t>
        </is>
      </c>
      <c r="R110" s="39" t="n">
        <v>9</v>
      </c>
      <c r="S110" s="39" t="n"/>
      <c r="T110" s="35" t="inlineStr">
        <is>
          <t>Sep 2026</t>
        </is>
      </c>
      <c r="U110" s="33" t="inlineStr">
        <is>
          <t>Low</t>
        </is>
      </c>
      <c r="V110" s="33" t="inlineStr">
        <is>
          <t>WarRoom &amp; Decision Validation</t>
        </is>
      </c>
      <c r="W110" s="33" t="inlineStr">
        <is>
          <t>EAO-43</t>
        </is>
      </c>
      <c r="X110"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0" s="33" t="inlineStr">
        <is>
          <t>EventWatch Ops - Nitin Rindhe</t>
        </is>
      </c>
      <c r="Z110" s="37" t="n"/>
    </row>
    <row r="111">
      <c r="A111" s="35" t="n">
        <v>46266</v>
      </c>
      <c r="B111" s="37" t="n">
        <v>46289</v>
      </c>
      <c r="C111" s="33" t="inlineStr">
        <is>
          <t>Bankruptcy</t>
        </is>
      </c>
      <c r="D111" s="33" t="inlineStr">
        <is>
          <t>Eaton</t>
        </is>
      </c>
      <c r="E111" s="39" t="n">
        <v>1</v>
      </c>
      <c r="F111" s="33" t="inlineStr">
        <is>
          <t>UPG Enterprises Chapter 11 Mapped to Mapes &amp; Sprowl - Mapping and Severity Queried (Eaton)</t>
        </is>
      </c>
      <c r="G111" s="33" t="inlineStr">
        <is>
          <t>Inquiry</t>
        </is>
      </c>
      <c r="H111" s="33" t="inlineStr">
        <is>
          <t>Wrong Relevancy</t>
        </is>
      </c>
      <c r="I111" s="33" t="inlineStr">
        <is>
          <t>Product</t>
        </is>
      </c>
      <c r="J111" s="33" t="inlineStr">
        <is>
          <t>Mapping</t>
        </is>
      </c>
      <c r="K111" s="33" t="inlineStr">
        <is>
          <t>Improvement</t>
        </is>
      </c>
      <c r="L111" s="33" t="inlineStr">
        <is>
          <t>Clarification Provided</t>
        </is>
      </c>
      <c r="M111" s="33" t="inlineStr">
        <is>
          <t>Scope check on parent-subsidiary linkage for insolvency filings, so a WarRoom is not raised against a subsidiary the filing text explicitly excludes, plus a recorded basis for the severity grade</t>
        </is>
      </c>
      <c r="N111" s="33" t="inlineStr">
        <is>
          <t>No</t>
        </is>
      </c>
      <c r="O111" s="33" t="inlineStr">
        <is>
          <t>EAO-44: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Logged as an Inquiry and marked Clarification Provided on review; the explanation was given outside the ticket, which still shows Open in Jira with no comments.</t>
        </is>
      </c>
      <c r="P111" s="33" t="n"/>
      <c r="Q111" s="33" t="inlineStr">
        <is>
          <t>No</t>
        </is>
      </c>
      <c r="R111" s="39" t="n">
        <v>9</v>
      </c>
      <c r="S111" s="39" t="n"/>
      <c r="T111" s="35" t="inlineStr">
        <is>
          <t>Sep 2026</t>
        </is>
      </c>
      <c r="U111" s="33" t="inlineStr">
        <is>
          <t>Medium</t>
        </is>
      </c>
      <c r="V111" s="33" t="inlineStr">
        <is>
          <t>Entity &amp; Supplier Resolution</t>
        </is>
      </c>
      <c r="W111" s="33" t="inlineStr">
        <is>
          <t>EAO-44</t>
        </is>
      </c>
      <c r="X111" s="33" t="n"/>
      <c r="Y111" s="33" t="inlineStr">
        <is>
          <t>Product &amp; Platform</t>
        </is>
      </c>
      <c r="Z111" s="37" t="n"/>
    </row>
    <row r="112">
      <c r="A112" s="35" t="n">
        <v>46266</v>
      </c>
      <c r="B112" s="37" t="n">
        <v>46289</v>
      </c>
      <c r="C112" s="33" t="inlineStr">
        <is>
          <t>Factory Fire</t>
        </is>
      </c>
      <c r="D112" s="33" t="inlineStr">
        <is>
          <t>Ford</t>
        </is>
      </c>
      <c r="E112" s="39" t="n">
        <v>1</v>
      </c>
      <c r="F112" s="33" t="inlineStr">
        <is>
          <t>Purflux Group Filter Systems Maroc Facility Fire - 10-11 Day Alert Delay (Ford)</t>
        </is>
      </c>
      <c r="G112" s="33" t="inlineStr">
        <is>
          <t>Inquiry</t>
        </is>
      </c>
      <c r="H112" s="33" t="inlineStr">
        <is>
          <t>Delayed Event</t>
        </is>
      </c>
      <c r="I112" s="33" t="inlineStr">
        <is>
          <t>Product</t>
        </is>
      </c>
      <c r="J112" s="33" t="inlineStr">
        <is>
          <t>Captured Late</t>
        </is>
      </c>
      <c r="K112" s="33" t="inlineStr">
        <is>
          <t>Improvement</t>
        </is>
      </c>
      <c r="L112" s="33" t="inlineStr">
        <is>
          <t>Pending</t>
        </is>
      </c>
      <c r="M112" s="33" t="inlineStr">
        <is>
          <t>Latency monitoring on the gap between an incident's first public report and EventWatch publication, so a multi-day lag on a Tier-1 manufacturing site raises an internal alarm instead of waiting for the customer to notice</t>
        </is>
      </c>
      <c r="N112" s="33" t="inlineStr">
        <is>
          <t>Yes</t>
        </is>
      </c>
      <c r="O112"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Logged as an Inquiry on review. EventWatch review established that no article carrying the company name was captured on the portal on 11-Sep-2026; the rest of the delay is still under investigation.</t>
        </is>
      </c>
      <c r="P112" s="33" t="inlineStr">
        <is>
          <t>~10-11 days (event 11/12-Sep-2026 -&gt; published 22-Sep-2026)</t>
        </is>
      </c>
      <c r="Q112" s="33" t="inlineStr">
        <is>
          <t>Yes</t>
        </is>
      </c>
      <c r="R112" s="39" t="n">
        <v>9</v>
      </c>
      <c r="S112" s="39" t="n">
        <v>252</v>
      </c>
      <c r="T112" s="35" t="inlineStr">
        <is>
          <t>Sep 2026</t>
        </is>
      </c>
      <c r="U112" s="33" t="inlineStr">
        <is>
          <t>High</t>
        </is>
      </c>
      <c r="V112" s="33" t="inlineStr">
        <is>
          <t>Dynamic Source Discovery</t>
        </is>
      </c>
      <c r="W112" s="33" t="inlineStr">
        <is>
          <t>EAO-45</t>
        </is>
      </c>
      <c r="X112"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2" s="33" t="inlineStr">
        <is>
          <t>Product &amp; Platform</t>
        </is>
      </c>
      <c r="Z112"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33</v>
      </c>
      <c r="C67" s="23" t="n" cm="1">
        <f t="array" ref="C67:C76">_xlfn.ANCHORARRAY(B67)/COUNTIF(ComplaintTracker[Issue Type],"Complaint")</f>
        <v>0.3548387096774194</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1">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11</v>
      </c>
      <c r="K67" s="75" t="n">
        <v>2</v>
      </c>
      <c r="L67" s="75" t="n">
        <v>13</v>
      </c>
    </row>
    <row r="68" ht="23.25" customHeight="1">
      <c r="A68" s="20" t="inlineStr">
        <is>
          <t>Eaton</t>
        </is>
      </c>
      <c r="B68" s="22" t="n">
        <v>13</v>
      </c>
      <c r="C68" s="24" t="n">
        <v>0.13978494623655913</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0.07526881720430108</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4</v>
      </c>
      <c r="C70" s="24" t="n">
        <v>0.043010752688172046</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14</v>
      </c>
      <c r="K70" s="76" t="n">
        <v>0</v>
      </c>
      <c r="L70" s="76" t="n">
        <v>14</v>
      </c>
    </row>
    <row r="71" ht="23.25" customHeight="1">
      <c r="A71" s="20" t="inlineStr">
        <is>
          <t>GM</t>
        </is>
      </c>
      <c r="B71" s="22" t="n">
        <v>4</v>
      </c>
      <c r="C71" s="24" t="n">
        <v>0.043010752688172046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2</v>
      </c>
      <c r="K71" s="76" t="n">
        <v>1</v>
      </c>
      <c r="L71" s="76" t="n">
        <v>3</v>
      </c>
    </row>
    <row r="72" ht="18" customHeight="1">
      <c r="A72" s="20" t="inlineStr">
        <is>
          <t>Ford/GM</t>
        </is>
      </c>
      <c r="B72" s="22" t="n">
        <v>3</v>
      </c>
      <c r="C72" s="24" t="n">
        <v>0.03225806451612903</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7</v>
      </c>
      <c r="K72" s="76" t="n">
        <v>0</v>
      </c>
      <c r="L72" s="76" t="n">
        <v>7</v>
      </c>
    </row>
    <row r="73" ht="23.25" customHeight="1">
      <c r="A73" s="20" t="inlineStr">
        <is>
          <t>Hitachi</t>
        </is>
      </c>
      <c r="B73" s="22" t="n">
        <v>2</v>
      </c>
      <c r="C73" s="24" t="n">
        <v>0.021505376344086023</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Factory Closure</t>
        </is>
      </c>
      <c r="J73" s="76" t="n">
        <v>1</v>
      </c>
      <c r="K73" s="76" t="n">
        <v>0</v>
      </c>
      <c r="L73" s="76" t="n">
        <v>1</v>
      </c>
    </row>
    <row r="74" ht="23.25" customHeight="1">
      <c r="A74" s="20" t="inlineStr">
        <is>
          <t>Merck</t>
        </is>
      </c>
      <c r="B74" s="22" t="n">
        <v>2</v>
      </c>
      <c r="C74" s="24" t="n">
        <v>0.021505376344086023</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Disruption</t>
        </is>
      </c>
      <c r="J74" s="76" t="n">
        <v>1</v>
      </c>
      <c r="K74" s="76" t="n">
        <v>0</v>
      </c>
      <c r="L74" s="76" t="n">
        <v>1</v>
      </c>
    </row>
    <row r="75" ht="18" customHeight="1">
      <c r="A75" s="20" t="inlineStr">
        <is>
          <t>Schneider Electric</t>
        </is>
      </c>
      <c r="B75" s="22" t="n">
        <v>2</v>
      </c>
      <c r="C75" s="24" t="n">
        <v>0.021505376344086023</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Fire</t>
        </is>
      </c>
      <c r="J75" s="76" t="n">
        <v>13</v>
      </c>
      <c r="K75" s="76" t="n">
        <v>3</v>
      </c>
      <c r="L75" s="76" t="n">
        <v>16</v>
      </c>
    </row>
    <row r="76" ht="23.25" customHeight="1">
      <c r="A76" s="20" t="inlineStr">
        <is>
          <t>UVM Health Network</t>
        </is>
      </c>
      <c r="B76" s="22" t="n">
        <v>2</v>
      </c>
      <c r="C76" s="24" t="n">
        <v>0.021505376344086023</v>
      </c>
      <c r="D76" s="3" t="n"/>
      <c r="E76" s="25" t="inlineStr">
        <is>
          <t>Total</t>
        </is>
      </c>
      <c r="F76" s="26">
        <f>SUM(F67:F75)</f>
        <v/>
      </c>
      <c r="G76" s="27">
        <f>SUM(G67:G75)</f>
        <v/>
      </c>
      <c r="H76" s="3" t="n"/>
      <c r="I76" s="20" t="inlineStr">
        <is>
          <t>Financial Distress</t>
        </is>
      </c>
      <c r="J76" s="76" t="n">
        <v>1</v>
      </c>
      <c r="K76" s="76" t="n">
        <v>0</v>
      </c>
      <c r="L76" s="76" t="n">
        <v>1</v>
      </c>
    </row>
    <row r="77" ht="23.25" customHeight="1">
      <c r="A77" s="20" t="inlineStr">
        <is>
          <t>Other customers</t>
        </is>
      </c>
      <c r="B77" s="22">
        <f>COUNTIF(ComplaintTracker[Issue Type],"Complaint")-SUM(B67:B76)</f>
        <v/>
      </c>
      <c r="C77" s="24">
        <f>B77/COUNTIF(ComplaintTracker[Issue Type],"Complaint")</f>
        <v/>
      </c>
      <c r="D77" s="3" t="n"/>
      <c r="E77" s="3" t="n"/>
      <c r="F77" s="3" t="n"/>
      <c r="G77" s="3" t="n"/>
      <c r="H77" s="3" t="n"/>
      <c r="I77" s="20" t="inlineStr">
        <is>
          <t>Geopolitical</t>
        </is>
      </c>
      <c r="J77" s="76" t="n">
        <v>6</v>
      </c>
      <c r="K77" s="76" t="n">
        <v>1</v>
      </c>
      <c r="L77" s="76" t="n">
        <v>7</v>
      </c>
    </row>
    <row r="78" ht="18" customHeight="1">
      <c r="A78" s="25" t="inlineStr">
        <is>
          <t>Total</t>
        </is>
      </c>
      <c r="B78" s="26">
        <f>SUM(B67:B77)</f>
        <v/>
      </c>
      <c r="C78" s="27">
        <f>SUM(C67:C77)</f>
        <v/>
      </c>
      <c r="D78" s="3" t="n"/>
      <c r="E78" s="3" t="n"/>
      <c r="F78" s="3" t="n"/>
      <c r="G78" s="3" t="n"/>
      <c r="H78" s="3" t="n"/>
      <c r="I78" s="20" t="inlineStr">
        <is>
          <t>Hurricane/Typhoon</t>
        </is>
      </c>
      <c r="J78" s="76" t="n">
        <v>1</v>
      </c>
      <c r="K78" s="76" t="n">
        <v>1</v>
      </c>
      <c r="L78" s="76" t="n">
        <v>2</v>
      </c>
    </row>
    <row r="79" ht="23.25" customHeight="1">
      <c r="A79" s="3" t="n"/>
      <c r="B79" s="3" t="n"/>
      <c r="C79" s="3" t="n"/>
      <c r="D79" s="3" t="n"/>
      <c r="E79" s="3" t="n"/>
      <c r="F79" s="3" t="n"/>
      <c r="G79" s="3" t="n"/>
      <c r="H79" s="3" t="n"/>
      <c r="I79" s="20" t="inlineStr">
        <is>
          <t>Labor Disruption</t>
        </is>
      </c>
      <c r="J79" s="76" t="n">
        <v>5</v>
      </c>
      <c r="K79" s="76" t="n">
        <v>0</v>
      </c>
      <c r="L79" s="76" t="n">
        <v>5</v>
      </c>
    </row>
    <row r="80" ht="23.25" customHeight="1">
      <c r="A80" s="3" t="n"/>
      <c r="B80" s="3" t="n"/>
      <c r="C80" s="3" t="n"/>
      <c r="D80" s="3" t="n"/>
      <c r="E80" s="3" t="n"/>
      <c r="F80" s="3" t="n"/>
      <c r="G80" s="3" t="n"/>
      <c r="H80" s="3" t="n"/>
      <c r="I80" s="20" t="inlineStr">
        <is>
          <t>Leadership Transition</t>
        </is>
      </c>
      <c r="J80" s="76" t="n">
        <v>1</v>
      </c>
      <c r="K80" s="76" t="n">
        <v>0</v>
      </c>
      <c r="L80" s="76" t="n">
        <v>1</v>
      </c>
    </row>
    <row r="81" ht="18" customHeight="1">
      <c r="A81" s="3" t="n"/>
      <c r="B81" s="3" t="n"/>
      <c r="C81" s="3" t="n"/>
      <c r="D81" s="3" t="n"/>
      <c r="E81" s="3" t="n"/>
      <c r="F81" s="3" t="n"/>
      <c r="G81" s="3" t="n"/>
      <c r="H81" s="3" t="n"/>
      <c r="I81" s="20" t="inlineStr">
        <is>
          <t>Litigation/Legal</t>
        </is>
      </c>
      <c r="J81" s="76" t="n">
        <v>1</v>
      </c>
      <c r="K81" s="76" t="n">
        <v>0</v>
      </c>
      <c r="L81" s="76" t="n">
        <v>1</v>
      </c>
    </row>
    <row r="82" ht="23.25" customHeight="1">
      <c r="A82" s="3" t="n"/>
      <c r="B82" s="3" t="n"/>
      <c r="C82" s="3" t="n"/>
      <c r="D82" s="3" t="n"/>
      <c r="E82" s="3" t="n"/>
      <c r="F82" s="3" t="n"/>
      <c r="G82" s="3" t="n"/>
      <c r="H82" s="3" t="n"/>
      <c r="I82" s="20" t="inlineStr">
        <is>
          <t>Merger &amp; Acquisition</t>
        </is>
      </c>
      <c r="J82" s="76" t="n">
        <v>3</v>
      </c>
      <c r="K82" s="76" t="n">
        <v>2</v>
      </c>
      <c r="L82" s="76" t="n">
        <v>5</v>
      </c>
    </row>
    <row r="83" ht="23.25" customHeight="1">
      <c r="A83" s="3" t="n"/>
      <c r="B83" s="3" t="n"/>
      <c r="C83" s="3" t="n"/>
      <c r="D83" s="3" t="n"/>
      <c r="E83" s="3" t="n"/>
      <c r="F83" s="3" t="n"/>
      <c r="G83" s="3" t="n"/>
      <c r="H83" s="3" t="n"/>
      <c r="I83" s="20" t="inlineStr">
        <is>
          <t>Platform/Data Quality</t>
        </is>
      </c>
      <c r="J83" s="76" t="n">
        <v>2</v>
      </c>
      <c r="K83" s="76" t="n">
        <v>0</v>
      </c>
      <c r="L83" s="76" t="n">
        <v>2</v>
      </c>
    </row>
    <row r="84" ht="18" customHeight="1">
      <c r="A84" s="3" t="n"/>
      <c r="B84" s="3" t="n"/>
      <c r="C84" s="3" t="n"/>
      <c r="D84" s="3" t="n"/>
      <c r="E84" s="3" t="n"/>
      <c r="F84" s="3" t="n"/>
      <c r="G84" s="3" t="n"/>
      <c r="H84" s="3" t="n"/>
      <c r="I84" s="20" t="inlineStr">
        <is>
          <t>Power Outage</t>
        </is>
      </c>
      <c r="J84" s="76" t="n">
        <v>1</v>
      </c>
      <c r="K84" s="76" t="n">
        <v>1</v>
      </c>
      <c r="L84" s="76" t="n">
        <v>2</v>
      </c>
    </row>
    <row r="85" ht="23.25" customHeight="1">
      <c r="A85" s="3" t="n"/>
      <c r="B85" s="3" t="n"/>
      <c r="C85" s="3" t="n"/>
      <c r="D85" s="3" t="n"/>
      <c r="E85" s="3" t="n"/>
      <c r="F85" s="3" t="n"/>
      <c r="G85" s="3" t="n"/>
      <c r="H85" s="3" t="n"/>
      <c r="I85" s="20" t="inlineStr">
        <is>
          <t>Protest/Riot</t>
        </is>
      </c>
      <c r="J85" s="76" t="n">
        <v>5</v>
      </c>
      <c r="K85" s="76" t="n">
        <v>0</v>
      </c>
      <c r="L85" s="76" t="n">
        <v>5</v>
      </c>
    </row>
    <row r="86" ht="23.25" customHeight="1">
      <c r="A86" s="3" t="n"/>
      <c r="B86" s="3" t="n"/>
      <c r="C86" s="3" t="n"/>
      <c r="D86" s="3" t="n"/>
      <c r="E86" s="3" t="n"/>
      <c r="F86" s="3" t="n"/>
      <c r="G86" s="3" t="n"/>
      <c r="H86" s="3" t="n"/>
      <c r="I86" s="20" t="inlineStr">
        <is>
          <t>Regulatory Change</t>
        </is>
      </c>
      <c r="J86" s="76" t="n">
        <v>6</v>
      </c>
      <c r="K86" s="76" t="n">
        <v>0</v>
      </c>
      <c r="L86" s="76" t="n">
        <v>6</v>
      </c>
    </row>
    <row r="87" ht="18" customHeight="1">
      <c r="A87" s="3" t="n"/>
      <c r="B87" s="3" t="n"/>
      <c r="C87" s="3" t="n"/>
      <c r="D87" s="3" t="n"/>
      <c r="E87" s="3" t="n"/>
      <c r="F87" s="3" t="n"/>
      <c r="G87" s="3" t="n"/>
      <c r="H87" s="3" t="n"/>
      <c r="I87" s="20" t="inlineStr">
        <is>
          <t>Supply Shortage</t>
        </is>
      </c>
      <c r="J87" s="76" t="n">
        <v>4</v>
      </c>
      <c r="K87" s="76" t="n">
        <v>4</v>
      </c>
      <c r="L87" s="76" t="n">
        <v>8</v>
      </c>
      <c r="M87" s="3" t="n"/>
      <c r="N87" s="3" t="n"/>
      <c r="O87" s="3" t="n"/>
      <c r="P87" s="3" t="n"/>
      <c r="Q87" s="3" t="n"/>
      <c r="R87" s="3" t="n"/>
    </row>
    <row r="88" ht="18" customHeight="1">
      <c r="A88" s="3" t="n"/>
      <c r="B88" s="3" t="n"/>
      <c r="C88" s="3" t="n"/>
      <c r="D88" s="3" t="n"/>
      <c r="E88" s="3" t="n"/>
      <c r="F88" s="3" t="n"/>
      <c r="G88" s="3" t="n"/>
      <c r="H88" s="3" t="n"/>
      <c r="I88" s="20" t="inlineStr">
        <is>
          <t>Tornado</t>
        </is>
      </c>
      <c r="J88" s="76" t="n">
        <v>3</v>
      </c>
      <c r="K88" s="76" t="n">
        <v>0</v>
      </c>
      <c r="L88" s="76" t="n">
        <v>3</v>
      </c>
      <c r="M88" s="3" t="n"/>
      <c r="N88" s="3" t="n"/>
      <c r="O88" s="3" t="n"/>
      <c r="P88" s="3" t="n"/>
      <c r="Q88" s="3" t="n"/>
      <c r="R88" s="3" t="n"/>
    </row>
    <row r="89" ht="18" customHeight="1">
      <c r="A89" s="3" t="n"/>
      <c r="B89" s="3" t="n"/>
      <c r="C89" s="3" t="n"/>
      <c r="D89" s="3" t="n"/>
      <c r="E89" s="3" t="n"/>
      <c r="F89" s="3" t="n"/>
      <c r="G89" s="3" t="n"/>
      <c r="H89" s="3" t="n"/>
      <c r="I89" s="20" t="inlineStr">
        <is>
          <t>Transport Disruption</t>
        </is>
      </c>
      <c r="J89" s="76" t="n">
        <v>1</v>
      </c>
      <c r="K89" s="76" t="n">
        <v>1</v>
      </c>
      <c r="L89" s="76" t="n">
        <v>2</v>
      </c>
      <c r="M89" s="3" t="n"/>
      <c r="N89" s="3" t="n"/>
      <c r="O89" s="3" t="n"/>
      <c r="P89" s="3" t="n"/>
      <c r="Q89" s="3" t="n"/>
      <c r="R89" s="3" t="n"/>
    </row>
    <row r="90" ht="18" customHeight="1">
      <c r="A90" s="3" t="n"/>
      <c r="B90" s="3" t="n"/>
      <c r="C90" s="3" t="n"/>
      <c r="D90" s="3" t="n"/>
      <c r="E90" s="3" t="n"/>
      <c r="F90" s="3" t="n"/>
      <c r="G90" s="3" t="n"/>
      <c r="H90" s="3" t="n"/>
      <c r="I90" s="20" t="inlineStr">
        <is>
          <t>Wildfire</t>
        </is>
      </c>
      <c r="J90" s="76" t="n">
        <v>3</v>
      </c>
      <c r="K90" s="76" t="n">
        <v>1</v>
      </c>
      <c r="L90" s="76" t="n">
        <v>4</v>
      </c>
      <c r="M90" s="3" t="n"/>
      <c r="N90" s="3" t="n"/>
      <c r="O90" s="3" t="n"/>
      <c r="P90" s="3" t="n"/>
      <c r="Q90" s="3" t="n"/>
      <c r="R90" s="3" t="n"/>
    </row>
    <row r="91" ht="18" customHeight="1">
      <c r="A91" s="3" t="n"/>
      <c r="B91" s="3" t="n"/>
      <c r="C91" s="3" t="n"/>
      <c r="D91" s="3" t="n"/>
      <c r="E91" s="3" t="n"/>
      <c r="F91" s="3" t="n"/>
      <c r="G91" s="3" t="n"/>
      <c r="H91" s="3" t="n"/>
      <c r="I91" s="25" t="inlineStr">
        <is>
          <t>Total</t>
        </is>
      </c>
      <c r="J91" s="77" t="n">
        <v>93</v>
      </c>
      <c r="K91" s="77" t="n">
        <v>18</v>
      </c>
      <c r="L91" s="77" t="n">
        <v>111</v>
      </c>
      <c r="M91" s="3" t="n"/>
      <c r="N91" s="3" t="n"/>
      <c r="O91" s="3" t="n"/>
      <c r="P91" s="3" t="n"/>
      <c r="Q91" s="3" t="n"/>
      <c r="R91" s="3" t="n"/>
    </row>
    <row r="92" ht="18" customHeight="1">
      <c r="A92" s="3" t="n"/>
      <c r="B92" s="3" t="n"/>
      <c r="C92" s="3" t="n"/>
      <c r="D92" s="3" t="n"/>
      <c r="E92" s="3" t="n"/>
      <c r="F92" s="3" t="n"/>
      <c r="G92" s="3" t="n"/>
      <c r="H92" s="3" t="n"/>
      <c r="I92" s="3" t="n"/>
      <c r="J92" s="78" t="n"/>
      <c r="K92" s="78" t="n"/>
      <c r="L92" s="78" t="n"/>
      <c r="M92" s="3" t="n"/>
      <c r="N92" s="3" t="n"/>
      <c r="O92" s="3" t="n"/>
      <c r="P92" s="3" t="n"/>
      <c r="Q92" s="3" t="n"/>
      <c r="R92" s="3" t="n"/>
    </row>
    <row r="93" ht="18" customHeight="1">
      <c r="A93" s="3" t="n"/>
      <c r="B93" s="3" t="n"/>
      <c r="C93" s="3" t="n"/>
      <c r="D93" s="3" t="n"/>
      <c r="E93" s="3" t="n"/>
      <c r="F93" s="3" t="n"/>
      <c r="G93" s="3" t="n"/>
      <c r="H93" s="3" t="n"/>
      <c r="I93" s="3" t="n"/>
      <c r="J93" s="78" t="n"/>
      <c r="K93" s="78" t="n"/>
      <c r="L93" s="78" t="n"/>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51"/>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Litigation/Legal</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electrical power supply affecting a facility, region, or grid.</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