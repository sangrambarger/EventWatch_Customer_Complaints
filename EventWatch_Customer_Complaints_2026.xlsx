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13</v>
                </pt>
                <pt idx="8">
                  <v>14</v>
                </pt>
                <pt idx="9">
                  <v>8</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5</v>
                </pt>
                <pt idx="8">
                  <v>4</v>
                </pt>
                <pt idx="9">
                  <v>3</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40</v>
                </pt>
                <pt idx="2">
                  <v>17</v>
                </pt>
                <pt idx="3">
                  <v>0</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110</v>
                </pt>
                <pt idx="3">
                  <v>13</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59</v>
                </pt>
                <pt idx="1">
                  <v>43</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Belden Inc</v>
                </pt>
                <pt idx="5">
                  <v>GM</v>
                </pt>
                <pt idx="6">
                  <v>Ford/GM</v>
                </pt>
                <pt idx="7">
                  <v>General Mills</v>
                </pt>
                <pt idx="8">
                  <v>Irving Oil</v>
                </pt>
                <pt idx="9">
                  <v>META</v>
                </pt>
                <pt idx="10">
                  <v>Other customers</v>
                </pt>
              </strCache>
            </strRef>
          </cat>
          <val>
            <numRef>
              <f>Dashboard!$B$67:$B$77</f>
              <numCache>
                <formatCode>General</formatCode>
                <ptCount val="11"/>
                <pt idx="0">
                  <v>34</v>
                </pt>
                <pt idx="1">
                  <v>13</v>
                </pt>
                <pt idx="2">
                  <v>7</v>
                </pt>
                <pt idx="3">
                  <v>5</v>
                </pt>
                <pt idx="4">
                  <v>4</v>
                </pt>
                <pt idx="5">
                  <v>4</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36</v>
                </pt>
                <pt idx="2">
                  <v>5</v>
                </pt>
                <pt idx="3">
                  <v>4</v>
                </pt>
                <pt idx="4">
                  <v>8</v>
                </pt>
                <pt idx="5">
                  <v>1</v>
                </pt>
                <pt idx="6">
                  <v>4</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30"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30"/>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An analyst overlooked the event. Eaton reported missing EventWatch coverage of a CO2 leak involving fatalities at a mapped supplier facility; settled by the owner on 18-Oct-2026 as an analyst miss, which moved the root cause from Product to People and routed the row to EventWatch Ops. The RCA itself went to the customer on 15-Jun-2026 as a PDF whose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An analyst impact-assessment failure. The event was captured successfully and was then incorrectly assessed as Not Impactful during analyst review, so it was never escalated. The RCA went to the customer on 29-Jun-2026 as a PDF whose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A clustering defect. The feeds captured the fire and the platform clustered it with an unrelated factory fire in Germany, which prevented a separate WarRoom being created. Settled by the owner on 18-Oct-2026 as Product rather than an analyst failure. The WarRoom was published before the RCA was issued, and the RCA went to the customer on 25-Jun-2026 as a PDF whose text is not in the ticket.</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Source Coverage</t>
        </is>
      </c>
      <c r="K74" s="33" t="inlineStr">
        <is>
          <t>Improvement</t>
        </is>
      </c>
      <c r="L74" s="33" t="inlineStr">
        <is>
          <t>RCA Shared</t>
        </is>
      </c>
      <c r="M74" s="33" t="inlineStr">
        <is>
          <t>Vendor source network coverage for Mexican regional and industrial trade press, so a factory fire carried only by outlets outside the monitoring network is captured without a customer inquiry prompting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 Superseded on 22-Oct-2026: the owner settled the EAO-13 against EAO-25 contradiction over this one fire in favour of EAO-25's RCA, so the row is filed Source Coverage and the methodology-weakness account above is the explanation that was sent to Ford, not the cause the tracker now carries.</t>
        </is>
      </c>
      <c r="P74" s="33" t="n"/>
      <c r="Q74" s="33" t="inlineStr">
        <is>
          <t>Yes</t>
        </is>
      </c>
      <c r="R74" s="39" t="n">
        <v>7</v>
      </c>
      <c r="S74" s="39" t="n"/>
      <c r="T74" s="35" t="n">
        <v>46204</v>
      </c>
      <c r="U74" s="33" t="inlineStr">
        <is>
          <t>Medium</t>
        </is>
      </c>
      <c r="V74" s="33" t="inlineStr">
        <is>
          <t>Dynamic Source Discovery</t>
        </is>
      </c>
      <c r="W74" s="33" t="inlineStr">
        <is>
          <t>EAO-13</t>
        </is>
      </c>
      <c r="X74" s="33" t="inlineStr">
        <is>
          <t>An upstream source coverage gap. Superseded on 22-Oct-2026 by the owner, who settled this row against EAO-25's RCA for the same Cuautitlan FXI fire: Product Management confirmed that the sources reporting the incident were not part of the news vendor's monitoring network, so the articles were never captured by EventWatch and never proceeded to AI classification or human-in-the-loop review. The relevant sources were submitted to the vendor with a request to include them. This replaces the finding EAO-13's own RCA carried and that this row was filed on until today, which described the fire as captured by EventWatch and then classified Not Impactful by the AI models under a relevance-assessment methodology Resilinc accepted as deficient. The two RCAs went to Ford and they disagree; the owner has ruled that EAO-25's finding is the one the tracker carries.</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An AI misclassification reinforced during analyst review. The classification models did not sufficiently recognise the potential supply chain relevance of a factory fire involving an industrial manufacturing facility despite the severity of the incident. During manual review the initial AI assessment was accepted, so the event did not progress through the reporting workflow. Taken from the RCA shared with Ford on 13-Jul-2026, which supersedes the earlier note that the document text was unreadable from the ticket. Filed People / Review because the human review is where the assessment could have been corrected and was not.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People</t>
        </is>
      </c>
      <c r="J78" s="33" t="inlineStr">
        <is>
          <t>Review</t>
        </is>
      </c>
      <c r="K78" s="33" t="inlineStr">
        <is>
          <t>Improvement</t>
        </is>
      </c>
      <c r="L78" s="33" t="inlineStr">
        <is>
          <t>RCA Shared</t>
        </is>
      </c>
      <c r="M78" s="33" t="inlineStr">
        <is>
          <t>Not Impactful decision validation for legal actions involving a monitored supplier, so a significant legal development is checked against the reporting criteria before it is closed at review</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WarRoom &amp; Decision Validation</t>
        </is>
      </c>
      <c r="W78" s="33" t="inlineStr">
        <is>
          <t>EAO-17</t>
        </is>
      </c>
      <c r="X78" s="33" t="inlineStr">
        <is>
          <t>The root cause occurred during the analyst review stage, where the litigation was mistakenly assessed as Not Impactful. The event was excluded from publication despite meeting the EventWatch reporting criteria for significant legal developments involving a monitored supplier. Taken from the RCA shared with Micron, which supersedes the earlier filing of this row as Product / Source Coverage: the event was captured, and what failed was the review.</t>
        </is>
      </c>
      <c r="Y78" s="33" t="inlineStr">
        <is>
          <t>EventWatch Ops - Nitin Rindhe</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The analyst missed it. During the initial AI assessment the event was classified Not Impactful because the news articles primarily emphasised hazardous air quality levels and public health advisories resulting from wildfire smoke, and the broader operational and regional supply chain implications of the widespread air quality degradation were not sufficiently recognised at that stage. The classification was then not identified during the human-in-the-loop review, so the event was not progressed for publication until it was re-evaluated after Ford's notification. Taken from the RCA shared with Ford on 21-Jul-2026. Owner's ruling: this is an analyst miss and does not go to Product.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The analyst overlooked it. The missed publication occurred during the human review stage, where the significance of China's export control measures and their potential impact on affected suppliers and downstream supply chains was incorrectly assessed. The event was marked Not Impactful and was not published despite meeting the EventWatch reporting criteria. Taken from the RCA shared with Ford on 05-Aug-2026. Owner's ruling: this is an analyst miss and does not go to Product.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Inquiry</t>
        </is>
      </c>
      <c r="H92" s="33" t="inlineStr">
        <is>
          <t>Supplier Impact Mapping Clarification</t>
        </is>
      </c>
      <c r="I92" s="33" t="inlineStr">
        <is>
          <t>Process</t>
        </is>
      </c>
      <c r="J92" s="33" t="inlineStr">
        <is>
          <t>Supplier / Site Not Shared</t>
        </is>
      </c>
      <c r="K92" s="33" t="inlineStr">
        <is>
          <t>Improvement</t>
        </is>
      </c>
      <c r="L92" s="33" t="inlineStr">
        <is>
          <t>RCA Shared</t>
        </is>
      </c>
      <c r="M92" s="33" t="inlineStr">
        <is>
          <t>A site-data completeness review with the customer, so a facility of a named supplier that is absent from the customer-provided data is identified before an event tests it</t>
        </is>
      </c>
      <c r="N92" s="33" t="inlineStr">
        <is>
          <t>Yes</t>
        </is>
      </c>
      <c r="O92" s="33" t="inlineStr">
        <is>
          <t>EAO-26: Customer reported a missed EventWatch alert for the Sasol polyethylene plant fire and shutdown. Investigation and RCA were requested; RCA shared.</t>
        </is>
      </c>
      <c r="P92" s="33" t="n"/>
      <c r="Q92" s="33" t="inlineStr">
        <is>
          <t>No</t>
        </is>
      </c>
      <c r="R92" s="39" t="n">
        <v>8</v>
      </c>
      <c r="S92" s="39" t="n"/>
      <c r="T92" s="35" t="n">
        <v>46235</v>
      </c>
      <c r="U92" s="33" t="inlineStr">
        <is>
          <t>Low</t>
        </is>
      </c>
      <c r="V92" s="33" t="inlineStr">
        <is>
          <t>Entity &amp; Supplier Resolution</t>
        </is>
      </c>
      <c r="W92" s="33" t="inlineStr">
        <is>
          <t>EAO-26</t>
        </is>
      </c>
      <c r="X92" s="33" t="inlineStr">
        <is>
          <t>The affected Sasol facility was never in the customer-provided data, so no notification was owed. No independent public reporting was identified before 24-Jul-2026 and the 24-Jul article was successfully captured when it became available; the facility was not mapped in the Resilinc database, no mapped supplier sites were in the immediate vicinity, and the first available article reported an incident three days old, which together led to the event being classified Not Impactful. Settled by the owner on 22-Oct-2026 under the NVR Kinston rule: where the site was never shared with Resilinc, nothing in the platform and nothing an analyst did failed, and the remedy is how site data is gathered from the customer rather than a platform change. Issue Type is Inquiry, Root Cause Process, and Missed_Flag No. This supersedes both the original Source Coverage filing and the Product / Mapping reading of 22-Oct-2026.</t>
        </is>
      </c>
      <c r="Y92" s="33" t="inlineStr">
        <is>
          <t>EventWatch Ops - Nitin Rindhe</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Keyword coverage review on the feed harvesting algorithm for border and crossing closures, so a closure reported in the public domain is captured without a customer inquiry prompting it</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A keyword gap in the feed harvesting algorithm. Product Management's investigation identified the gap, which stopped the relevant articles about the bridge closure being captured and processed by EventWatch, so the event never entered the AI classification or human-in-the-loop review workflow. Corrective actions: the event was assessed against the EventWatch reporting criteria after the customer inquiry and a bulletin was published; Product Management investigated the feed capture failure and identified the keyword gap; and the missing keyword was added to the feed harvesting algorithm. Taken from the RCA shared with the customer.</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Vendor source network gap tracking, so an outlet found to be carrying an incident outside the monitoring network is submitted for inclusion and the submission tracked to confirmation</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An upstream source coverage gap, not an AI classification or human review error. Product Management confirmed that the sources reporting the incident were not part of the news vendor's monitoring network, so the relevant articles were never captured by EventWatch and never proceeded to AI classification or human-in-the-loop review. Corrective actions: the incident was reassessed against the reporting criteria after the customer inquiry and a bulletin was published; Product Management investigated the capture failure with the vendor; and the relevant sources were submitted to the vendor with a request to include them in its monitoring network. Taken from the RCA shared with the customer. Settled on 22-Oct-2026: the owner ruled this finding over EAO-13's, which described the same fire as captured and then misjudged by the models, and EAO-13's row moved to Source Coverage to match.</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Product</t>
        </is>
      </c>
      <c r="J96" s="33" t="inlineStr">
        <is>
          <t>Clustering / Duplication Defect</t>
        </is>
      </c>
      <c r="K96" s="33" t="inlineStr">
        <is>
          <t>Improvement</t>
        </is>
      </c>
      <c r="L96" s="33" t="inlineStr">
        <is>
          <t>RCA Shared</t>
        </is>
      </c>
      <c r="M96" s="33" t="inlineStr">
        <is>
          <t>Cluster separation validation for distinct industrial incidents, so a new fire at a different facility is not absorbed as an update to an existing cluster</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Cluster Integrity &amp; Duplicate Prevention</t>
        </is>
      </c>
      <c r="W96" s="33" t="inlineStr">
        <is>
          <t>EAO-25</t>
        </is>
      </c>
      <c r="X96" s="33" t="inlineStr">
        <is>
          <t>Incorrect AI event clustering, not corrected at human review. The news processing pipeline captured the articles about the 30-Jul-2026 fire at Nemak's Santa Catarina plant, so there was no feed harvesting or source coverage issue. The AI classification models associated the articles with an existing event cluster instead of identifying the fire as a distinct industrial incident requiring independent assessment, and the reporting team accepted that classification at human-in-the-loop review and marked the feeds Not Impactful without recognising they were a separate fire. The RCA states the root cause as a combination of incorrect AI event clustering and insufficient validation during human review. A bulletin was published after the customer inquiry. Taken from the RCA shared with the customer, which supersedes the earlier filing of this row as People / Review: the failure originated in the clustering, and the Caterpillar Isselguss row (EAO-9) is the owner's precedent for filing that shape as a Product clustering defect rather than an analyst failure.</t>
        </is>
      </c>
      <c r="Y96" s="33" t="inlineStr">
        <is>
          <t>Product &amp; Platform</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Superseded on 15-Oct-2026 under the delivery test: published is not delivered. Nothing reached the Red Cross portal, so Missed_Flag is Yes.</t>
        </is>
      </c>
      <c r="P97" s="33" t="n"/>
      <c r="Q97" s="33" t="inlineStr">
        <is>
          <t>Yes</t>
        </is>
      </c>
      <c r="R97" s="39" t="n">
        <v>8</v>
      </c>
      <c r="S97" s="39" t="n"/>
      <c r="T97" s="35" t="n">
        <v>46235</v>
      </c>
      <c r="U97" s="33" t="inlineStr">
        <is>
          <t>Medium</t>
        </is>
      </c>
      <c r="V97" s="33" t="inlineStr">
        <is>
          <t>Notification Visibility Monitoring</t>
        </is>
      </c>
      <c r="W97" s="33" t="inlineStr">
        <is>
          <t>TS-22695</t>
        </is>
      </c>
      <c r="X97" s="33" t="inlineStr">
        <is>
          <t>The bulletin was published on 13-Aug-2026 and incorrect industry selection kept it off the Red Cross portal. The analyst selected incomplete industries and review did not correct the selection, so a customer-specific treatment existed only after the Red Cross chased it.</t>
        </is>
      </c>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Closed by the owner on 22-Oct-2026: the Data team acknowledged the geocode issue and nothing further is coming back on the source of the Pune site's coordinates, so the row is settled on the finding above rather than held open for an answer. EAO-36 resolved 22-Oct-2026 and EAO-35 was still at In Progress when the owner closed it. One thing is recorded as unconfirmed rather than chased: the DO team's correction of the SMI AMTEK coordinates.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v>46317</v>
      </c>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The analyst missed it. The gap occurred during the human-in-the-loop review of the 24-Sep and 25-Sep feeds: because an existing WarRoom already covered congestion at the Durban Gateway Terminal, the subsequent feeds were treated as information relating to an already-reported event and were marked Not Impactful. Taken from the RCA shared with Ford on 05-Oct-2026, which supersedes the earlier note that the document text was unreadable from the ticket.</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An upstream source coverage gap. Product Management's investigation confirmed that the sources reporting the incident were outside the news vendor's existing monitoring network, so the relevant articles were unavailable for automated classification and human-in-the-loop review, which resulted in the missed notification. The outlets checked were ekonomistar.com.tr, which Ford cited, and sondakihaber.com and ifinnapp.com, which were raised on the ticket. Taken from the RCA shared with Ford.</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Clarification Provided</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Engineering has not reported whether the two captured articles were a keyword miss or RSS leakage, and the vendor request to add the FT Mercati source is unconfirmed.</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Engineering update of 22-Oct-2026 from Ankit Gupta, matched to the article URLs Nitin Rindhe put to him on 21-Oct-2026. The ticket is still at Sent to PM with no resolution date. Three of the five URLs belong to this row, and the findings differ by outlet. The Asia Times report of 04-Sep-2026 and the MarketScreener report of 18-Sep-2026 WERE captured by the vendor, and Engineering is still checking why they did not reach our system, naming a keyword miss or RSS leakage as the two candidates. The FT Mercati report of 18-Sep-2026 was NOT captured by the vendor, which is a source miss on that outlet, and a request has been raised with them to add it. The row stays Keyword Update because a source miss on FT Mercati is not what stopped delivery: two other outlets carrying the same story did reach the vendor, so Belden would have been notified had those come through. That is the only concluded finding on this row, and the cause of the two that did arrive is still open. OPEN FOR THE OWNER: filing this row as Source Coverage instead is a one-field change if the FT Mercati finding is to be the one the row carries. Note also that this row previously named Reuters as the carrying outlet; the ticket's own evidence URLs are Asia Times, MarketScreener and FT Mercati.</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Clarification Provided</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Engineering update of 22-Oct-2026 from Ankit Gupta, matched to the article URLs Nitin Rindhe put to him on 21-Oct-2026. The ticket is still at Sent to PM with no resolution date. The DigiTimes report of 02-Jul-2026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7" s="33" t="inlineStr">
        <is>
          <t>Product &amp; Platform</t>
        </is>
      </c>
      <c r="Z127" s="37" t="n"/>
    </row>
    <row r="128">
      <c r="A128" s="35" t="n">
        <v>46296</v>
      </c>
      <c r="B128" s="37" t="n">
        <v>46310</v>
      </c>
      <c r="C128" s="33" t="inlineStr">
        <is>
          <t>Supply Shortage</t>
        </is>
      </c>
      <c r="D128" s="33" t="inlineStr">
        <is>
          <t>Belden Inc</t>
        </is>
      </c>
      <c r="E128" s="39" t="n">
        <v>1</v>
      </c>
      <c r="F128" s="33" t="inlineStr">
        <is>
          <t>WIN Semiconductors GaAs and InP Supply Adequacy Report - No EventWatch Notification (Belden)</t>
        </is>
      </c>
      <c r="G128" s="33" t="inlineStr">
        <is>
          <t>Complaint</t>
        </is>
      </c>
      <c r="H128" s="33" t="inlineStr">
        <is>
          <t>Missed Event</t>
        </is>
      </c>
      <c r="I128" s="33" t="inlineStr">
        <is>
          <t>Product</t>
        </is>
      </c>
      <c r="J128" s="33" t="inlineStr">
        <is>
          <t>Keyword Update</t>
        </is>
      </c>
      <c r="K128" s="33" t="inlineStr">
        <is>
          <t>Improvement</t>
        </is>
      </c>
      <c r="L128" s="33" t="inlineStr">
        <is>
          <t>Clarification Provided</t>
        </is>
      </c>
      <c r="M128" s="33" t="inlineStr">
        <is>
          <t>Keyword coverage for compound-semiconductor substrate supply and production-demand reporting, so a DigiTimes assessment of GaAs and InP availability is captured whether it reports a shortage or adequate supply</t>
        </is>
      </c>
      <c r="N128" s="33" t="inlineStr">
        <is>
          <t>Yes</t>
        </is>
      </c>
      <c r="O128" s="33" t="inlineStr">
        <is>
          <t>The third of three events Belden raised in a single ticket about gallium arsenide, indium phosphide and semiconductor supply-chain risk; the companion rows cover the gallium and germanium export-curb risk and the GaAs and InP epiwafer price increases. This row covers the DigiTimes report of 04-May-2026 that WIN Semiconductors said GaAs and InP supply still meets production demand despite higher GaAs substrate costs, which is the supply-adequacy counterpoint in the same thread and one of the five article URLs Nitin Rindhe put to Engineering on 21-Oct-2026. Split onto its own row on the owner's instruction of 22-Oct-2026 that the ticket carries three reportable events. Not captured, per the owner. The owner confirmed on 22-Oct-2026 that all three articles were owed to Belden, which settles this row as a miss rather than an article we had no obligation to surface: the supply-adequacy report is part of the picture Belden was owed on GaAs and InP availability, not a counterpoint outside scope. DigiTimes is in the monitoring network, which is what rules out a source gap and leaves a keyword gap, the same reading the two companion rows carry. EAO-54 was at Sent to PM with one comment and no engineering reply when this row was written.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the cause can never be established, the article being outside the vendor's 100-day retention window.</t>
        </is>
      </c>
      <c r="P128" s="33" t="n"/>
      <c r="Q128" s="33" t="inlineStr">
        <is>
          <t>Yes</t>
        </is>
      </c>
      <c r="R128" s="39" t="n">
        <v>10</v>
      </c>
      <c r="S128" s="39" t="n"/>
      <c r="T128" s="35" t="inlineStr">
        <is>
          <t>Oct 2026</t>
        </is>
      </c>
      <c r="U128" s="33" t="inlineStr">
        <is>
          <t>Medium</t>
        </is>
      </c>
      <c r="V128" s="33" t="inlineStr">
        <is>
          <t>Dynamic Source Discovery</t>
        </is>
      </c>
      <c r="W128" s="33" t="inlineStr">
        <is>
          <t>EAO-54</t>
        </is>
      </c>
      <c r="X128" s="33" t="inlineStr">
        <is>
          <t>Engineering update of 22-Oct-2026 from Ankit Gupta, matched to the article URLs Nitin Rindhe put to him on 21-Oct-2026. The ticket is still at Sent to PM with no resolution date. The DigiTimes report of 04-May-2026 is the URL behind this row, and it cannot be investigated: Engineering states the vendor does not store data beyond 100 days, so the article is outside the retention window and no capture evidence can be produced either way. It is therefore not among the articles confirmed as not captured, and the row keeps the Keyword Update staging guess, which rests on the owner's 18-Oct-2026 confirmation that DigiTimes is monitored. STILL OPEN and nothing automatic will settle it.</t>
        </is>
      </c>
      <c r="Y128" s="33" t="inlineStr">
        <is>
          <t>Product &amp; Platform</t>
        </is>
      </c>
      <c r="Z128" s="37" t="n"/>
    </row>
    <row r="129">
      <c r="A129" s="35" t="n">
        <v>46296</v>
      </c>
      <c r="B129" s="37" t="n">
        <v>46311</v>
      </c>
      <c r="C129" s="33" t="inlineStr">
        <is>
          <t>Merger &amp; Acquisition</t>
        </is>
      </c>
      <c r="D129" s="33" t="inlineStr">
        <is>
          <t>Irving Oil</t>
        </is>
      </c>
      <c r="E129" s="39" t="n">
        <v>1</v>
      </c>
      <c r="F129" s="33" t="inlineStr">
        <is>
          <t>WSP Acquisition of GCM Corpo - No EventWatch Notification (Irving Oil)</t>
        </is>
      </c>
      <c r="G129" s="33" t="inlineStr">
        <is>
          <t>Complaint</t>
        </is>
      </c>
      <c r="H129" s="33" t="inlineStr">
        <is>
          <t>Missed Event</t>
        </is>
      </c>
      <c r="I129" s="33" t="inlineStr">
        <is>
          <t>People</t>
        </is>
      </c>
      <c r="J129" s="33" t="inlineStr">
        <is>
          <t>Review</t>
        </is>
      </c>
      <c r="K129" s="33" t="inlineStr">
        <is>
          <t>Improvement</t>
        </is>
      </c>
      <c r="L129" s="33" t="inlineStr">
        <is>
          <t>RCA Shared</t>
        </is>
      </c>
      <c r="M129" s="33" t="inlineStr">
        <is>
          <t>M&amp;A reportability validation at review, so an industry-relevant transaction is assessed for industry and product relevance before a Not Impactful call is made on the absence of customer-specific supplier mapping</t>
        </is>
      </c>
      <c r="N129" s="33" t="inlineStr">
        <is>
          <t>Yes</t>
        </is>
      </c>
      <c r="O129"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9" s="33" t="n"/>
      <c r="Q129" s="33" t="inlineStr">
        <is>
          <t>Yes</t>
        </is>
      </c>
      <c r="R129" s="39" t="n">
        <v>10</v>
      </c>
      <c r="S129" s="39" t="n"/>
      <c r="T129" s="35" t="inlineStr">
        <is>
          <t>Oct 2026</t>
        </is>
      </c>
      <c r="U129" s="33" t="inlineStr">
        <is>
          <t>Medium</t>
        </is>
      </c>
      <c r="V129" s="33" t="inlineStr">
        <is>
          <t>WarRoom &amp; Decision Validation</t>
        </is>
      </c>
      <c r="W129" s="33" t="inlineStr">
        <is>
          <t>EAO-55</t>
        </is>
      </c>
      <c r="X129" s="33" t="inlineStr">
        <is>
          <t>Analyst error, per the owner. An incorrect application of the M&amp;A reporting criteria during human-in-the-loop review: the reporting team incorrectly treated the absence of customer-specific supplier mapping as sufficient grounds to classify the acquisition Not Impactful. Under the EventWatch Merger and Acquisition reporting guidelines, industry-relevant transactions involving unmapped companies may still qualify for publication as informational news alerts, even where no customer-specific WarRoom is required. The feed harvesting algorithms captured the relevant articles on 01-Oct-2026 and the AI classification models correctly identified the feeds as an Event and routed them for review, so neither capture nor classification failed. Taken from the RCA shared with Irving Oil on 23-Oct-2026.</t>
        </is>
      </c>
      <c r="Y129" s="33" t="inlineStr">
        <is>
          <t>EventWatch Ops - Nitin Rindhe</t>
        </is>
      </c>
      <c r="Z129" s="37" t="n"/>
    </row>
    <row r="130">
      <c r="A130" s="35" t="n">
        <v>46296</v>
      </c>
      <c r="B130" s="37" t="n">
        <v>46318</v>
      </c>
      <c r="C130" s="33" t="inlineStr">
        <is>
          <t>Hurricane/Typhoon</t>
        </is>
      </c>
      <c r="D130" s="33" t="inlineStr">
        <is>
          <t>Collins Aerospace</t>
        </is>
      </c>
      <c r="E130" s="39" t="n">
        <v>1</v>
      </c>
      <c r="F130" s="33" t="inlineStr">
        <is>
          <t>Tropical Depression Nine Supplier Impact Notification Sent Before Landfall (Collins Aerospace)</t>
        </is>
      </c>
      <c r="G130" s="33" t="inlineStr">
        <is>
          <t>Inquiry</t>
        </is>
      </c>
      <c r="H130" s="33" t="inlineStr">
        <is>
          <t>WarRoom Timing/Trigger Criteria Clarification</t>
        </is>
      </c>
      <c r="I130" s="33" t="inlineStr">
        <is>
          <t>Process</t>
        </is>
      </c>
      <c r="J130" s="33" t="inlineStr">
        <is>
          <t>Process Clarification</t>
        </is>
      </c>
      <c r="K130" s="33" t="inlineStr">
        <is>
          <t>Improvement</t>
        </is>
      </c>
      <c r="L130" s="33" t="inlineStr">
        <is>
          <t>Clarification Provided</t>
        </is>
      </c>
      <c r="M130" s="33" t="inlineStr">
        <is>
          <t>Supplier Impact Notification trigger-timing validation against the WarRoom guideline, so a forecast-stage weather event does not issue impact-confirmation requests before the criterion the guideline names is met</t>
        </is>
      </c>
      <c r="N130" s="33" t="inlineStr">
        <is>
          <t>Yes</t>
        </is>
      </c>
      <c r="O130" s="33" t="inlineStr">
        <is>
          <t>Collins Aerospace asked why a Supplier Impact Notification was sent on 07-Oct-2026 for the WarRoom Tropical Depression Nine Forms in the Southwestern Gulf, when the storm had not yet made landfall and the WarRoom guideline they cite calls for the notification at landfall. Customer Support confirmed in the Collins Aerospace org that the notification was sent on 07-Oct-2026, the same date the WarRoom was created, and set out the timeline: the depression formed 06-Oct, became Tropical Storm Isaias on 07-Oct, became a hurricane at 22:30 CDT on 07-Oct, and made landfall near Destin, Florida at about 20:30 CDT on 09-Oct. The customer states this is not the first occurrence. Logged as an Inquiry on the owner's instruction of 26-Oct-2026: the customer is asking which criterion the trigger applies, and nothing has gone back to them yet. Missed_Flag is No because the WarRoom was created and the notification did reach Collins Aerospace; the question is its timing, not its delivery. STILL OPEN and nothing automatic will settle it beyond the Pending re-check: EAO-56 is at Open with no engineering comment, so Root Cause and Sub-type here are staging guesses. If the guideline says what the customer says it says and the trigger fired against it, this becomes a Platform Bug rather than a clarification. Closed by the owner on 26-Oct-2026: these are not open tickets any more. Short Term Fix Status moves off Pending to Clarification Provided -- Engineering's findings are the answer that went back, and no RCA document was attached to this ticket. Resolution Date stays blank because the Jira ticket carries no resolutiondate and a guessed one is worse than none. NOTHING AUTOMATIC WILL LOOK AT THIS ROW AGAIN: the daily re-check scans Pending rows only. Outstanding and carried by a human from here: EAO-56 carries no engineering comment at all, so the Process Clarification reading has never been tested against what the trigger actually did.</t>
        </is>
      </c>
      <c r="P130" s="33" t="n"/>
      <c r="Q130" s="33" t="inlineStr">
        <is>
          <t>No</t>
        </is>
      </c>
      <c r="R130" s="39" t="n">
        <v>10</v>
      </c>
      <c r="S130" s="39" t="n"/>
      <c r="T130" s="35" t="inlineStr">
        <is>
          <t>Oct 2026</t>
        </is>
      </c>
      <c r="U130" s="33" t="inlineStr">
        <is>
          <t>Medium</t>
        </is>
      </c>
      <c r="V130" s="33" t="inlineStr">
        <is>
          <t>WarRoom &amp; Decision Validation</t>
        </is>
      </c>
      <c r="W130" s="33" t="inlineStr">
        <is>
          <t>EAO-56</t>
        </is>
      </c>
      <c r="X130" s="33" t="n"/>
      <c r="Y130" s="33" t="inlineStr">
        <is>
          <t>EventWatch Ops - Nitin Rindhe</t>
        </is>
      </c>
      <c r="Z130"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0.3300970873786408</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Belden Inc</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GM</t>
        </is>
      </c>
      <c r="B72" s="22" t="n">
        <v>4</v>
      </c>
      <c r="C72" s="24" t="n">
        <v>0.038834951456310676</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13</v>
      </c>
      <c r="K76" s="76" t="n">
        <v>3</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3</v>
      </c>
      <c r="L79" s="76" t="n">
        <v>3</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8</v>
      </c>
      <c r="K90" s="76" t="n">
        <v>3</v>
      </c>
      <c r="L90" s="76" t="n">
        <v>11</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26</v>
      </c>
      <c r="L93" s="77" t="n">
        <v>129</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