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1" activeTab="0" autoFilterDateGrouping="1"/>
  </bookViews>
  <sheets>
    <sheet name="Data" sheetId="1" state="visible" r:id="rId1"/>
    <sheet name="Dashboard" sheetId="2" state="visible" r:id="rId2"/>
    <sheet name="Definitions" sheetId="3" state="visible" r:id="rId3"/>
    <sheet name="Management Readout" sheetId="4" state="visible" r:id="rId4"/>
  </sheets>
  <definedNames/>
  <calcPr calcId="191028" fullCalcOnLoad="1" forceFullCalc="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mmm\ yyyy"/>
    <numFmt numFmtId="165" formatCode="dd\-mmm\-yyyy"/>
    <numFmt numFmtId="166" formatCode="yyyy-mm-dd h:mm:ss"/>
  </numFmts>
  <fonts count="28">
    <font>
      <name val="Calibri"/>
      <family val="2"/>
      <color theme="1"/>
      <sz val="11"/>
      <scheme val="minor"/>
    </font>
    <font>
      <name val="Aptos"/>
      <b val="1"/>
      <color rgb="FFFFFFFF"/>
      <sz val="10"/>
    </font>
    <font>
      <name val="Aptos"/>
      <color theme="1"/>
      <sz val="10"/>
    </font>
    <font>
      <name val="Aptos"/>
      <color rgb="FF243447"/>
      <sz val="10"/>
    </font>
    <font>
      <name val="Aptos"/>
      <b val="1"/>
      <color rgb="FF243447"/>
      <sz val="20"/>
    </font>
    <font>
      <name val="Aptos"/>
      <color rgb="FF243447"/>
      <sz val="11"/>
    </font>
    <font>
      <name val="Aptos"/>
      <b val="1"/>
      <color rgb="FF243447"/>
      <sz val="9"/>
    </font>
    <font>
      <name val="Aptos"/>
      <b val="1"/>
      <color rgb="FF243447"/>
      <sz val="24"/>
    </font>
    <font>
      <name val="Aptos"/>
      <b val="1"/>
      <color rgb="FF243447"/>
      <sz val="11"/>
    </font>
    <font>
      <name val="Aptos"/>
      <b val="1"/>
      <color rgb="FF243447"/>
      <sz val="10"/>
    </font>
    <font>
      <name val="Aptos"/>
      <b val="1"/>
      <color rgb="FF17324D"/>
      <sz val="22"/>
    </font>
    <font>
      <name val="Aptos"/>
      <color rgb="FF637083"/>
      <sz val="10"/>
    </font>
    <font>
      <name val="Aptos"/>
      <b val="1"/>
      <color rgb="FF607086"/>
      <sz val="9"/>
    </font>
    <font>
      <name val="Aptos"/>
      <b val="1"/>
      <color rgb="FF17324D"/>
      <sz val="25"/>
    </font>
    <font>
      <name val="Aptos"/>
      <b val="1"/>
      <color rgb="FFD64545"/>
      <sz val="25"/>
    </font>
    <font>
      <name val="Aptos"/>
      <b val="1"/>
      <color rgb="FFD97706"/>
      <sz val="25"/>
    </font>
    <font>
      <name val="Aptos"/>
      <color rgb="FF718096"/>
      <sz val="9"/>
    </font>
    <font>
      <name val="Aptos"/>
      <b val="1"/>
      <color rgb="FF244A6B"/>
      <sz val="11"/>
    </font>
    <font>
      <name val="Aptos"/>
      <b val="1"/>
      <color rgb="FF244A6B"/>
      <sz val="10"/>
    </font>
    <font>
      <name val="Calibri"/>
      <family val="2"/>
      <b val="1"/>
      <color rgb="FFFFFFFF"/>
      <sz val="18"/>
      <scheme val="minor"/>
    </font>
    <font>
      <name val="Calibri"/>
      <family val="2"/>
      <color rgb="FF637083"/>
      <sz val="11"/>
      <scheme val="minor"/>
    </font>
    <font>
      <name val="Calibri"/>
      <family val="2"/>
      <b val="1"/>
      <color theme="1"/>
      <sz val="11"/>
      <scheme val="minor"/>
    </font>
    <font>
      <name val="Aptos"/>
      <b val="1"/>
      <color rgb="FFFFFFFF"/>
      <sz val="20"/>
    </font>
    <font>
      <name val="Aptos"/>
      <color rgb="FF637083"/>
      <sz val="11"/>
    </font>
    <font>
      <name val="Aptos"/>
      <color theme="1"/>
      <sz val="11"/>
    </font>
    <font>
      <name val="Aptos"/>
      <b val="1"/>
      <color rgb="FFFFFFFF"/>
      <sz val="11"/>
    </font>
    <font>
      <name val="Aptos"/>
      <b val="1"/>
      <color rgb="FF17324D"/>
      <sz val="24"/>
    </font>
    <font>
      <name val="Aptos"/>
      <color rgb="FF34495E"/>
      <sz val="11"/>
    </font>
  </fonts>
  <fills count="11">
    <fill>
      <patternFill/>
    </fill>
    <fill>
      <patternFill patternType="gray125"/>
    </fill>
    <fill>
      <patternFill patternType="solid">
        <fgColor theme="0"/>
        <bgColor indexed="64"/>
      </patternFill>
    </fill>
    <fill>
      <patternFill patternType="solid">
        <fgColor rgb="FF17324D"/>
        <bgColor indexed="64"/>
      </patternFill>
    </fill>
    <fill>
      <patternFill patternType="solid">
        <fgColor rgb="FFFFFFFF"/>
        <bgColor indexed="64"/>
      </patternFill>
    </fill>
    <fill>
      <patternFill patternType="solid">
        <fgColor rgb="FFF4F7FB"/>
        <bgColor indexed="64"/>
      </patternFill>
    </fill>
    <fill>
      <patternFill patternType="solid">
        <fgColor rgb="FFFFF2F0"/>
        <bgColor indexed="64"/>
      </patternFill>
    </fill>
    <fill>
      <patternFill patternType="solid">
        <fgColor rgb="FFFFF8E8"/>
        <bgColor indexed="64"/>
      </patternFill>
    </fill>
    <fill>
      <patternFill patternType="solid">
        <fgColor rgb="FFEAF1F8"/>
        <bgColor indexed="64"/>
      </patternFill>
    </fill>
    <fill>
      <patternFill patternType="solid">
        <fgColor rgb="FF2E5D7B"/>
        <bgColor indexed="64"/>
      </patternFill>
    </fill>
    <fill>
      <patternFill patternType="solid">
        <fgColor rgb="FF4C78A8"/>
        <bgColor indexed="64"/>
      </patternFill>
    </fill>
  </fills>
  <borders count="30">
    <border>
      <left/>
      <right/>
      <top/>
      <bottom/>
      <diagonal/>
    </border>
    <border>
      <left style="thin">
        <color auto="1"/>
      </left>
      <right style="thin">
        <color auto="1"/>
      </right>
      <top style="thin">
        <color auto="1"/>
      </top>
      <bottom style="thin">
        <color auto="1"/>
      </bottom>
      <diagonal/>
    </border>
    <border>
      <left/>
      <right/>
      <top/>
      <bottom style="thick">
        <color rgb="FF2F80ED"/>
      </bottom>
      <diagonal/>
    </border>
    <border>
      <left/>
      <right/>
      <top/>
      <bottom style="thick">
        <color rgb="FFD64545"/>
      </bottom>
      <diagonal/>
    </border>
    <border>
      <left/>
      <right/>
      <top/>
      <bottom style="thick">
        <color rgb="FF7A5AF8"/>
      </bottom>
      <diagonal/>
    </border>
    <border>
      <left/>
      <right/>
      <top/>
      <bottom style="thick">
        <color rgb="FFE67E22"/>
      </bottom>
      <diagonal/>
    </border>
    <border>
      <left/>
      <right/>
      <top/>
      <bottom style="thick">
        <color rgb="FF00A6A6"/>
      </bottom>
      <diagonal/>
    </border>
    <border>
      <left/>
      <right/>
      <top/>
      <bottom style="thin">
        <color rgb="FFDCE4EE"/>
      </bottom>
      <diagonal/>
    </border>
    <border>
      <left/>
      <right/>
      <top style="thin">
        <color rgb="FFDCE4EE"/>
      </top>
      <bottom/>
      <diagonal/>
    </border>
    <border>
      <left style="thin">
        <color rgb="FFDCE4EE"/>
      </left>
      <right/>
      <top style="thin">
        <color rgb="FFDCE4EE"/>
      </top>
      <bottom/>
      <diagonal/>
    </border>
    <border>
      <left style="thin">
        <color rgb="FFDCE4EE"/>
      </left>
      <right/>
      <top/>
      <bottom/>
      <diagonal/>
    </border>
    <border>
      <left style="thin">
        <color rgb="FFDCE4EE"/>
      </left>
      <right/>
      <top/>
      <bottom style="thick">
        <color rgb="FF2F80ED"/>
      </bottom>
      <diagonal/>
    </border>
    <border>
      <left style="thin">
        <color rgb="FFDCE4EE"/>
      </left>
      <right/>
      <top/>
      <bottom style="thin">
        <color rgb="FFDCE4EE"/>
      </bottom>
      <diagonal/>
    </border>
    <border>
      <left/>
      <right style="thin">
        <color rgb="FFDCE4EE"/>
      </right>
      <top style="thin">
        <color rgb="FFDCE4EE"/>
      </top>
      <bottom/>
      <diagonal/>
    </border>
    <border>
      <left/>
      <right style="thin">
        <color rgb="FFDCE4EE"/>
      </right>
      <top/>
      <bottom/>
      <diagonal/>
    </border>
    <border>
      <left/>
      <right style="thin">
        <color rgb="FFDCE4EE"/>
      </right>
      <top/>
      <bottom style="thin">
        <color rgb="FFDCE4EE"/>
      </bottom>
      <diagonal/>
    </border>
    <border>
      <left style="thin">
        <color rgb="FFDCE4EE"/>
      </left>
      <right/>
      <top/>
      <bottom style="thick">
        <color rgb="FFD64545"/>
      </bottom>
      <diagonal/>
    </border>
    <border>
      <left style="thin">
        <color rgb="FFDCE4EE"/>
      </left>
      <right/>
      <top/>
      <bottom style="thick">
        <color rgb="FF7A5AF8"/>
      </bottom>
      <diagonal/>
    </border>
    <border>
      <left style="thin">
        <color rgb="FFDCE4EE"/>
      </left>
      <right/>
      <top/>
      <bottom style="thick">
        <color rgb="FFE67E22"/>
      </bottom>
      <diagonal/>
    </border>
    <border>
      <left style="thin">
        <color rgb="FFDCE4EE"/>
      </left>
      <right/>
      <top/>
      <bottom style="thick">
        <color rgb="FF00A6A6"/>
      </bottom>
      <diagonal/>
    </border>
    <border>
      <left/>
      <right style="thin">
        <color rgb="FFDCE4EE"/>
      </right>
      <top/>
      <bottom style="thick">
        <color rgb="FF00A6A6"/>
      </bottom>
      <diagonal/>
    </border>
    <border>
      <left/>
      <right/>
      <top style="thin">
        <color rgb="FFDCE4EE"/>
      </top>
      <bottom style="thin">
        <color rgb="FFDDE6EF"/>
      </bottom>
      <diagonal/>
    </border>
    <border>
      <left style="thin">
        <color rgb="FFDCE4EE"/>
      </left>
      <right/>
      <top style="thin">
        <color rgb="FFDCE4EE"/>
      </top>
      <bottom style="thin">
        <color rgb="FFDDE6EF"/>
      </bottom>
      <diagonal/>
    </border>
    <border>
      <left/>
      <right style="thin">
        <color rgb="FFDCE4EE"/>
      </right>
      <top style="thin">
        <color rgb="FFDCE4EE"/>
      </top>
      <bottom style="thin">
        <color rgb="FFDDE6EF"/>
      </bottom>
      <diagonal/>
    </border>
    <border>
      <left/>
      <right/>
      <top/>
      <bottom style="thin">
        <color rgb="FFE5EAF0"/>
      </bottom>
      <diagonal/>
    </border>
    <border>
      <left/>
      <right/>
      <top style="thin">
        <color rgb="FFE5EAF0"/>
      </top>
      <bottom style="thin">
        <color rgb="FFE5EAF0"/>
      </bottom>
      <diagonal/>
    </border>
    <border>
      <left/>
      <right/>
      <top style="thin">
        <color rgb="FFE5EAF0"/>
      </top>
      <bottom/>
      <diagonal/>
    </border>
    <border>
      <left style="thin">
        <color rgb="FFDCE4EE"/>
      </left>
      <right style="thin">
        <color rgb="FFDCE4EE"/>
      </right>
      <top style="thin">
        <color rgb="FFDCE4EE"/>
      </top>
      <bottom style="thin">
        <color rgb="FFDDE6EF"/>
      </bottom>
      <diagonal/>
    </border>
    <border>
      <left style="thin">
        <color rgb="FFDCE4EE"/>
      </left>
      <right style="thin">
        <color rgb="FFDCE4EE"/>
      </right>
      <top style="thin">
        <color rgb="FFDCE4EE"/>
      </top>
      <bottom/>
      <diagonal/>
    </border>
    <border>
      <left style="thin">
        <color rgb="FFDCE4EE"/>
      </left>
      <right style="thin">
        <color rgb="FFDCE4EE"/>
      </right>
      <top/>
      <bottom style="thick">
        <color rgb="FF00A6A6"/>
      </bottom>
      <diagonal/>
    </border>
  </borders>
  <cellStyleXfs count="1">
    <xf numFmtId="0" fontId="0" fillId="0" borderId="0"/>
  </cellStyleXfs>
  <cellXfs count="120">
    <xf numFmtId="0" fontId="0" fillId="0" borderId="0" pivotButton="0" quotePrefix="0" xfId="0"/>
    <xf numFmtId="0" fontId="2" fillId="0" borderId="0" applyAlignment="1" pivotButton="0" quotePrefix="0" xfId="0">
      <alignment horizontal="left"/>
    </xf>
    <xf numFmtId="0" fontId="2" fillId="0" borderId="0" applyAlignment="1" pivotButton="0" quotePrefix="0" xfId="0">
      <alignment horizontal="left" vertical="center"/>
    </xf>
    <xf numFmtId="0" fontId="3" fillId="5" borderId="0" pivotButton="0" quotePrefix="0" xfId="0"/>
    <xf numFmtId="0" fontId="3" fillId="4" borderId="0" pivotButton="0" quotePrefix="0" xfId="0"/>
    <xf numFmtId="0" fontId="3" fillId="4" borderId="7" pivotButton="0" quotePrefix="0" xfId="0"/>
    <xf numFmtId="0" fontId="3" fillId="4" borderId="12" pivotButton="0" quotePrefix="0" xfId="0"/>
    <xf numFmtId="0" fontId="3" fillId="4" borderId="15" pivotButton="0" quotePrefix="0" xfId="0"/>
    <xf numFmtId="0" fontId="3" fillId="4" borderId="10" pivotButton="0" quotePrefix="0" xfId="0"/>
    <xf numFmtId="0" fontId="16" fillId="4" borderId="10" applyAlignment="1" pivotButton="0" quotePrefix="0" xfId="0">
      <alignment horizontal="center"/>
    </xf>
    <xf numFmtId="0" fontId="3" fillId="4" borderId="14" pivotButton="0" quotePrefix="0" xfId="0"/>
    <xf numFmtId="0" fontId="16" fillId="6" borderId="10" applyAlignment="1" pivotButton="0" quotePrefix="0" xfId="0">
      <alignment horizontal="center"/>
    </xf>
    <xf numFmtId="0" fontId="3" fillId="6" borderId="0" pivotButton="0" quotePrefix="0" xfId="0"/>
    <xf numFmtId="0" fontId="16" fillId="7" borderId="10" applyAlignment="1" pivotButton="0" quotePrefix="0" xfId="0">
      <alignment horizontal="center"/>
    </xf>
    <xf numFmtId="0" fontId="3" fillId="7" borderId="0" pivotButton="0" quotePrefix="0" xfId="0"/>
    <xf numFmtId="0" fontId="1" fillId="9" borderId="0" applyAlignment="1" pivotButton="0" quotePrefix="0" xfId="0">
      <alignment horizontal="center"/>
    </xf>
    <xf numFmtId="0" fontId="1" fillId="9" borderId="0" pivotButton="0" quotePrefix="0" xfId="0"/>
    <xf numFmtId="164" fontId="3" fillId="4" borderId="24" pivotButton="0" quotePrefix="0" xfId="0"/>
    <xf numFmtId="0" fontId="3" fillId="4" borderId="24" pivotButton="0" quotePrefix="0" xfId="0"/>
    <xf numFmtId="164" fontId="3" fillId="4" borderId="25" pivotButton="0" quotePrefix="0" xfId="0"/>
    <xf numFmtId="0" fontId="3" fillId="4" borderId="25" pivotButton="0" quotePrefix="0" xfId="0"/>
    <xf numFmtId="0" fontId="3" fillId="4" borderId="24" applyAlignment="1" pivotButton="0" quotePrefix="0" xfId="0">
      <alignment horizontal="right"/>
    </xf>
    <xf numFmtId="0" fontId="3" fillId="4" borderId="25" applyAlignment="1" pivotButton="0" quotePrefix="0" xfId="0">
      <alignment horizontal="right"/>
    </xf>
    <xf numFmtId="9" fontId="3" fillId="4" borderId="24" applyAlignment="1" pivotButton="0" quotePrefix="0" xfId="0">
      <alignment horizontal="right"/>
    </xf>
    <xf numFmtId="9" fontId="3" fillId="4" borderId="25" applyAlignment="1" pivotButton="0" quotePrefix="0" xfId="0">
      <alignment horizontal="right"/>
    </xf>
    <xf numFmtId="0" fontId="9" fillId="4" borderId="26" pivotButton="0" quotePrefix="0" xfId="0"/>
    <xf numFmtId="0" fontId="9" fillId="4" borderId="26" applyAlignment="1" pivotButton="0" quotePrefix="0" xfId="0">
      <alignment horizontal="right"/>
    </xf>
    <xf numFmtId="9" fontId="9" fillId="4" borderId="26" applyAlignment="1" pivotButton="0" quotePrefix="0" xfId="0">
      <alignment horizontal="right"/>
    </xf>
    <xf numFmtId="15" fontId="2" fillId="0" borderId="0" applyAlignment="1" pivotButton="0" quotePrefix="0" xfId="0">
      <alignment horizontal="left" vertical="top"/>
    </xf>
    <xf numFmtId="0" fontId="0" fillId="2" borderId="0" pivotButton="0" quotePrefix="0" xfId="0"/>
    <xf numFmtId="0" fontId="2" fillId="0" borderId="0" pivotButton="0" quotePrefix="0" xfId="0"/>
    <xf numFmtId="0" fontId="1" fillId="9" borderId="1" applyAlignment="1" pivotButton="0" quotePrefix="0" xfId="0">
      <alignment horizontal="center" vertical="center" wrapText="1"/>
    </xf>
    <xf numFmtId="0" fontId="1" fillId="9" borderId="0" applyAlignment="1" pivotButton="0" quotePrefix="0" xfId="0">
      <alignment horizontal="center" vertical="center" wrapText="1"/>
    </xf>
    <xf numFmtId="0" fontId="2" fillId="0" borderId="0" applyAlignment="1" pivotButton="0" quotePrefix="0" xfId="0">
      <alignment horizontal="left" vertical="top"/>
    </xf>
    <xf numFmtId="0" fontId="2" fillId="2" borderId="0" applyAlignment="1" pivotButton="0" quotePrefix="0" xfId="0">
      <alignment horizontal="left" vertical="top"/>
    </xf>
    <xf numFmtId="164" fontId="2" fillId="0" borderId="0" applyAlignment="1" pivotButton="0" quotePrefix="0" xfId="0">
      <alignment horizontal="right" vertical="top"/>
    </xf>
    <xf numFmtId="164" fontId="2" fillId="2" borderId="0" applyAlignment="1" pivotButton="0" quotePrefix="0" xfId="0">
      <alignment horizontal="right" vertical="top"/>
    </xf>
    <xf numFmtId="165" fontId="2" fillId="0" borderId="0" applyAlignment="1" pivotButton="0" quotePrefix="0" xfId="0">
      <alignment horizontal="right" vertical="top"/>
    </xf>
    <xf numFmtId="165" fontId="2" fillId="2" borderId="0" applyAlignment="1" pivotButton="0" quotePrefix="0" xfId="0">
      <alignment horizontal="right" vertical="top"/>
    </xf>
    <xf numFmtId="0" fontId="2" fillId="0" borderId="0" applyAlignment="1" pivotButton="0" quotePrefix="0" xfId="0">
      <alignment horizontal="right" vertical="top"/>
    </xf>
    <xf numFmtId="0" fontId="2" fillId="2" borderId="0" applyAlignment="1" pivotButton="0" quotePrefix="0" xfId="0">
      <alignment horizontal="right" vertical="top"/>
    </xf>
    <xf numFmtId="0" fontId="0" fillId="0" borderId="0" applyAlignment="1" pivotButton="0" quotePrefix="0" xfId="0">
      <alignment vertical="top" wrapText="1"/>
    </xf>
    <xf numFmtId="0" fontId="21" fillId="0" borderId="0" applyAlignment="1" pivotButton="0" quotePrefix="0" xfId="0">
      <alignment vertical="top" wrapText="1"/>
    </xf>
    <xf numFmtId="0" fontId="24" fillId="0" borderId="0" pivotButton="0" quotePrefix="0" xfId="0"/>
    <xf numFmtId="0" fontId="25" fillId="10" borderId="0" applyAlignment="1" pivotButton="0" quotePrefix="0" xfId="0">
      <alignment horizontal="center"/>
    </xf>
    <xf numFmtId="0" fontId="12" fillId="4" borderId="9" applyAlignment="1" pivotButton="0" quotePrefix="0" xfId="0">
      <alignment horizontal="center"/>
    </xf>
    <xf numFmtId="0" fontId="6" fillId="4" borderId="8" applyAlignment="1" pivotButton="0" quotePrefix="0" xfId="0">
      <alignment horizontal="center"/>
    </xf>
    <xf numFmtId="0" fontId="13" fillId="4" borderId="10" applyAlignment="1" pivotButton="0" quotePrefix="0" xfId="0">
      <alignment horizontal="center" vertical="center"/>
    </xf>
    <xf numFmtId="0" fontId="7" fillId="4" borderId="0" applyAlignment="1" pivotButton="0" quotePrefix="0" xfId="0">
      <alignment horizontal="center" vertical="center"/>
    </xf>
    <xf numFmtId="0" fontId="7" fillId="4" borderId="10" applyAlignment="1" pivotButton="0" quotePrefix="0" xfId="0">
      <alignment horizontal="center" vertical="center"/>
    </xf>
    <xf numFmtId="0" fontId="7" fillId="4" borderId="17" applyAlignment="1" pivotButton="0" quotePrefix="0" xfId="0">
      <alignment horizontal="center" vertical="center"/>
    </xf>
    <xf numFmtId="0" fontId="7" fillId="4" borderId="4" applyAlignment="1" pivotButton="0" quotePrefix="0" xfId="0">
      <alignment horizontal="center" vertical="center"/>
    </xf>
    <xf numFmtId="0" fontId="12" fillId="7" borderId="9" applyAlignment="1" pivotButton="0" quotePrefix="0" xfId="0">
      <alignment horizontal="center"/>
    </xf>
    <xf numFmtId="0" fontId="6" fillId="7" borderId="8" applyAlignment="1" pivotButton="0" quotePrefix="0" xfId="0">
      <alignment horizontal="center"/>
    </xf>
    <xf numFmtId="0" fontId="15" fillId="7" borderId="10" applyAlignment="1" pivotButton="0" quotePrefix="0" xfId="0">
      <alignment horizontal="center" vertical="center"/>
    </xf>
    <xf numFmtId="0" fontId="7" fillId="7" borderId="0" applyAlignment="1" pivotButton="0" quotePrefix="0" xfId="0">
      <alignment horizontal="center" vertical="center"/>
    </xf>
    <xf numFmtId="0" fontId="7" fillId="7" borderId="10" applyAlignment="1" pivotButton="0" quotePrefix="0" xfId="0">
      <alignment horizontal="center" vertical="center"/>
    </xf>
    <xf numFmtId="0" fontId="7" fillId="7" borderId="18" applyAlignment="1" pivotButton="0" quotePrefix="0" xfId="0">
      <alignment horizontal="center" vertical="center"/>
    </xf>
    <xf numFmtId="0" fontId="7" fillId="7" borderId="5" applyAlignment="1" pivotButton="0" quotePrefix="0" xfId="0">
      <alignment horizontal="center" vertical="center"/>
    </xf>
    <xf numFmtId="0" fontId="6" fillId="4" borderId="13" applyAlignment="1" pivotButton="0" quotePrefix="0" xfId="0">
      <alignment horizontal="center"/>
    </xf>
    <xf numFmtId="0" fontId="7" fillId="4" borderId="14" applyAlignment="1" pivotButton="0" quotePrefix="0" xfId="0">
      <alignment horizontal="center" vertical="center"/>
    </xf>
    <xf numFmtId="0" fontId="7" fillId="4" borderId="19" applyAlignment="1" pivotButton="0" quotePrefix="0" xfId="0">
      <alignment horizontal="center" vertical="center"/>
    </xf>
    <xf numFmtId="0" fontId="7" fillId="4" borderId="6" applyAlignment="1" pivotButton="0" quotePrefix="0" xfId="0">
      <alignment horizontal="center" vertical="center"/>
    </xf>
    <xf numFmtId="0" fontId="7" fillId="4" borderId="20" applyAlignment="1" pivotButton="0" quotePrefix="0" xfId="0">
      <alignment horizontal="center" vertical="center"/>
    </xf>
    <xf numFmtId="0" fontId="7" fillId="4" borderId="11" applyAlignment="1" pivotButton="0" quotePrefix="0" xfId="0">
      <alignment horizontal="center" vertical="center"/>
    </xf>
    <xf numFmtId="0" fontId="7" fillId="4" borderId="2" applyAlignment="1" pivotButton="0" quotePrefix="0" xfId="0">
      <alignment horizontal="center" vertical="center"/>
    </xf>
    <xf numFmtId="0" fontId="12" fillId="6" borderId="9" applyAlignment="1" pivotButton="0" quotePrefix="0" xfId="0">
      <alignment horizontal="center"/>
    </xf>
    <xf numFmtId="0" fontId="6" fillId="6" borderId="8" applyAlignment="1" pivotButton="0" quotePrefix="0" xfId="0">
      <alignment horizontal="center"/>
    </xf>
    <xf numFmtId="0" fontId="14" fillId="6" borderId="10" applyAlignment="1" pivotButton="0" quotePrefix="0" xfId="0">
      <alignment horizontal="center" vertical="center"/>
    </xf>
    <xf numFmtId="0" fontId="7" fillId="6" borderId="0" applyAlignment="1" pivotButton="0" quotePrefix="0" xfId="0">
      <alignment horizontal="center" vertical="center"/>
    </xf>
    <xf numFmtId="0" fontId="7" fillId="6" borderId="10" applyAlignment="1" pivotButton="0" quotePrefix="0" xfId="0">
      <alignment horizontal="center" vertical="center"/>
    </xf>
    <xf numFmtId="0" fontId="7" fillId="6" borderId="16" applyAlignment="1" pivotButton="0" quotePrefix="0" xfId="0">
      <alignment horizontal="center" vertical="center"/>
    </xf>
    <xf numFmtId="0" fontId="7" fillId="6" borderId="3" applyAlignment="1" pivotButton="0" quotePrefix="0" xfId="0">
      <alignment horizontal="center" vertical="center"/>
    </xf>
    <xf numFmtId="0" fontId="27" fillId="4" borderId="0" applyAlignment="1" pivotButton="0" quotePrefix="0" xfId="0">
      <alignment wrapText="1"/>
    </xf>
    <xf numFmtId="0" fontId="26" fillId="4" borderId="0" applyAlignment="1" pivotButton="0" quotePrefix="0" xfId="0">
      <alignment horizontal="center" vertical="center"/>
    </xf>
    <xf numFmtId="3" fontId="3" fillId="4" borderId="24" applyAlignment="1" pivotButton="0" quotePrefix="0" xfId="0">
      <alignment horizontal="right"/>
    </xf>
    <xf numFmtId="3" fontId="3" fillId="4" borderId="25" applyAlignment="1" pivotButton="0" quotePrefix="0" xfId="0">
      <alignment horizontal="right"/>
    </xf>
    <xf numFmtId="3" fontId="9" fillId="4" borderId="26" applyAlignment="1" pivotButton="0" quotePrefix="0" xfId="0">
      <alignment horizontal="right"/>
    </xf>
    <xf numFmtId="3" fontId="3" fillId="5" borderId="0" pivotButton="0" quotePrefix="0" xfId="0"/>
    <xf numFmtId="0" fontId="10" fillId="4" borderId="0" pivotButton="0" quotePrefix="0" xfId="0"/>
    <xf numFmtId="0" fontId="4" fillId="4" borderId="0" pivotButton="0" quotePrefix="0" xfId="0"/>
    <xf numFmtId="0" fontId="11" fillId="4" borderId="7" pivotButton="0" quotePrefix="0" xfId="0"/>
    <xf numFmtId="0" fontId="5" fillId="4" borderId="7" pivotButton="0" quotePrefix="0" xfId="0"/>
    <xf numFmtId="0" fontId="18" fillId="8" borderId="22" pivotButton="0" quotePrefix="0" xfId="0"/>
    <xf numFmtId="0" fontId="18" fillId="8" borderId="21" pivotButton="0" quotePrefix="0" xfId="0"/>
    <xf numFmtId="0" fontId="18" fillId="8" borderId="23" pivotButton="0" quotePrefix="0" xfId="0"/>
    <xf numFmtId="0" fontId="1" fillId="3" borderId="0" pivotButton="0" quotePrefix="0" xfId="0"/>
    <xf numFmtId="0" fontId="8" fillId="3" borderId="0" pivotButton="0" quotePrefix="0" xfId="0"/>
    <xf numFmtId="0" fontId="17" fillId="8" borderId="0" pivotButton="0" quotePrefix="0" xfId="0"/>
    <xf numFmtId="0" fontId="19" fillId="3" borderId="0" pivotButton="0" quotePrefix="0" xfId="0"/>
    <xf numFmtId="0" fontId="20" fillId="8" borderId="0" pivotButton="0" quotePrefix="0" xfId="0"/>
    <xf numFmtId="0" fontId="22" fillId="3" borderId="0" pivotButton="0" quotePrefix="0" xfId="0"/>
    <xf numFmtId="0" fontId="23" fillId="8" borderId="0" pivotButton="0" quotePrefix="0" xfId="0"/>
    <xf numFmtId="0" fontId="0" fillId="0" borderId="7" pivotButton="0" quotePrefix="0" xfId="0"/>
    <xf numFmtId="0" fontId="0" fillId="0" borderId="8" pivotButton="0" quotePrefix="0" xfId="0"/>
    <xf numFmtId="0" fontId="12" fillId="4" borderId="28" applyAlignment="1" pivotButton="0" quotePrefix="0" xfId="0">
      <alignment horizontal="center"/>
    </xf>
    <xf numFmtId="0" fontId="0" fillId="0" borderId="13" pivotButton="0" quotePrefix="0" xfId="0"/>
    <xf numFmtId="0" fontId="13" fillId="4" borderId="11" applyAlignment="1" pivotButton="0" quotePrefix="0" xfId="0">
      <alignment horizontal="center" vertical="center"/>
    </xf>
    <xf numFmtId="0" fontId="14" fillId="6" borderId="16" applyAlignment="1" pivotButton="0" quotePrefix="0" xfId="0">
      <alignment horizontal="center" vertical="center"/>
    </xf>
    <xf numFmtId="0" fontId="13" fillId="4" borderId="17" applyAlignment="1" pivotButton="0" quotePrefix="0" xfId="0">
      <alignment horizontal="center" vertical="center"/>
    </xf>
    <xf numFmtId="0" fontId="15" fillId="7" borderId="18" applyAlignment="1" pivotButton="0" quotePrefix="0" xfId="0">
      <alignment horizontal="center" vertical="center"/>
    </xf>
    <xf numFmtId="0" fontId="13" fillId="4" borderId="29" applyAlignment="1" pivotButton="0" quotePrefix="0" xfId="0">
      <alignment horizontal="center" vertical="center"/>
    </xf>
    <xf numFmtId="0" fontId="0" fillId="0" borderId="14" pivotButton="0" quotePrefix="0" xfId="0"/>
    <xf numFmtId="0" fontId="0" fillId="0" borderId="10" pivotButton="0" quotePrefix="0" xfId="0"/>
    <xf numFmtId="0" fontId="0" fillId="0" borderId="11" pivotButton="0" quotePrefix="0" xfId="0"/>
    <xf numFmtId="0" fontId="0" fillId="0" borderId="2" pivotButton="0" quotePrefix="0" xfId="0"/>
    <xf numFmtId="0" fontId="0" fillId="0" borderId="16" pivotButton="0" quotePrefix="0" xfId="0"/>
    <xf numFmtId="0" fontId="0" fillId="0" borderId="3" pivotButton="0" quotePrefix="0" xfId="0"/>
    <xf numFmtId="0" fontId="0" fillId="0" borderId="17" pivotButton="0" quotePrefix="0" xfId="0"/>
    <xf numFmtId="0" fontId="0" fillId="0" borderId="4" pivotButton="0" quotePrefix="0" xfId="0"/>
    <xf numFmtId="0" fontId="0" fillId="0" borderId="18" pivotButton="0" quotePrefix="0" xfId="0"/>
    <xf numFmtId="0" fontId="0" fillId="0" borderId="5" pivotButton="0" quotePrefix="0" xfId="0"/>
    <xf numFmtId="0" fontId="0" fillId="0" borderId="19" pivotButton="0" quotePrefix="0" xfId="0"/>
    <xf numFmtId="0" fontId="0" fillId="0" borderId="6" pivotButton="0" quotePrefix="0" xfId="0"/>
    <xf numFmtId="0" fontId="0" fillId="0" borderId="20" pivotButton="0" quotePrefix="0" xfId="0"/>
    <xf numFmtId="0" fontId="0" fillId="0" borderId="21" pivotButton="0" quotePrefix="0" xfId="0"/>
    <xf numFmtId="0" fontId="18" fillId="8" borderId="27" pivotButton="0" quotePrefix="0" xfId="0"/>
    <xf numFmtId="0" fontId="0" fillId="0" borderId="23" pivotButton="0" quotePrefix="0" xfId="0"/>
    <xf numFmtId="164" fontId="0" fillId="0" borderId="0" pivotButton="0" quotePrefix="0" xfId="0"/>
    <xf numFmtId="165" fontId="0" fillId="0" borderId="0" pivotButton="0" quotePrefix="0" xfId="0"/>
  </cellXfs>
  <cellStyles count="1">
    <cellStyle name="Normal" xfId="0" builtinId="0"/>
  </cellStyles>
  <dxfs count="35">
    <dxf>
      <alignment vertical="top" wrapText="1"/>
    </dxf>
    <dxf>
      <alignment vertical="top" wrapText="1"/>
    </dxf>
    <dxf>
      <alignment vertical="top" wrapText="1"/>
    </dxf>
    <dxf>
      <alignment vertical="top" wrapText="1"/>
    </dxf>
    <dxf>
      <font>
        <b val="1"/>
      </font>
      <alignment vertical="top" wrapText="1"/>
    </dxf>
    <dxf>
      <alignment vertical="top" wrapText="1"/>
    </dxf>
    <dxf>
      <alignment vertical="top" wrapText="1"/>
    </dxf>
    <dxf>
      <font>
        <name val="Aptos"/>
        <sz val="10"/>
      </font>
      <alignment horizontal="left" vertical="top"/>
    </dxf>
    <dxf>
      <font>
        <name val="Aptos"/>
        <sz val="10"/>
      </font>
      <alignment horizontal="left" vertical="top"/>
    </dxf>
    <dxf>
      <font>
        <name val="Aptos"/>
        <sz val="10"/>
      </font>
      <numFmt numFmtId="164" formatCode="mmm\ yyyy"/>
      <alignment horizontal="right" vertical="top"/>
    </dxf>
    <dxf>
      <font>
        <name val="Aptos"/>
        <sz val="10"/>
      </font>
      <alignment horizontal="right" vertical="top"/>
    </dxf>
    <dxf>
      <font>
        <name val="Aptos"/>
        <sz val="10"/>
      </font>
      <alignment horizontal="righ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left" vertical="top"/>
    </dxf>
    <dxf>
      <font>
        <name val="Aptos"/>
        <sz val="10"/>
      </font>
      <alignment horizontal="right" vertical="top"/>
    </dxf>
    <dxf>
      <font>
        <name val="Aptos"/>
        <sz val="10"/>
      </font>
      <alignment horizontal="left" vertical="top"/>
    </dxf>
    <dxf>
      <font>
        <name val="Aptos"/>
        <sz val="10"/>
      </font>
      <alignment horizontal="left" vertical="top"/>
    </dxf>
    <dxf>
      <font>
        <name val="Aptos"/>
        <sz val="10"/>
      </font>
      <numFmt numFmtId="165" formatCode="dd\-mmm\-yyyy"/>
      <alignment horizontal="right" vertical="top"/>
    </dxf>
    <dxf>
      <font>
        <name val="Aptos"/>
        <sz val="10"/>
      </font>
      <numFmt numFmtId="164" formatCode="mmm\ yyyy"/>
      <alignment horizontal="right" vertical="top"/>
    </dxf>
    <dxf>
      <font>
        <name val="Aptos"/>
        <sz val="10"/>
      </font>
      <alignment horizontal="left" vertical="top"/>
    </dxf>
    <dxf>
      <font>
        <name val="Aptos"/>
        <b val="1"/>
        <color rgb="FFFFFFFF"/>
        <sz val="10"/>
      </font>
      <fill>
        <patternFill patternType="solid">
          <fgColor indexed="64"/>
          <bgColor rgb="FF2E5D7B"/>
        </patternFill>
      </fill>
      <alignment horizontal="center" vertical="center" wrapText="1"/>
    </dxf>
    <dxf>
      <font>
        <b val="1"/>
        <color rgb="FFA33A00"/>
      </font>
      <fill>
        <patternFill patternType="solid">
          <fgColor indexed="64"/>
          <bgColor rgb="FFFFF0E6"/>
        </patternFill>
      </fill>
    </dxf>
    <dxf>
      <font>
        <color rgb="FF7A5B00"/>
      </font>
      <fill>
        <patternFill patternType="solid">
          <fgColor indexed="64"/>
          <bgColor rgb="FFFFF8E1"/>
        </patternFill>
      </fill>
    </dxf>
    <dxf>
      <font>
        <b val="1"/>
        <color rgb="FF9A5B00"/>
      </font>
      <fill>
        <patternFill patternType="solid">
          <fgColor indexed="64"/>
          <bgColor rgb="FFFFF3D6"/>
        </patternFill>
      </fill>
    </dxf>
    <dxf>
      <font>
        <b val="1"/>
        <color rgb="FFB42318"/>
      </font>
      <fill>
        <patternFill patternType="solid">
          <fgColor indexed="64"/>
          <bgColor rgb="FFFDEC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plotArea>
      <layout/>
      <lineChart>
        <grouping val="standard"/>
        <varyColors val="0"/>
        <ser>
          <idx val="0"/>
          <order val="0"/>
          <tx>
            <v>Complaints</v>
          </tx>
          <spPr>
            <a:ln w="28575" cap="rnd">
              <a:solidFill>
                <a:srgbClr val="4C78A8"/>
              </a:solidFill>
              <a:prstDash val="solid"/>
              <a:round/>
            </a:ln>
          </spPr>
          <marker>
            <symbol val="circle"/>
            <size val="5"/>
            <spPr>
              <a:solidFill>
                <a:schemeClr val="accent1"/>
              </a:solidFill>
              <a:ln w="9525">
                <a:solidFill>
                  <a:schemeClr val="accent1"/>
                </a:solidFill>
                <a:prstDash val="solid"/>
              </a:ln>
            </spPr>
          </marker>
          <cat>
            <numRef>
              <f>Dashboard!$A$50:$A$61</f>
              <numCache>
                <formatCode>mmm\ yyyy</formatCode>
                <ptCount val="12"/>
                <pt idx="0">
                  <v>46023</v>
                </pt>
                <pt idx="1">
                  <v>46054</v>
                </pt>
                <pt idx="2">
                  <v>46082</v>
                </pt>
                <pt idx="3">
                  <v>46113</v>
                </pt>
                <pt idx="4">
                  <v>46143</v>
                </pt>
                <pt idx="5">
                  <v>46174</v>
                </pt>
                <pt idx="6">
                  <v>46204</v>
                </pt>
                <pt idx="7">
                  <v>46235</v>
                </pt>
                <pt idx="8">
                  <v>46266</v>
                </pt>
                <pt idx="9">
                  <v>46296</v>
                </pt>
                <pt idx="10">
                  <v>46327</v>
                </pt>
                <pt idx="11">
                  <v>46357</v>
                </pt>
              </numCache>
            </numRef>
          </cat>
          <val>
            <numRef>
              <f>Dashboard!$B$50:$B$61</f>
              <numCache>
                <formatCode>General</formatCode>
                <ptCount val="12"/>
                <pt idx="0">
                  <v>4</v>
                </pt>
                <pt idx="1">
                  <v>8</v>
                </pt>
                <pt idx="2">
                  <v>14</v>
                </pt>
                <pt idx="3">
                  <v>11</v>
                </pt>
                <pt idx="4">
                  <v>17</v>
                </pt>
                <pt idx="5">
                  <v>9</v>
                </pt>
                <pt idx="6">
                  <v>7</v>
                </pt>
                <pt idx="7">
                  <v>14</v>
                </pt>
                <pt idx="8">
                  <v>13</v>
                </pt>
                <pt idx="9">
                  <v>3</v>
                </pt>
                <pt idx="10">
                  <v>0</v>
                </pt>
                <pt idx="11">
                  <v>0</v>
                </pt>
              </numCache>
            </numRef>
          </val>
          <smooth val="0"/>
        </ser>
        <ser>
          <idx val="1"/>
          <order val="1"/>
          <tx>
            <v>Inquiries</v>
          </tx>
          <spPr>
            <a:ln w="28575" cap="rnd">
              <a:solidFill>
                <a:srgbClr val="9FB7CF"/>
              </a:solidFill>
              <a:prstDash val="solid"/>
              <a:round/>
            </a:ln>
          </spPr>
          <marker>
            <symbol val="circle"/>
            <size val="5"/>
            <spPr>
              <a:solidFill>
                <a:schemeClr val="accent2"/>
              </a:solidFill>
              <a:ln w="9525">
                <a:solidFill>
                  <a:schemeClr val="accent2"/>
                </a:solidFill>
                <a:prstDash val="solid"/>
              </a:ln>
            </spPr>
          </marker>
          <cat>
            <numRef>
              <f>Dashboard!$A$50:$A$61</f>
              <numCache>
                <formatCode>mmm\ yyyy</formatCode>
                <ptCount val="12"/>
                <pt idx="0">
                  <v>46023</v>
                </pt>
                <pt idx="1">
                  <v>46054</v>
                </pt>
                <pt idx="2">
                  <v>46082</v>
                </pt>
                <pt idx="3">
                  <v>46113</v>
                </pt>
                <pt idx="4">
                  <v>46143</v>
                </pt>
                <pt idx="5">
                  <v>46174</v>
                </pt>
                <pt idx="6">
                  <v>46204</v>
                </pt>
                <pt idx="7">
                  <v>46235</v>
                </pt>
                <pt idx="8">
                  <v>46266</v>
                </pt>
                <pt idx="9">
                  <v>46296</v>
                </pt>
                <pt idx="10">
                  <v>46327</v>
                </pt>
                <pt idx="11">
                  <v>46357</v>
                </pt>
              </numCache>
            </numRef>
          </cat>
          <val>
            <numRef>
              <f>Dashboard!$C$50:$C$61</f>
              <numCache>
                <formatCode>General</formatCode>
                <ptCount val="12"/>
                <pt idx="0">
                  <v>0</v>
                </pt>
                <pt idx="1">
                  <v>1</v>
                </pt>
                <pt idx="2">
                  <v>0</v>
                </pt>
                <pt idx="3">
                  <v>2</v>
                </pt>
                <pt idx="4">
                  <v>1</v>
                </pt>
                <pt idx="5">
                  <v>3</v>
                </pt>
                <pt idx="6">
                  <v>4</v>
                </pt>
                <pt idx="7">
                  <v>4</v>
                </pt>
                <pt idx="8">
                  <v>5</v>
                </pt>
                <pt idx="9">
                  <v>0</v>
                </pt>
                <pt idx="10">
                  <v>0</v>
                </pt>
                <pt idx="11">
                  <v>0</v>
                </pt>
              </numCache>
            </numRef>
          </val>
          <smooth val="0"/>
        </ser>
        <dLbls>
          <showLegendKey val="0"/>
          <showVal val="0"/>
          <showCatName val="0"/>
          <showSerName val="0"/>
          <showPercent val="0"/>
          <showBubbleSize val="0"/>
        </dLbls>
        <marker val="1"/>
        <smooth val="0"/>
        <axId val="157746696"/>
        <axId val="157760520"/>
      </lineChart>
      <dateAx>
        <axId val="157746696"/>
        <scaling>
          <orientation val="minMax"/>
        </scaling>
        <delete val="0"/>
        <axPos val="b"/>
        <numFmt formatCode="mmm\ yyyy"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rgbClr val="34495E"/>
                </a:solidFill>
                <a:latin typeface="Aptos"/>
                <a:ea typeface="Aptos"/>
                <a:cs typeface="Aptos"/>
              </a:defRPr>
            </a:pPr>
            <a:r>
              <a:t>None</a:t>
            </a:r>
            <a:endParaRPr lang="en-US"/>
          </a:p>
        </txPr>
        <crossAx val="157760520"/>
        <crosses val="autoZero"/>
        <lblOffset val="100"/>
        <baseTimeUnit val="months"/>
      </dateAx>
      <valAx>
        <axId val="157760520"/>
        <scaling>
          <orientation val="minMax"/>
          <min val="0"/>
        </scaling>
        <delete val="0"/>
        <axPos val="l"/>
        <majorGridlines>
          <spPr>
            <a:ln w="9525" cap="flat" cmpd="sng" algn="ctr">
              <a:solidFill>
                <a:srgbClr val="E6EBF1"/>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rgbClr val="637083"/>
                </a:solidFill>
                <a:latin typeface="Aptos"/>
                <a:ea typeface="Aptos"/>
                <a:cs typeface="Aptos"/>
              </a:defRPr>
            </a:pPr>
            <a:r>
              <a:t>None</a:t>
            </a:r>
            <a:endParaRPr lang="en-US"/>
          </a:p>
        </txPr>
        <crossAx val="157746696"/>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rgbClr val="5F6B7A"/>
              </a:solidFill>
              <a:latin typeface="Aptos"/>
              <a:ea typeface="Aptos"/>
              <a:cs typeface="Aptos"/>
            </a:defRPr>
          </a:pPr>
          <a:r>
            <a:t>None</a:t>
          </a:r>
          <a:endParaRPr lang="en-US"/>
        </a:p>
      </txPr>
    </legend>
    <plotVisOnly val="1"/>
    <dispBlanksAs val="gap"/>
  </chart>
  <spPr>
    <a:solidFill>
      <a:srgbClr val="FFFFFF"/>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plotArea>
      <layout/>
      <barChart>
        <barDir val="bar"/>
        <grouping val="clustered"/>
        <varyColors val="0"/>
        <ser>
          <idx val="0"/>
          <order val="0"/>
          <tx>
            <strRef>
              <f>Dashboard!$J$49</f>
              <strCache>
                <ptCount val="1"/>
                <pt idx="0">
                  <v>Complaints</v>
                </pt>
              </strCache>
            </strRef>
          </tx>
          <spPr>
            <a:solidFill>
              <a:srgbClr val="4C78A8"/>
            </a:solidFill>
            <a:ln>
              <a:solidFill>
                <a:srgbClr val="4C78A8"/>
              </a:solidFill>
              <a:prstDash val="solid"/>
            </a:ln>
          </spPr>
          <invertIfNegative val="0"/>
          <dPt>
            <idx val="0"/>
            <invertIfNegative val="0"/>
            <bubble3D val="0"/>
            <spPr>
              <a:solidFill>
                <a:srgbClr val="4C78A8"/>
              </a:solidFill>
              <a:ln>
                <a:solidFill>
                  <a:srgbClr val="4C78A8"/>
                </a:solidFill>
                <a:prstDash val="solid"/>
              </a:ln>
            </spPr>
          </dPt>
          <dPt>
            <idx val="1"/>
            <invertIfNegative val="0"/>
            <bubble3D val="0"/>
            <spPr>
              <a:solidFill>
                <a:srgbClr val="4C78A8"/>
              </a:solidFill>
              <a:ln>
                <a:solidFill>
                  <a:srgbClr val="4C78A8"/>
                </a:solidFill>
                <a:prstDash val="solid"/>
              </a:ln>
            </spPr>
          </dPt>
          <dPt>
            <idx val="2"/>
            <invertIfNegative val="0"/>
            <bubble3D val="0"/>
            <spPr>
              <a:solidFill>
                <a:srgbClr val="4C78A8"/>
              </a:solidFill>
              <a:ln>
                <a:solidFill>
                  <a:srgbClr val="4C78A8"/>
                </a:solidFill>
                <a:prstDash val="solid"/>
              </a:ln>
            </spPr>
          </dPt>
          <dPt>
            <idx val="3"/>
            <invertIfNegative val="0"/>
            <bubble3D val="0"/>
            <spPr>
              <a:solidFill>
                <a:srgbClr val="4C78A8"/>
              </a:solidFill>
              <a:ln>
                <a:solidFill>
                  <a:srgbClr val="4C78A8"/>
                </a:solidFill>
                <a:prstDash val="solid"/>
              </a:ln>
            </spPr>
          </dPt>
          <dLbls>
            <numFmt formatCode="#,##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Dashboard!$I$50:$I$53</f>
              <strCache>
                <ptCount val="4"/>
                <pt idx="0">
                  <v>Fixed</v>
                </pt>
                <pt idx="1">
                  <v>RCA Shared</v>
                </pt>
                <pt idx="2">
                  <v>Clarification Provided</v>
                </pt>
                <pt idx="3">
                  <v>Pending</v>
                </pt>
              </strCache>
            </strRef>
          </cat>
          <val>
            <numRef>
              <f>Dashboard!$J$50:$J$53</f>
              <numCache>
                <formatCode>General</formatCode>
                <ptCount val="4"/>
                <pt idx="0">
                  <v>45</v>
                </pt>
                <pt idx="1">
                  <v>34</v>
                </pt>
                <pt idx="2">
                  <v>17</v>
                </pt>
                <pt idx="3">
                  <v>4</v>
                </pt>
              </numCache>
            </numRef>
          </val>
        </ser>
        <dLbls>
          <showLegendKey val="0"/>
          <showVal val="0"/>
          <showCatName val="0"/>
          <showSerName val="0"/>
          <showPercent val="0"/>
          <showBubbleSize val="0"/>
        </dLbls>
        <gapWidth val="182"/>
        <axId val="161083400"/>
        <axId val="161085960"/>
      </barChart>
      <catAx>
        <axId val="161083400"/>
        <scaling>
          <orientation val="maxMin"/>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rgbClr val="34495E"/>
                </a:solidFill>
                <a:latin typeface="Aptos"/>
                <a:ea typeface="Aptos"/>
                <a:cs typeface="Aptos"/>
              </a:defRPr>
            </a:pPr>
            <a:r>
              <a:t>None</a:t>
            </a:r>
            <a:endParaRPr lang="en-US"/>
          </a:p>
        </txPr>
        <crossAx val="161085960"/>
        <crosses val="autoZero"/>
        <auto val="1"/>
        <lblAlgn val="ctr"/>
        <lblOffset val="100"/>
        <noMultiLvlLbl val="0"/>
      </catAx>
      <valAx>
        <axId val="161085960"/>
        <scaling>
          <orientation val="minMax"/>
          <min val="0"/>
        </scaling>
        <delete val="0"/>
        <axPos val="t"/>
        <majorGridlines>
          <spPr>
            <a:ln w="9525" cap="flat" cmpd="sng" algn="ctr">
              <a:solidFill>
                <a:srgbClr val="E6EBF1"/>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rgbClr val="637083"/>
                </a:solidFill>
                <a:latin typeface="Aptos"/>
                <a:ea typeface="Aptos"/>
                <a:cs typeface="Aptos"/>
              </a:defRPr>
            </a:pPr>
            <a:r>
              <a:t>None</a:t>
            </a:r>
            <a:endParaRPr lang="en-US"/>
          </a:p>
        </txPr>
        <crossAx val="161083400"/>
        <crosses val="autoZero"/>
        <crossBetween val="between"/>
      </valAx>
    </plotArea>
    <plotVisOnly val="1"/>
    <dispBlanksAs val="gap"/>
  </chart>
  <spPr>
    <a:solidFill>
      <a:srgbClr val="FFFFFF"/>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plotArea>
      <layout/>
      <barChart>
        <barDir val="col"/>
        <grouping val="clustered"/>
        <varyColors val="0"/>
        <ser>
          <idx val="0"/>
          <order val="0"/>
          <tx>
            <v>Records</v>
          </tx>
          <spPr>
            <a:solidFill>
              <a:srgbClr val="4C78A8"/>
            </a:solidFill>
            <a:ln>
              <a:solidFill>
                <a:srgbClr val="4C78A8"/>
              </a:solidFill>
              <a:prstDash val="solid"/>
            </a:ln>
          </spPr>
          <invertIfNegative val="0"/>
          <dPt>
            <idx val="0"/>
            <invertIfNegative val="0"/>
            <bubble3D val="0"/>
            <spPr>
              <a:solidFill>
                <a:srgbClr val="4C78A8"/>
              </a:solidFill>
              <a:ln>
                <a:solidFill>
                  <a:srgbClr val="4C78A8"/>
                </a:solidFill>
                <a:prstDash val="solid"/>
              </a:ln>
            </spPr>
          </dPt>
          <dPt>
            <idx val="1"/>
            <invertIfNegative val="0"/>
            <bubble3D val="0"/>
            <spPr>
              <a:solidFill>
                <a:srgbClr val="4C78A8"/>
              </a:solidFill>
              <a:ln>
                <a:solidFill>
                  <a:srgbClr val="4C78A8"/>
                </a:solidFill>
                <a:prstDash val="solid"/>
              </a:ln>
            </spPr>
          </dPt>
          <dPt>
            <idx val="2"/>
            <invertIfNegative val="0"/>
            <bubble3D val="0"/>
            <spPr>
              <a:solidFill>
                <a:srgbClr val="4C78A8"/>
              </a:solidFill>
              <a:ln>
                <a:solidFill>
                  <a:srgbClr val="4C78A8"/>
                </a:solidFill>
                <a:prstDash val="solid"/>
              </a:ln>
            </spPr>
          </dPt>
          <dPt>
            <idx val="3"/>
            <invertIfNegative val="0"/>
            <bubble3D val="0"/>
            <spPr>
              <a:solidFill>
                <a:srgbClr val="4C78A8"/>
              </a:solidFill>
              <a:ln>
                <a:solidFill>
                  <a:srgbClr val="4C78A8"/>
                </a:solidFill>
                <a:prstDash val="solid"/>
              </a:ln>
            </spPr>
          </dPt>
          <dLbls>
            <numFmt formatCode="#,##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Dashboard!$M$50:$M$53</f>
              <strCache>
                <ptCount val="4"/>
                <pt idx="0">
                  <v>Critical</v>
                </pt>
                <pt idx="1">
                  <v>High</v>
                </pt>
                <pt idx="2">
                  <v>Medium</v>
                </pt>
                <pt idx="3">
                  <v>Low</v>
                </pt>
              </strCache>
            </strRef>
          </cat>
          <val>
            <numRef>
              <f>Dashboard!$N$50:$N$53</f>
              <numCache>
                <formatCode>General</formatCode>
                <ptCount val="4"/>
                <pt idx="0">
                  <v>0</v>
                </pt>
                <pt idx="1">
                  <v>6</v>
                </pt>
                <pt idx="2">
                  <v>103</v>
                </pt>
                <pt idx="3">
                  <v>11</v>
                </pt>
              </numCache>
            </numRef>
          </val>
        </ser>
        <dLbls>
          <showLegendKey val="0"/>
          <showVal val="0"/>
          <showCatName val="0"/>
          <showSerName val="0"/>
          <showPercent val="0"/>
          <showBubbleSize val="0"/>
        </dLbls>
        <gapWidth val="219"/>
        <overlap val="-27"/>
        <axId val="1888135687"/>
        <axId val="1888506887"/>
      </barChart>
      <catAx>
        <axId val="1888135687"/>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rgbClr val="34495E"/>
                </a:solidFill>
                <a:latin typeface="Aptos"/>
                <a:ea typeface="Aptos"/>
                <a:cs typeface="Aptos"/>
              </a:defRPr>
            </a:pPr>
            <a:r>
              <a:t>None</a:t>
            </a:r>
            <a:endParaRPr lang="en-US"/>
          </a:p>
        </txPr>
        <crossAx val="1888506887"/>
        <crosses val="autoZero"/>
        <auto val="1"/>
        <lblAlgn val="ctr"/>
        <lblOffset val="100"/>
        <noMultiLvlLbl val="0"/>
      </catAx>
      <valAx>
        <axId val="1888506887"/>
        <scaling>
          <orientation val="minMax"/>
          <min val="0"/>
        </scaling>
        <delete val="0"/>
        <axPos val="l"/>
        <majorGridlines>
          <spPr>
            <a:ln w="9525" cap="flat" cmpd="sng" algn="ctr">
              <a:solidFill>
                <a:srgbClr val="E6EBF1"/>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rgbClr val="637083"/>
                </a:solidFill>
                <a:latin typeface="Aptos"/>
                <a:ea typeface="Aptos"/>
                <a:cs typeface="Aptos"/>
              </a:defRPr>
            </a:pPr>
            <a:r>
              <a:t>None</a:t>
            </a:r>
            <a:endParaRPr lang="en-US"/>
          </a:p>
        </txPr>
        <crossAx val="1888135687"/>
        <crosses val="autoZero"/>
        <crossBetween val="between"/>
      </valAx>
    </plotArea>
    <plotVisOnly val="1"/>
    <dispBlanksAs val="gap"/>
  </chart>
  <spPr>
    <a:solidFill>
      <a:srgbClr val="FFFFFF"/>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plotArea>
      <layout/>
      <barChart>
        <barDir val="col"/>
        <grouping val="clustered"/>
        <varyColors val="0"/>
        <ser>
          <idx val="0"/>
          <order val="0"/>
          <tx>
            <v>Complaints</v>
          </tx>
          <spPr>
            <a:solidFill>
              <a:srgbClr val="4C78A8"/>
            </a:solidFill>
            <a:ln>
              <a:solidFill>
                <a:srgbClr val="4C78A8"/>
              </a:solidFill>
              <a:prstDash val="solid"/>
            </a:ln>
          </spPr>
          <invertIfNegative val="0"/>
          <dPt>
            <idx val="0"/>
            <invertIfNegative val="0"/>
            <bubble3D val="0"/>
            <spPr>
              <a:solidFill>
                <a:srgbClr val="4C78A8"/>
              </a:solidFill>
              <a:ln>
                <a:solidFill>
                  <a:srgbClr val="4C78A8"/>
                </a:solidFill>
                <a:prstDash val="solid"/>
              </a:ln>
            </spPr>
          </dPt>
          <dPt>
            <idx val="1"/>
            <invertIfNegative val="0"/>
            <bubble3D val="0"/>
            <spPr>
              <a:solidFill>
                <a:srgbClr val="4C78A8"/>
              </a:solidFill>
              <a:ln>
                <a:solidFill>
                  <a:srgbClr val="4C78A8"/>
                </a:solidFill>
                <a:prstDash val="solid"/>
              </a:ln>
            </spPr>
          </dPt>
          <dPt>
            <idx val="2"/>
            <invertIfNegative val="0"/>
            <bubble3D val="0"/>
            <spPr>
              <a:solidFill>
                <a:srgbClr val="4C78A8"/>
              </a:solidFill>
              <a:ln>
                <a:solidFill>
                  <a:srgbClr val="4C78A8"/>
                </a:solidFill>
                <a:prstDash val="solid"/>
              </a:ln>
            </spPr>
          </dPt>
          <dLbls>
            <numFmt formatCode="#,##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Dashboard!$E$50:$E$52</f>
              <strCache>
                <ptCount val="3"/>
                <pt idx="0">
                  <v>Product</v>
                </pt>
                <pt idx="1">
                  <v>People</v>
                </pt>
                <pt idx="2">
                  <v>Process</v>
                </pt>
              </strCache>
            </strRef>
          </cat>
          <val>
            <numRef>
              <f>Dashboard!$F$50:$F$52</f>
              <numCache>
                <formatCode>General</formatCode>
                <ptCount val="3"/>
                <pt idx="0">
                  <v>57</v>
                </pt>
                <pt idx="1">
                  <v>37</v>
                </pt>
                <pt idx="2">
                  <v>6</v>
                </pt>
              </numCache>
            </numRef>
          </val>
        </ser>
        <dLbls>
          <showLegendKey val="0"/>
          <showVal val="0"/>
          <showCatName val="0"/>
          <showSerName val="0"/>
          <showPercent val="0"/>
          <showBubbleSize val="0"/>
        </dLbls>
        <gapWidth val="219"/>
        <overlap val="-27"/>
        <axId val="115883015"/>
        <axId val="115885063"/>
      </barChart>
      <catAx>
        <axId val="115883015"/>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rgbClr val="34495E"/>
                </a:solidFill>
                <a:latin typeface="Aptos"/>
                <a:ea typeface="Aptos"/>
                <a:cs typeface="Aptos"/>
              </a:defRPr>
            </a:pPr>
            <a:r>
              <a:t>None</a:t>
            </a:r>
            <a:endParaRPr lang="en-US"/>
          </a:p>
        </txPr>
        <crossAx val="115885063"/>
        <crosses val="autoZero"/>
        <auto val="1"/>
        <lblAlgn val="ctr"/>
        <lblOffset val="100"/>
        <noMultiLvlLbl val="0"/>
      </catAx>
      <valAx>
        <axId val="115885063"/>
        <scaling>
          <orientation val="minMax"/>
          <min val="0"/>
        </scaling>
        <delete val="0"/>
        <axPos val="l"/>
        <majorGridlines>
          <spPr>
            <a:ln w="9525" cap="flat" cmpd="sng" algn="ctr">
              <a:solidFill>
                <a:srgbClr val="E6EBF1"/>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rgbClr val="637083"/>
                </a:solidFill>
                <a:latin typeface="Aptos"/>
                <a:ea typeface="Aptos"/>
                <a:cs typeface="Aptos"/>
              </a:defRPr>
            </a:pPr>
            <a:r>
              <a:t>None</a:t>
            </a:r>
            <a:endParaRPr lang="en-US"/>
          </a:p>
        </txPr>
        <crossAx val="115883015"/>
        <crosses val="autoZero"/>
        <crossBetween val="between"/>
      </valAx>
    </plotArea>
    <plotVisOnly val="1"/>
    <dispBlanksAs val="gap"/>
  </chart>
  <spPr>
    <a:solidFill>
      <a:srgbClr val="FFFFFF"/>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plotArea>
      <layout/>
      <barChart>
        <barDir val="bar"/>
        <grouping val="clustered"/>
        <varyColors val="0"/>
        <ser>
          <idx val="0"/>
          <order val="0"/>
          <tx>
            <v>Complaints</v>
          </tx>
          <spPr>
            <a:solidFill>
              <a:srgbClr val="4C78A8"/>
            </a:solidFill>
            <a:ln>
              <a:solidFill>
                <a:srgbClr val="4C78A8"/>
              </a:solidFill>
              <a:prstDash val="solid"/>
            </a:ln>
          </spPr>
          <invertIfNegative val="0"/>
          <dPt>
            <idx val="0"/>
            <invertIfNegative val="0"/>
            <bubble3D val="0"/>
            <spPr>
              <a:solidFill>
                <a:srgbClr val="4C78A8"/>
              </a:solidFill>
              <a:ln>
                <a:solidFill>
                  <a:srgbClr val="4C78A8"/>
                </a:solidFill>
                <a:prstDash val="solid"/>
              </a:ln>
            </spPr>
          </dPt>
          <dLbls>
            <numFmt formatCode="#,##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Dashboard!$A$67:$A$77</f>
              <strCache>
                <ptCount val="11"/>
                <pt idx="0">
                  <v>Ford</v>
                </pt>
                <pt idx="1">
                  <v>Eaton</v>
                </pt>
                <pt idx="2">
                  <v>Caterpillar</v>
                </pt>
                <pt idx="3">
                  <v>Collins Aerospace</v>
                </pt>
                <pt idx="4">
                  <v>GM</v>
                </pt>
                <pt idx="5">
                  <v>Ford/GM</v>
                </pt>
                <pt idx="6">
                  <v>General Mills</v>
                </pt>
                <pt idx="7">
                  <v>META</v>
                </pt>
                <pt idx="8">
                  <v>Merck</v>
                </pt>
                <pt idx="9">
                  <v>Schneider Electric</v>
                </pt>
                <pt idx="10">
                  <v>Other customers</v>
                </pt>
              </strCache>
            </strRef>
          </cat>
          <val>
            <numRef>
              <f>Dashboard!$B$67:$B$77</f>
              <numCache>
                <formatCode>General</formatCode>
                <ptCount val="11"/>
                <pt idx="0">
                  <v>36</v>
                </pt>
                <pt idx="1">
                  <v>13</v>
                </pt>
                <pt idx="2">
                  <v>7</v>
                </pt>
                <pt idx="3">
                  <v>4</v>
                </pt>
                <pt idx="4">
                  <v>4</v>
                </pt>
                <pt idx="5">
                  <v>3</v>
                </pt>
                <pt idx="6">
                  <v>2</v>
                </pt>
                <pt idx="7">
                  <v>2</v>
                </pt>
                <pt idx="8">
                  <v>2</v>
                </pt>
                <pt idx="9">
                  <v>2</v>
                </pt>
                <pt idx="10">
                  <v>25</v>
                </pt>
              </numCache>
            </numRef>
          </val>
        </ser>
        <dLbls>
          <showLegendKey val="0"/>
          <showVal val="0"/>
          <showCatName val="0"/>
          <showSerName val="0"/>
          <showPercent val="0"/>
          <showBubbleSize val="0"/>
        </dLbls>
        <gapWidth val="182"/>
        <axId val="134630407"/>
        <axId val="134640647"/>
      </barChart>
      <catAx>
        <axId val="134630407"/>
        <scaling>
          <orientation val="maxMin"/>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rgbClr val="34495E"/>
                </a:solidFill>
                <a:latin typeface="Aptos"/>
                <a:ea typeface="Aptos"/>
                <a:cs typeface="Aptos"/>
              </a:defRPr>
            </a:pPr>
            <a:r>
              <a:t>None</a:t>
            </a:r>
            <a:endParaRPr lang="en-US"/>
          </a:p>
        </txPr>
        <crossAx val="134640647"/>
        <crosses val="autoZero"/>
        <auto val="1"/>
        <lblAlgn val="ctr"/>
        <lblOffset val="100"/>
        <noMultiLvlLbl val="0"/>
      </catAx>
      <valAx>
        <axId val="134640647"/>
        <scaling>
          <orientation val="minMax"/>
          <min val="0"/>
        </scaling>
        <delete val="0"/>
        <axPos val="t"/>
        <majorGridlines>
          <spPr>
            <a:ln w="9525" cap="flat" cmpd="sng" algn="ctr">
              <a:solidFill>
                <a:srgbClr val="E6EBF1"/>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rgbClr val="637083"/>
                </a:solidFill>
                <a:latin typeface="Aptos"/>
                <a:ea typeface="Aptos"/>
                <a:cs typeface="Aptos"/>
              </a:defRPr>
            </a:pPr>
            <a:r>
              <a:t>None</a:t>
            </a:r>
            <a:endParaRPr lang="en-US"/>
          </a:p>
        </txPr>
        <crossAx val="134630407"/>
        <crosses val="autoZero"/>
        <crossBetween val="between"/>
      </valAx>
    </plotArea>
    <plotVisOnly val="1"/>
    <dispBlanksAs val="gap"/>
  </chart>
  <spPr>
    <a:solidFill>
      <a:srgbClr val="FFFFFF"/>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plotArea>
      <layout/>
      <barChart>
        <barDir val="bar"/>
        <grouping val="clustered"/>
        <varyColors val="0"/>
        <ser>
          <idx val="0"/>
          <order val="0"/>
          <tx>
            <v>Complaints</v>
          </tx>
          <spPr>
            <a:solidFill>
              <a:srgbClr val="4C78A8"/>
            </a:solidFill>
            <a:ln>
              <a:solidFill>
                <a:srgbClr val="4C78A8"/>
              </a:solidFill>
              <a:prstDash val="solid"/>
            </a:ln>
          </spPr>
          <invertIfNegative val="0"/>
          <dPt>
            <idx val="0"/>
            <invertIfNegative val="0"/>
            <bubble3D val="0"/>
            <spPr>
              <a:solidFill>
                <a:srgbClr val="4C78A8"/>
              </a:solidFill>
              <a:ln>
                <a:solidFill>
                  <a:srgbClr val="4C78A8"/>
                </a:solidFill>
                <a:prstDash val="solid"/>
              </a:ln>
            </spPr>
          </dPt>
          <dPt>
            <idx val="1"/>
            <invertIfNegative val="0"/>
            <bubble3D val="0"/>
            <spPr>
              <a:solidFill>
                <a:srgbClr val="4C78A8"/>
              </a:solidFill>
              <a:ln>
                <a:solidFill>
                  <a:srgbClr val="4C78A8"/>
                </a:solidFill>
                <a:prstDash val="solid"/>
              </a:ln>
            </spPr>
          </dPt>
          <dLbls>
            <numFmt formatCode="#,##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Dashboard!$E$67:$E$75</f>
              <strCache>
                <ptCount val="9"/>
                <pt idx="0">
                  <v>WarRoom &amp; Decision Validation</v>
                </pt>
                <pt idx="1">
                  <v>Dynamic Source Discovery</v>
                </pt>
                <pt idx="2">
                  <v>Multilingual Keyword Expansion</v>
                </pt>
                <pt idx="3">
                  <v>Other Control Automation</v>
                </pt>
                <pt idx="4">
                  <v>Entity &amp; Supplier Resolution</v>
                </pt>
                <pt idx="5">
                  <v>AI-Assisted Geofencing</v>
                </pt>
                <pt idx="6">
                  <v>Cluster Integrity &amp; Duplicate Prevention</v>
                </pt>
                <pt idx="7">
                  <v>Automated Industry Tagging</v>
                </pt>
                <pt idx="8">
                  <v>Notification Visibility Monitoring</v>
                </pt>
              </strCache>
            </strRef>
          </cat>
          <val>
            <numRef>
              <f>Dashboard!$F$67:$F$75</f>
              <numCache>
                <formatCode>General</formatCode>
                <ptCount val="9"/>
                <pt idx="0">
                  <v>32</v>
                </pt>
                <pt idx="1">
                  <v>32</v>
                </pt>
                <pt idx="2">
                  <v>5</v>
                </pt>
                <pt idx="3">
                  <v>7</v>
                </pt>
                <pt idx="4">
                  <v>9</v>
                </pt>
                <pt idx="5">
                  <v>3</v>
                </pt>
                <pt idx="6">
                  <v>4</v>
                </pt>
                <pt idx="7">
                  <v>2</v>
                </pt>
                <pt idx="8">
                  <v>6</v>
                </pt>
              </numCache>
            </numRef>
          </val>
        </ser>
        <dLbls>
          <showLegendKey val="0"/>
          <showVal val="0"/>
          <showCatName val="0"/>
          <showSerName val="0"/>
          <showPercent val="0"/>
          <showBubbleSize val="0"/>
        </dLbls>
        <gapWidth val="182"/>
        <axId val="135034887"/>
        <axId val="135041031"/>
      </barChart>
      <catAx>
        <axId val="135034887"/>
        <scaling>
          <orientation val="maxMin"/>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rgbClr val="34495E"/>
                </a:solidFill>
                <a:latin typeface="Aptos"/>
                <a:ea typeface="Aptos"/>
                <a:cs typeface="Aptos"/>
              </a:defRPr>
            </a:pPr>
            <a:r>
              <a:t>None</a:t>
            </a:r>
            <a:endParaRPr lang="en-US"/>
          </a:p>
        </txPr>
        <crossAx val="135041031"/>
        <crosses val="autoZero"/>
        <auto val="1"/>
        <lblAlgn val="ctr"/>
        <lblOffset val="100"/>
        <noMultiLvlLbl val="0"/>
      </catAx>
      <valAx>
        <axId val="135041031"/>
        <scaling>
          <orientation val="minMax"/>
          <min val="0"/>
        </scaling>
        <delete val="0"/>
        <axPos val="t"/>
        <majorGridlines>
          <spPr>
            <a:ln w="9525" cap="flat" cmpd="sng" algn="ctr">
              <a:solidFill>
                <a:srgbClr val="E6EBF1"/>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rgbClr val="637083"/>
                </a:solidFill>
                <a:latin typeface="Aptos"/>
                <a:ea typeface="Aptos"/>
                <a:cs typeface="Aptos"/>
              </a:defRPr>
            </a:pPr>
            <a:r>
              <a:t>None</a:t>
            </a:r>
            <a:endParaRPr lang="en-US"/>
          </a:p>
        </txPr>
        <crossAx val="135034887"/>
        <crosses val="autoZero"/>
        <crossBetween val="between"/>
      </valAx>
    </plotArea>
    <plotVisOnly val="1"/>
    <dispBlanksAs val="gap"/>
  </chart>
  <spPr>
    <a:solidFill>
      <a:srgbClr val="FFFFFF"/>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9</row>
      <rowOff>0</rowOff>
    </from>
    <to>
      <col>6</col>
      <colOff>0</colOff>
      <row>25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6</col>
      <colOff>0</colOff>
      <row>9</row>
      <rowOff>0</rowOff>
    </from>
    <to>
      <col>12</col>
      <colOff>0</colOff>
      <row>25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12</col>
      <colOff>0</colOff>
      <row>9</row>
      <rowOff>0</rowOff>
    </from>
    <to>
      <col>18</col>
      <colOff>0</colOff>
      <row>25</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0</col>
      <colOff>0</colOff>
      <row>27</row>
      <rowOff>0</rowOff>
    </from>
    <to>
      <col>6</col>
      <colOff>0</colOff>
      <row>43</row>
      <rowOff>0</rowOff>
    </to>
    <graphicFrame>
      <nvGraphicFramePr>
        <cNvPr id="4" name="Chart 4"/>
        <cNvGraphicFramePr/>
      </nvGraphicFramePr>
      <xfrm/>
      <a:graphic>
        <a:graphicData uri="http://schemas.openxmlformats.org/drawingml/2006/chart">
          <c:chart r:id="rId4"/>
        </a:graphicData>
      </a:graphic>
    </graphicFrame>
    <clientData/>
  </twoCellAnchor>
  <twoCellAnchor>
    <from>
      <col>6</col>
      <colOff>0</colOff>
      <row>27</row>
      <rowOff>0</rowOff>
    </from>
    <to>
      <col>12</col>
      <colOff>0</colOff>
      <row>43</row>
      <rowOff>0</rowOff>
    </to>
    <graphicFrame>
      <nvGraphicFramePr>
        <cNvPr id="5" name="Chart 5"/>
        <cNvGraphicFramePr/>
      </nvGraphicFramePr>
      <xfrm/>
      <a:graphic>
        <a:graphicData uri="http://schemas.openxmlformats.org/drawingml/2006/chart">
          <c:chart r:id="rId5"/>
        </a:graphicData>
      </a:graphic>
    </graphicFrame>
    <clientData/>
  </twoCellAnchor>
  <twoCellAnchor>
    <from>
      <col>12</col>
      <colOff>0</colOff>
      <row>27</row>
      <rowOff>0</rowOff>
    </from>
    <to>
      <col>18</col>
      <colOff>0</colOff>
      <row>43</row>
      <rowOff>0</rowOff>
    </to>
    <graphicFrame>
      <nvGraphicFramePr>
        <cNvPr id="6" name="Chart 6"/>
        <cNvGraphicFramePr/>
      </nvGraphicFramePr>
      <xfrm/>
      <a:graphic>
        <a:graphicData uri="http://schemas.openxmlformats.org/drawingml/2006/chart">
          <c:chart r:id="rId6"/>
        </a:graphicData>
      </a:graphic>
    </graphicFrame>
    <clientData/>
  </twoCellAnchor>
</wsDr>
</file>

<file path=xl/tables/table1.xml><?xml version="1.0" encoding="utf-8"?>
<table xmlns="http://schemas.openxmlformats.org/spreadsheetml/2006/main" id="1" name="ComplaintTracker" displayName="ComplaintTracker" ref="A1:Z121" headerRowCount="1" totalsRowShown="0" headerRowDxfId="30" dataDxfId="29">
  <autoFilter ref="A1:Z104"/>
  <tableColumns count="26">
    <tableColumn id="1" name="Month" dataDxfId="28">
      <calculatedColumnFormula>DATE(YEAR(B2),MONTH(B2),1)</calculatedColumnFormula>
    </tableColumn>
    <tableColumn id="2" name="Email/JIRA Date" dataDxfId="27"/>
    <tableColumn id="3" name="Event type" dataDxfId="26"/>
    <tableColumn id="4" name="Customer" dataDxfId="25"/>
    <tableColumn id="5" name="Number of Customers" dataDxfId="24"/>
    <tableColumn id="6" name="Event/Bulletin Title" dataDxfId="23"/>
    <tableColumn id="7" name="Issue Type" dataDxfId="22"/>
    <tableColumn id="8" name="Reason" dataDxfId="21"/>
    <tableColumn id="9" name="Root Cause" dataDxfId="20"/>
    <tableColumn id="10" name="Sub-type" dataDxfId="19"/>
    <tableColumn id="11" name="Improvement VS Bug" dataDxfId="18"/>
    <tableColumn id="12" name="Short Term Fix Status" dataDxfId="17"/>
    <tableColumn id="13" name="Automation Opportunity" dataDxfId="16"/>
    <tableColumn id="14" name="RCA Requested" dataDxfId="15"/>
    <tableColumn id="15" name="Comments" dataDxfId="14"/>
    <tableColumn id="16" name="Delay" dataDxfId="13"/>
    <tableColumn id="17" name="Missed_Flag" dataDxfId="12">
      <calculatedColumnFormula>IF(OR(
ISNUMBER(SEARCH("Missed",H2)),
ISNUMBER(SEARCH("Delayed",H2)),
ISNUMBER(SEARCH("not captured",H2)),
ISNUMBER(SEARCH("not created",H2)),
ISNUMBER(SEARCH("should have been",H2)),
ISNUMBER(SEARCH("not reported",H2)),
ISNUMBER(SEARCH("not triggered",H2)),
ISNUMBER(SEARCH("not visible",H2)),
ISNUMBER(SEARCH("not notified",H2)),
ISNUMBER(SEARCH("Not Surfaced",H2))
),"Yes","No")</calculatedColumnFormula>
    </tableColumn>
    <tableColumn id="18" name="Month_Sort" dataDxfId="11">
      <calculatedColumnFormula>MONTH(B2)</calculatedColumnFormula>
    </tableColumn>
    <tableColumn id="19" name="Delay (Hours)" dataDxfId="10"/>
    <tableColumn id="20" name="Reporting Month" dataDxfId="9">
      <calculatedColumnFormula>DATE(2026,R2,1)</calculatedColumnFormula>
    </tableColumn>
    <tableColumn id="21" name="Severity" dataDxfId="8">
      <calculatedColumnFormula>IF(OR(S2&gt;=168,L2="Under Investigation"),"Critical",IF(S2&gt;=24,"High",IF(OR(Q2="Yes",I2="People"),"Medium","Low")))</calculatedColumnFormula>
    </tableColumn>
    <tableColumn id="22" name="Standard Automation Focus" dataDxfId="7">
      <calculatedColumnFormula>IF(OR(ISNUMBER(SEARCH("keyword",M2)),ISNUMBER(SEARCH("language",M2))),"Multilingual Keyword Expansion",IF(OR(ISNUMBER(SEARCH("source",M2)),ISNUMBER(SEARCH("feed",M2)),ISNUMBER(SEARCH("vendor",M2))),"Dynamic Source Discovery",IF(OR(ISNUMBER(SEARCH("escalat",M2)),ISNUMBER(SEARCH("warroom",M2)),ISNUMBER(SEARCH("not impactful",M2)),ISNUMBER(SEARCH("priorit",M2)),ISNUMBER(SEARCH("reviewer",M2)),ISNUMBER(SEARCH("validation automation",M2))),"WarRoom &amp; Decision Validation",IF(ISNUMBER(SEARCH("tag",M2)),"Automated Industry Tagging",IF(OR(ISNUMBER(SEARCH("map",M2)),ISNUMBER(SEARCH("supplier",M2)),ISNUMBER(SEARCH("entity",M2)),ISNUMBER(SEARCH("alias",M2)),ISNUMBER(SEARCH("facility",M2)),ISNUMBER(SEARCH("company",M2))),"Entity &amp; Supplier Resolution",IF(OR(ISNUMBER(SEARCH("geo",M2)),ISNUMBER(SEARCH("location",M2))),"AI-Assisted Geofencing",IF(OR(ISNUMBER(SEARCH("duplicate",M2)),ISNUMBER(SEARCH("cluster",M2))),"Cluster Integrity &amp; Duplicate Prevention",IF(OR(ISNUMBER(SEARCH("visibility",M2)),ISNUMBER(SEARCH("notification",M2))),"Notification Visibility Monitoring",IF(OR(ISNUMBER(SEARCH("rca",M2)),ISNUMBER(SEARCH("complaint",M2)),ISNUMBER(SEARCH("process control",M2))),"RCA &amp; Workflow Automation","Other Control Automation")))))))))</calculatedColumnFormula>
    </tableColumn>
    <tableColumn id="23" name="Jira Key"/>
    <tableColumn id="24" name="RCA Details"/>
    <tableColumn id="25" name="Routed To"/>
    <tableColumn id="26" name="Resolution Date"/>
  </tableColumns>
  <tableStyleInfo name="TableStyleMedium2" showFirstColumn="0" showLastColumn="0" showRowStripes="1" showColumnStripes="0"/>
</table>
</file>

<file path=xl/tables/table2.xml><?xml version="1.0" encoding="utf-8"?>
<table xmlns="http://schemas.openxmlformats.org/spreadsheetml/2006/main" id="2" name="DefinitionsTable" displayName="DefinitionsTable" ref="A3:E152" headerRowCount="1" totalsRowShown="0" headerRowDxfId="6" dataDxfId="5">
  <autoFilter ref="A3:E139"/>
  <tableColumns count="5">
    <tableColumn id="1" name="Section" dataDxfId="4"/>
    <tableColumn id="2" name="Term / Field" dataDxfId="3"/>
    <tableColumn id="3" name="Definition" dataDxfId="2"/>
    <tableColumn id="4" name="Allowed values / interpretation" dataDxfId="1"/>
    <tableColumn id="5" name="Source column"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utlook.office365.com/owa/?ItemID=AQMkAGJkNmYzMmFjLWMyNjMtNGQ1My05YzBkLTg3NWU1YzlkNTI0MgBGAAADkLVKwdD4v0SBqlGypTcIwwcAnZv%2fZxHZ70aBAH87L4lQGQAAAgEMAAAAnZv%2fZxHZ70aBAH87L4lQGQAMXG6nQgAAAA%3d%3d&amp;exvsurl=1&amp;viewmodel=ReadMessageItem" TargetMode="Externa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Z121"/>
  <sheetViews>
    <sheetView showGridLines="0" tabSelected="1" workbookViewId="0">
      <pane ySplit="1" topLeftCell="A52" activePane="bottomLeft" state="frozen"/>
      <selection pane="bottomLeft" activeCell="C60" sqref="C60"/>
    </sheetView>
  </sheetViews>
  <sheetFormatPr baseColWidth="8" defaultRowHeight="15"/>
  <cols>
    <col width="13.7109375" customWidth="1" style="1" min="1" max="1"/>
    <col width="16" customWidth="1" style="2" min="2" max="2"/>
    <col width="19" customWidth="1" style="30" min="3" max="5"/>
    <col width="41.85546875" customWidth="1" style="30" min="6" max="6"/>
    <col width="22.85546875" customWidth="1" style="30" min="7" max="14"/>
    <col width="49.5703125" customWidth="1" style="30" min="15" max="15"/>
    <col width="21.85546875" customWidth="1" style="30" min="16" max="21"/>
    <col width="36.140625" customWidth="1" style="30" min="22" max="22"/>
  </cols>
  <sheetData>
    <row r="1" ht="30" customHeight="1">
      <c r="A1" s="31" t="inlineStr">
        <is>
          <t>Month</t>
        </is>
      </c>
      <c r="B1" s="31" t="inlineStr">
        <is>
          <t>Email/JIRA Date</t>
        </is>
      </c>
      <c r="C1" s="31" t="inlineStr">
        <is>
          <t>Event type</t>
        </is>
      </c>
      <c r="D1" s="31" t="inlineStr">
        <is>
          <t>Customer</t>
        </is>
      </c>
      <c r="E1" s="31" t="inlineStr">
        <is>
          <t>Number of Customers</t>
        </is>
      </c>
      <c r="F1" s="31" t="inlineStr">
        <is>
          <t>Event/Bulletin Title</t>
        </is>
      </c>
      <c r="G1" s="31" t="inlineStr">
        <is>
          <t>Issue Type</t>
        </is>
      </c>
      <c r="H1" s="31" t="inlineStr">
        <is>
          <t>Reason</t>
        </is>
      </c>
      <c r="I1" s="31" t="inlineStr">
        <is>
          <t>Root Cause</t>
        </is>
      </c>
      <c r="J1" s="31" t="inlineStr">
        <is>
          <t>Sub-type</t>
        </is>
      </c>
      <c r="K1" s="31" t="inlineStr">
        <is>
          <t>Improvement VS Bug</t>
        </is>
      </c>
      <c r="L1" s="31" t="inlineStr">
        <is>
          <t>Short Term Fix Status</t>
        </is>
      </c>
      <c r="M1" s="31" t="inlineStr">
        <is>
          <t>Automation Opportunity</t>
        </is>
      </c>
      <c r="N1" s="31" t="inlineStr">
        <is>
          <t>RCA Requested</t>
        </is>
      </c>
      <c r="O1" s="31" t="inlineStr">
        <is>
          <t>Comments</t>
        </is>
      </c>
      <c r="P1" s="31" t="inlineStr">
        <is>
          <t>Delay</t>
        </is>
      </c>
      <c r="Q1" s="32" t="inlineStr">
        <is>
          <t>Missed_Flag</t>
        </is>
      </c>
      <c r="R1" s="32" t="inlineStr">
        <is>
          <t>Month_Sort</t>
        </is>
      </c>
      <c r="S1" s="32" t="inlineStr">
        <is>
          <t>Delay (Hours)</t>
        </is>
      </c>
      <c r="T1" s="32" t="inlineStr">
        <is>
          <t>Reporting Month</t>
        </is>
      </c>
      <c r="U1" s="32" t="inlineStr">
        <is>
          <t>Severity</t>
        </is>
      </c>
      <c r="V1" s="32" t="inlineStr">
        <is>
          <t>Standard Automation Focus</t>
        </is>
      </c>
      <c r="W1" t="inlineStr">
        <is>
          <t>Jira Key</t>
        </is>
      </c>
      <c r="X1" t="inlineStr">
        <is>
          <t>RCA Details</t>
        </is>
      </c>
      <c r="Y1" t="inlineStr">
        <is>
          <t>Routed To</t>
        </is>
      </c>
      <c r="Z1" t="inlineStr">
        <is>
          <t>Resolution Date</t>
        </is>
      </c>
    </row>
    <row r="2">
      <c r="A2" s="35" t="n">
        <v>46023</v>
      </c>
      <c r="B2" s="37" t="n">
        <v>46031</v>
      </c>
      <c r="C2" s="33" t="inlineStr">
        <is>
          <t>Factory Fire</t>
        </is>
      </c>
      <c r="D2" s="33" t="inlineStr">
        <is>
          <t>International Motor</t>
        </is>
      </c>
      <c r="E2" s="39" t="n">
        <v>1</v>
      </c>
      <c r="F2" s="33" t="inlineStr">
        <is>
          <t>INTERNATIONAL MOTOR: missed events</t>
        </is>
      </c>
      <c r="G2" s="33" t="inlineStr">
        <is>
          <t>Complaint</t>
        </is>
      </c>
      <c r="H2" s="33" t="inlineStr">
        <is>
          <t>Missed Event</t>
        </is>
      </c>
      <c r="I2" s="33" t="inlineStr">
        <is>
          <t>Product</t>
        </is>
      </c>
      <c r="J2" s="33" t="inlineStr">
        <is>
          <t>Keyword Update</t>
        </is>
      </c>
      <c r="K2" s="33" t="inlineStr">
        <is>
          <t>Improvement</t>
        </is>
      </c>
      <c r="L2" s="33" t="inlineStr">
        <is>
          <t>Fixed</t>
        </is>
      </c>
      <c r="M2" s="33" t="inlineStr">
        <is>
          <t>Dynamic Source Discovery</t>
        </is>
      </c>
      <c r="N2" s="33" t="inlineStr">
        <is>
          <t>No</t>
        </is>
      </c>
      <c r="O2" s="33" t="inlineStr">
        <is>
          <t>Swedish keyword variation caused miss; variation added.</t>
        </is>
      </c>
      <c r="P2" s="33" t="n"/>
      <c r="Q2" s="33" t="inlineStr">
        <is>
          <t>Yes</t>
        </is>
      </c>
      <c r="R2" s="39" t="n">
        <v>1</v>
      </c>
      <c r="S2" s="39" t="n"/>
      <c r="T2" s="35" t="n">
        <v>46023</v>
      </c>
      <c r="U2" s="33" t="inlineStr">
        <is>
          <t>Medium</t>
        </is>
      </c>
      <c r="V2" s="33" t="inlineStr">
        <is>
          <t>Multilingual Keyword Expansion</t>
        </is>
      </c>
      <c r="X2" s="33" t="n"/>
      <c r="Y2" s="33" t="inlineStr">
        <is>
          <t>Product &amp; Platform</t>
        </is>
      </c>
      <c r="Z2" s="37" t="n"/>
    </row>
    <row r="3">
      <c r="A3" s="35" t="n">
        <v>46023</v>
      </c>
      <c r="B3" s="37" t="n">
        <v>46041</v>
      </c>
      <c r="C3" s="33" t="inlineStr">
        <is>
          <t>Protest/Riot</t>
        </is>
      </c>
      <c r="D3" s="33" t="inlineStr">
        <is>
          <t>Eaton</t>
        </is>
      </c>
      <c r="E3" s="39" t="n">
        <v>1</v>
      </c>
      <c r="F3" s="33" t="inlineStr">
        <is>
          <t>Western Balkans Truckers Block Freight Borders</t>
        </is>
      </c>
      <c r="G3" s="33" t="inlineStr">
        <is>
          <t>Complaint</t>
        </is>
      </c>
      <c r="H3" s="33" t="inlineStr">
        <is>
          <t>Missed Event</t>
        </is>
      </c>
      <c r="I3" s="33" t="inlineStr">
        <is>
          <t>Product</t>
        </is>
      </c>
      <c r="J3" s="33" t="inlineStr">
        <is>
          <t>Source Coverage</t>
        </is>
      </c>
      <c r="K3" s="33" t="inlineStr">
        <is>
          <t>Improvement</t>
        </is>
      </c>
      <c r="L3" s="33" t="inlineStr">
        <is>
          <t>Fixed</t>
        </is>
      </c>
      <c r="M3" s="33" t="inlineStr">
        <is>
          <t>Dynamic Source Discovery</t>
        </is>
      </c>
      <c r="N3" s="33" t="inlineStr">
        <is>
          <t>No</t>
        </is>
      </c>
      <c r="O3" s="33" t="inlineStr">
        <is>
          <t>Feed harvesting gap; WarRoom created after escalation.</t>
        </is>
      </c>
      <c r="P3" s="33" t="n"/>
      <c r="Q3" s="33" t="inlineStr">
        <is>
          <t>Yes</t>
        </is>
      </c>
      <c r="R3" s="39" t="n">
        <v>1</v>
      </c>
      <c r="S3" s="39" t="n"/>
      <c r="T3" s="35" t="n">
        <v>46023</v>
      </c>
      <c r="U3" s="33" t="inlineStr">
        <is>
          <t>Medium</t>
        </is>
      </c>
      <c r="V3" s="33" t="inlineStr">
        <is>
          <t>Dynamic Source Discovery</t>
        </is>
      </c>
      <c r="X3" s="33" t="n"/>
      <c r="Y3" s="33" t="inlineStr">
        <is>
          <t>Product &amp; Platform</t>
        </is>
      </c>
      <c r="Z3" s="37" t="n"/>
    </row>
    <row r="4">
      <c r="A4" s="35" t="n">
        <v>46023</v>
      </c>
      <c r="B4" s="37" t="n">
        <v>46043</v>
      </c>
      <c r="C4" s="33" t="inlineStr">
        <is>
          <t>Factory Closure</t>
        </is>
      </c>
      <c r="D4" s="33" t="inlineStr">
        <is>
          <t>Ford</t>
        </is>
      </c>
      <c r="E4" s="39" t="n">
        <v>1</v>
      </c>
      <c r="F4" s="33" t="inlineStr">
        <is>
          <t>Stark Manufacturing closure</t>
        </is>
      </c>
      <c r="G4" s="33" t="inlineStr">
        <is>
          <t>Complaint</t>
        </is>
      </c>
      <c r="H4" s="33" t="inlineStr">
        <is>
          <t>Missed Event</t>
        </is>
      </c>
      <c r="I4" s="33" t="inlineStr">
        <is>
          <t>Product</t>
        </is>
      </c>
      <c r="J4" s="33" t="inlineStr">
        <is>
          <t>Event Identification</t>
        </is>
      </c>
      <c r="K4" s="33" t="inlineStr">
        <is>
          <t>Improvement</t>
        </is>
      </c>
      <c r="L4" s="33" t="inlineStr">
        <is>
          <t>Fixed</t>
        </is>
      </c>
      <c r="M4" s="33" t="inlineStr">
        <is>
          <t>Customer link ingestion</t>
        </is>
      </c>
      <c r="N4" s="33" t="inlineStr">
        <is>
          <t>No</t>
        </is>
      </c>
      <c r="O4" s="33" t="inlineStr">
        <is>
          <t>Feed harvesting gap; WarRoom created after escalation.</t>
        </is>
      </c>
      <c r="P4" s="33" t="n"/>
      <c r="Q4" s="33" t="inlineStr">
        <is>
          <t>Yes</t>
        </is>
      </c>
      <c r="R4" s="39" t="n">
        <v>1</v>
      </c>
      <c r="S4" s="39" t="n"/>
      <c r="T4" s="35" t="n">
        <v>46023</v>
      </c>
      <c r="U4" s="33" t="inlineStr">
        <is>
          <t>Medium</t>
        </is>
      </c>
      <c r="V4" s="33" t="inlineStr">
        <is>
          <t>Other Control Automation</t>
        </is>
      </c>
      <c r="X4" s="33" t="n"/>
      <c r="Y4" s="33" t="inlineStr">
        <is>
          <t>Product &amp; Platform</t>
        </is>
      </c>
      <c r="Z4" s="37" t="n"/>
    </row>
    <row r="5">
      <c r="A5" s="35" t="n">
        <v>46023</v>
      </c>
      <c r="B5" s="37" t="n">
        <v>46048</v>
      </c>
      <c r="C5" s="33" t="inlineStr">
        <is>
          <t>Extreme Weather</t>
        </is>
      </c>
      <c r="D5" s="33" t="inlineStr">
        <is>
          <t>Penske/Ford</t>
        </is>
      </c>
      <c r="E5" s="39" t="n">
        <v>2</v>
      </c>
      <c r="F5" s="33" t="inlineStr">
        <is>
          <t>Winter Storm Fern Geofencing</t>
        </is>
      </c>
      <c r="G5" s="33" t="inlineStr">
        <is>
          <t>Complaint</t>
        </is>
      </c>
      <c r="H5" s="33" t="inlineStr">
        <is>
          <t>Incorrect Action</t>
        </is>
      </c>
      <c r="I5" s="33" t="inlineStr">
        <is>
          <t>People</t>
        </is>
      </c>
      <c r="J5" s="33" t="inlineStr">
        <is>
          <t>Review</t>
        </is>
      </c>
      <c r="K5" s="33" t="inlineStr">
        <is>
          <t>Improvement</t>
        </is>
      </c>
      <c r="L5" s="33" t="inlineStr">
        <is>
          <t>Fixed</t>
        </is>
      </c>
      <c r="M5" s="33" t="inlineStr">
        <is>
          <t>Validation automation</t>
        </is>
      </c>
      <c r="N5" s="33" t="inlineStr">
        <is>
          <t>No</t>
        </is>
      </c>
      <c r="O5" s="33" t="inlineStr">
        <is>
          <t>Geofence validation missed; regions updated after customer email.</t>
        </is>
      </c>
      <c r="P5" s="33" t="inlineStr">
        <is>
          <t>6 hours</t>
        </is>
      </c>
      <c r="Q5" s="33" t="inlineStr">
        <is>
          <t>No</t>
        </is>
      </c>
      <c r="R5" s="39" t="n">
        <v>1</v>
      </c>
      <c r="S5" s="39" t="n">
        <v>6</v>
      </c>
      <c r="T5" s="35" t="n">
        <v>46023</v>
      </c>
      <c r="U5" s="33" t="inlineStr">
        <is>
          <t>Medium</t>
        </is>
      </c>
      <c r="V5" s="33" t="inlineStr">
        <is>
          <t>WarRoom &amp; Decision Validation</t>
        </is>
      </c>
      <c r="X5" s="33" t="n"/>
      <c r="Y5" s="33" t="inlineStr">
        <is>
          <t>EventWatch Ops - Nitin Rindhe</t>
        </is>
      </c>
      <c r="Z5" s="37" t="n"/>
    </row>
    <row r="6">
      <c r="A6" s="35" t="n">
        <v>46054</v>
      </c>
      <c r="B6" s="37" t="n">
        <v>46057</v>
      </c>
      <c r="C6" s="33" t="inlineStr">
        <is>
          <t>Labor Disruption</t>
        </is>
      </c>
      <c r="D6" s="33" t="inlineStr">
        <is>
          <t>Caterpillar</t>
        </is>
      </c>
      <c r="E6" s="39" t="n">
        <v>1</v>
      </c>
      <c r="F6" s="33" t="inlineStr">
        <is>
          <t>Spain railway strike escalation (initial NC trigger)</t>
        </is>
      </c>
      <c r="G6" s="33" t="inlineStr">
        <is>
          <t>Complaint</t>
        </is>
      </c>
      <c r="H6" s="33" t="inlineStr">
        <is>
          <t>WarRoom should have been created but was not</t>
        </is>
      </c>
      <c r="I6" s="33" t="inlineStr">
        <is>
          <t>People</t>
        </is>
      </c>
      <c r="J6" s="33" t="inlineStr">
        <is>
          <t>Review</t>
        </is>
      </c>
      <c r="K6" s="33" t="inlineStr">
        <is>
          <t>Improvement</t>
        </is>
      </c>
      <c r="L6" s="33" t="inlineStr">
        <is>
          <t>Fixed</t>
        </is>
      </c>
      <c r="M6" s="33" t="inlineStr">
        <is>
          <t>Process control strengthening + reviewer accountability</t>
        </is>
      </c>
      <c r="N6" s="33" t="inlineStr">
        <is>
          <t>Yes</t>
        </is>
      </c>
      <c r="O6" s="33" t="inlineStr">
        <is>
          <t>WarRoom should have been created at initial bulletin; failure attributed to publisher and reviewer. NC raised.</t>
        </is>
      </c>
      <c r="P6" s="33" t="n"/>
      <c r="Q6" s="33" t="inlineStr">
        <is>
          <t>Yes</t>
        </is>
      </c>
      <c r="R6" s="39" t="n">
        <v>2</v>
      </c>
      <c r="S6" s="39" t="n"/>
      <c r="T6" s="35" t="n">
        <v>46054</v>
      </c>
      <c r="U6" s="33" t="inlineStr">
        <is>
          <t>Medium</t>
        </is>
      </c>
      <c r="V6" s="33" t="inlineStr">
        <is>
          <t>WarRoom &amp; Decision Validation</t>
        </is>
      </c>
      <c r="X6" s="33" t="n"/>
      <c r="Y6" s="33" t="inlineStr">
        <is>
          <t>EventWatch Ops - Nitin Rindhe</t>
        </is>
      </c>
      <c r="Z6" s="37" t="n"/>
    </row>
    <row r="7">
      <c r="A7" s="35" t="n">
        <v>46054</v>
      </c>
      <c r="B7" s="37" t="n">
        <v>46059</v>
      </c>
      <c r="C7" s="33" t="inlineStr">
        <is>
          <t>Extreme Weather</t>
        </is>
      </c>
      <c r="D7" s="33" t="inlineStr">
        <is>
          <t>Eaton</t>
        </is>
      </c>
      <c r="E7" s="39" t="n">
        <v>1</v>
      </c>
      <c r="F7" s="33" t="inlineStr">
        <is>
          <t>Winter Storm Fern – Event Not Visible on Supplier Portal for K Technologies (Eaton)</t>
        </is>
      </c>
      <c r="G7" s="33" t="inlineStr">
        <is>
          <t>Complaint</t>
        </is>
      </c>
      <c r="H7" s="33" t="inlineStr">
        <is>
          <t>WarRoom not visible in customer profile</t>
        </is>
      </c>
      <c r="I7" s="33" t="inlineStr">
        <is>
          <t>Product</t>
        </is>
      </c>
      <c r="J7" s="33" t="inlineStr">
        <is>
          <t>Visibility</t>
        </is>
      </c>
      <c r="K7" s="33" t="inlineStr">
        <is>
          <t>Improvement</t>
        </is>
      </c>
      <c r="L7" s="33" t="inlineStr">
        <is>
          <t>Fixed</t>
        </is>
      </c>
      <c r="M7" s="33" t="inlineStr">
        <is>
          <t>Supplier-portal event visibility checks after an impact request is issued, so a delivered notification always has a matching visible event</t>
        </is>
      </c>
      <c r="N7" s="33" t="inlineStr">
        <is>
          <t>No</t>
        </is>
      </c>
      <c r="O7" s="33" t="inlineStr">
        <is>
          <t>From Jira CAN-3242 (Resolved). The Winter Storm Fern event (customer-side 34360914, supplier-side 34399459) did not appear in the Events card or My Events on the supplier portal for K TECHNOLOGIES, even though a supplier impact was issued for Eaton and the supplier user received the notification. Portal visibility issue rather than a coverage miss.</t>
        </is>
      </c>
      <c r="P7" s="33" t="n"/>
      <c r="Q7" s="33" t="inlineStr">
        <is>
          <t>No</t>
        </is>
      </c>
      <c r="R7" s="39" t="n">
        <v>2</v>
      </c>
      <c r="S7" s="39" t="n"/>
      <c r="T7" s="35" t="inlineStr">
        <is>
          <t>Feb 2026</t>
        </is>
      </c>
      <c r="U7" s="33" t="inlineStr">
        <is>
          <t>Medium</t>
        </is>
      </c>
      <c r="V7" s="33" t="inlineStr">
        <is>
          <t>Notification Visibility Monitoring</t>
        </is>
      </c>
      <c r="W7" s="33" t="inlineStr">
        <is>
          <t>CAN-3242</t>
        </is>
      </c>
      <c r="X7" s="33" t="inlineStr">
        <is>
          <t>Event publishing failure, root-caused by Engineering on the ticket. Supplier Impact Notifications failed because of a query timeout, which is why the Winter Storm Fern event never surfaced on the supplier portal for K Technologies, and the same event behaved the same way for CAMCO Manufacturing and SPEX Precision Machine Technologies under EATON CORP. The underlying defect was fixed under TENAR-43400 by optimising the queries and shipped in the February End Release, with no recurrence since. The repeated processing failures had left this event's data inconsistent: send_supplier_impact_notification on the event_writeup row was false although the notification had in fact been sent and delivered. That row was corrected in production and on 30-Jul-2026 the event displayed correctly across all three supplier organisations.</t>
        </is>
      </c>
      <c r="Y7" s="33" t="inlineStr">
        <is>
          <t>Product &amp; Platform</t>
        </is>
      </c>
      <c r="Z7" s="37" t="n"/>
    </row>
    <row r="8">
      <c r="A8" s="35" t="n">
        <v>46054</v>
      </c>
      <c r="B8" s="37" t="n">
        <v>46062</v>
      </c>
      <c r="C8" s="33" t="inlineStr">
        <is>
          <t>Bankruptcy</t>
        </is>
      </c>
      <c r="D8" s="33" t="inlineStr">
        <is>
          <t>Schneider Electric</t>
        </is>
      </c>
      <c r="E8" s="39" t="n">
        <v>1</v>
      </c>
      <c r="F8" s="33" t="inlineStr">
        <is>
          <t>Insolvency event (supplier not captured)</t>
        </is>
      </c>
      <c r="G8" s="33" t="inlineStr">
        <is>
          <t>Complaint</t>
        </is>
      </c>
      <c r="H8" s="33" t="inlineStr">
        <is>
          <t>Missed insolvency alert</t>
        </is>
      </c>
      <c r="I8" s="33" t="inlineStr">
        <is>
          <t>Product</t>
        </is>
      </c>
      <c r="J8" s="33" t="inlineStr">
        <is>
          <t>Source Coverage</t>
        </is>
      </c>
      <c r="K8" s="33" t="inlineStr">
        <is>
          <t>Improvement</t>
        </is>
      </c>
      <c r="L8" s="33" t="inlineStr">
        <is>
          <t>Fixed</t>
        </is>
      </c>
      <c r="M8" s="33" t="inlineStr">
        <is>
          <t>Dynamic Source Discovery</t>
        </is>
      </c>
      <c r="N8" s="33" t="inlineStr">
        <is>
          <t>Yes</t>
        </is>
      </c>
      <c r="O8" s="33" t="inlineStr">
        <is>
          <t>Insolvency miss due to source gap; RCA finalized and shared with customer.</t>
        </is>
      </c>
      <c r="P8" s="33" t="n"/>
      <c r="Q8" s="33" t="inlineStr">
        <is>
          <t>Yes</t>
        </is>
      </c>
      <c r="R8" s="39" t="n">
        <v>2</v>
      </c>
      <c r="S8" s="39" t="n"/>
      <c r="T8" s="35" t="n">
        <v>46054</v>
      </c>
      <c r="U8" s="33" t="inlineStr">
        <is>
          <t>Medium</t>
        </is>
      </c>
      <c r="V8" s="33" t="inlineStr">
        <is>
          <t>Dynamic Source Discovery</t>
        </is>
      </c>
      <c r="X8" s="33" t="n"/>
      <c r="Y8" s="33" t="inlineStr">
        <is>
          <t>Product &amp; Platform</t>
        </is>
      </c>
      <c r="Z8" s="37" t="n"/>
    </row>
    <row r="9">
      <c r="A9" s="35" t="n">
        <v>46054</v>
      </c>
      <c r="B9" s="37" t="n">
        <v>46070</v>
      </c>
      <c r="C9" s="33" t="inlineStr">
        <is>
          <t>Geopolitical</t>
        </is>
      </c>
      <c r="D9" s="33" t="inlineStr">
        <is>
          <t>Nestle Global</t>
        </is>
      </c>
      <c r="E9" s="39" t="n">
        <v>1</v>
      </c>
      <c r="F9" s="33" t="inlineStr">
        <is>
          <t>"Update 7: US Armed Forces Capture Venezuelan President…"</t>
        </is>
      </c>
      <c r="G9" s="33" t="inlineStr">
        <is>
          <t>Complaint</t>
        </is>
      </c>
      <c r="H9" s="33" t="inlineStr">
        <is>
          <t>Severity / consolidation handling concern</t>
        </is>
      </c>
      <c r="I9" s="33" t="inlineStr">
        <is>
          <t>Process</t>
        </is>
      </c>
      <c r="J9" s="33" t="inlineStr">
        <is>
          <t>Strategy</t>
        </is>
      </c>
      <c r="K9" s="33" t="inlineStr">
        <is>
          <t>Improvement</t>
        </is>
      </c>
      <c r="L9" s="33" t="inlineStr">
        <is>
          <t>Clarification Provided</t>
        </is>
      </c>
      <c r="M9" s="33" t="inlineStr">
        <is>
          <t>Severity logic transparency for API/control tower users</t>
        </is>
      </c>
      <c r="N9" s="33" t="inlineStr">
        <is>
          <t>Yes</t>
        </is>
      </c>
      <c r="O9" s="33" t="inlineStr">
        <is>
          <t>Customer questioned severity/consolidation handling; rationale explained for single-thread WarRoom approach.</t>
        </is>
      </c>
      <c r="P9" s="33" t="n"/>
      <c r="Q9" s="33" t="inlineStr">
        <is>
          <t>No</t>
        </is>
      </c>
      <c r="R9" s="39" t="n">
        <v>2</v>
      </c>
      <c r="S9" s="39" t="n"/>
      <c r="T9" s="35" t="n">
        <v>46054</v>
      </c>
      <c r="U9" s="33" t="inlineStr">
        <is>
          <t>Medium</t>
        </is>
      </c>
      <c r="V9" s="33" t="inlineStr">
        <is>
          <t>Other Control Automation</t>
        </is>
      </c>
      <c r="X9" s="33" t="n"/>
      <c r="Y9" s="33" t="inlineStr">
        <is>
          <t>EventWatch Ops - Nitin Rindhe</t>
        </is>
      </c>
      <c r="Z9" s="37" t="n"/>
    </row>
    <row r="10">
      <c r="A10" s="35" t="n">
        <v>46054</v>
      </c>
      <c r="B10" s="37" t="n">
        <v>46073</v>
      </c>
      <c r="C10" s="33" t="inlineStr">
        <is>
          <t>Extreme Weather</t>
        </is>
      </c>
      <c r="D10" s="33" t="inlineStr">
        <is>
          <t>Ford</t>
        </is>
      </c>
      <c r="E10" s="39" t="n">
        <v>1</v>
      </c>
      <c r="F10" s="33" t="inlineStr">
        <is>
          <t>Snowstorm Forecast Not Captured</t>
        </is>
      </c>
      <c r="G10" s="33" t="inlineStr">
        <is>
          <t>Complaint</t>
        </is>
      </c>
      <c r="H10" s="33" t="inlineStr">
        <is>
          <t>Missed Event</t>
        </is>
      </c>
      <c r="I10" s="33" t="inlineStr">
        <is>
          <t>People</t>
        </is>
      </c>
      <c r="J10" s="33" t="inlineStr">
        <is>
          <t>Event Identification</t>
        </is>
      </c>
      <c r="K10" s="33" t="inlineStr">
        <is>
          <t>Improvement</t>
        </is>
      </c>
      <c r="L10" s="33" t="inlineStr">
        <is>
          <t>Clarification Provided</t>
        </is>
      </c>
      <c r="M10" s="33" t="inlineStr">
        <is>
          <t>Forecast classification logic</t>
        </is>
      </c>
      <c r="N10" s="33" t="inlineStr">
        <is>
          <t>No</t>
        </is>
      </c>
      <c r="O10" s="33" t="inlineStr">
        <is>
          <t>Snowstorm moved to monitoring incorrectly; decision explained to customer.</t>
        </is>
      </c>
      <c r="P10" s="33" t="n"/>
      <c r="Q10" s="33" t="inlineStr">
        <is>
          <t>Yes</t>
        </is>
      </c>
      <c r="R10" s="39" t="n">
        <v>2</v>
      </c>
      <c r="S10" s="39" t="n"/>
      <c r="T10" s="35" t="n">
        <v>46054</v>
      </c>
      <c r="U10" s="33" t="inlineStr">
        <is>
          <t>Medium</t>
        </is>
      </c>
      <c r="V10" s="33" t="inlineStr">
        <is>
          <t>Other Control Automation</t>
        </is>
      </c>
      <c r="X10" s="33" t="n"/>
      <c r="Y10" s="33" t="inlineStr">
        <is>
          <t>EventWatch Ops - Nitin Rindhe</t>
        </is>
      </c>
      <c r="Z10" s="37" t="n"/>
    </row>
    <row r="11">
      <c r="A11" s="35" t="n">
        <v>46054</v>
      </c>
      <c r="B11" s="37" t="n">
        <v>46073</v>
      </c>
      <c r="C11" s="33" t="inlineStr">
        <is>
          <t>Labor Disruption</t>
        </is>
      </c>
      <c r="D11" s="33" t="inlineStr">
        <is>
          <t>Caterpillar</t>
        </is>
      </c>
      <c r="E11" s="39" t="n">
        <v>1</v>
      </c>
      <c r="F11" s="33" t="inlineStr">
        <is>
          <t>Spain railway strike (event not converted to WarRoom)</t>
        </is>
      </c>
      <c r="G11" s="33" t="inlineStr">
        <is>
          <t>Complaint</t>
        </is>
      </c>
      <c r="H11" s="33" t="inlineStr">
        <is>
          <t>WarRoom not created despite nationwide disruption</t>
        </is>
      </c>
      <c r="I11" s="33" t="inlineStr">
        <is>
          <t>Product</t>
        </is>
      </c>
      <c r="J11" s="33" t="inlineStr">
        <is>
          <t>Review</t>
        </is>
      </c>
      <c r="K11" s="33" t="inlineStr">
        <is>
          <t>Improvement</t>
        </is>
      </c>
      <c r="L11" s="33" t="inlineStr">
        <is>
          <t>Fixed</t>
        </is>
      </c>
      <c r="M11" s="33" t="inlineStr">
        <is>
          <t>Escalation automation</t>
        </is>
      </c>
      <c r="N11" s="33" t="inlineStr">
        <is>
          <t>Yes</t>
        </is>
      </c>
      <c r="O11" s="33" t="inlineStr">
        <is>
          <t>AI classification bias + missed human escalation; WarRoom created after reassessment. NC issued.</t>
        </is>
      </c>
      <c r="P11" s="33" t="n"/>
      <c r="Q11" s="33" t="inlineStr">
        <is>
          <t>Yes</t>
        </is>
      </c>
      <c r="R11" s="39" t="n">
        <v>2</v>
      </c>
      <c r="S11" s="39" t="n"/>
      <c r="T11" s="35" t="n">
        <v>46054</v>
      </c>
      <c r="U11" s="33" t="inlineStr">
        <is>
          <t>Medium</t>
        </is>
      </c>
      <c r="V11" s="33" t="inlineStr">
        <is>
          <t>WarRoom &amp; Decision Validation</t>
        </is>
      </c>
      <c r="X11" s="33" t="n"/>
      <c r="Y11" s="33" t="inlineStr">
        <is>
          <t>Product &amp; Platform</t>
        </is>
      </c>
      <c r="Z11" s="37" t="n"/>
    </row>
    <row r="12">
      <c r="A12" s="35" t="n">
        <v>46054</v>
      </c>
      <c r="B12" s="37" t="n">
        <v>46076</v>
      </c>
      <c r="C12" s="33" t="inlineStr">
        <is>
          <t>Geopolitical</t>
        </is>
      </c>
      <c r="D12" s="33" t="inlineStr">
        <is>
          <t>Roche</t>
        </is>
      </c>
      <c r="E12" s="39" t="n">
        <v>1</v>
      </c>
      <c r="F12" s="33" t="inlineStr">
        <is>
          <t>"Military Operation Against CJNG Cartel Triggers Multi-State Violence in Mexico"</t>
        </is>
      </c>
      <c r="G12" s="33" t="inlineStr">
        <is>
          <t>Inquiry</t>
        </is>
      </c>
      <c r="H12" s="33" t="inlineStr">
        <is>
          <t>Coverage Verification Request</t>
        </is>
      </c>
      <c r="I12" s="33" t="inlineStr">
        <is>
          <t>Process</t>
        </is>
      </c>
      <c r="J12" s="33" t="inlineStr">
        <is>
          <t>Visibility</t>
        </is>
      </c>
      <c r="K12" s="33" t="inlineStr">
        <is>
          <t>Improvement</t>
        </is>
      </c>
      <c r="L12" s="33" t="inlineStr">
        <is>
          <t>Clarification Provided</t>
        </is>
      </c>
      <c r="M12" s="33" t="inlineStr">
        <is>
          <t>Validation automation</t>
        </is>
      </c>
      <c r="N12" s="33" t="inlineStr">
        <is>
          <t>Yes</t>
        </is>
      </c>
      <c r="O12" s="33" t="inlineStr">
        <is>
          <t>Customer said event not reported; EW confirmed WarRoom already published and delivery verified.</t>
        </is>
      </c>
      <c r="P12" s="33" t="n"/>
      <c r="Q12" s="33" t="inlineStr">
        <is>
          <t>No</t>
        </is>
      </c>
      <c r="R12" s="39" t="n">
        <v>2</v>
      </c>
      <c r="S12" s="39" t="n"/>
      <c r="T12" s="35" t="n">
        <v>46054</v>
      </c>
      <c r="U12" s="33" t="inlineStr">
        <is>
          <t>Medium</t>
        </is>
      </c>
      <c r="V12" s="33" t="inlineStr">
        <is>
          <t>Notification Visibility Monitoring</t>
        </is>
      </c>
      <c r="X12" s="33" t="n"/>
      <c r="Y12" s="33" t="inlineStr">
        <is>
          <t>EventWatch Ops - Nitin Rindhe</t>
        </is>
      </c>
      <c r="Z12" s="37" t="n"/>
    </row>
    <row r="13">
      <c r="A13" s="35" t="n">
        <v>46054</v>
      </c>
      <c r="B13" s="37" t="n">
        <v>46078</v>
      </c>
      <c r="C13" s="33" t="inlineStr">
        <is>
          <t>Leadership Transition</t>
        </is>
      </c>
      <c r="D13" s="33" t="inlineStr">
        <is>
          <t>Eaton</t>
        </is>
      </c>
      <c r="E13" s="39" t="n">
        <v>1</v>
      </c>
      <c r="F13" s="33" t="inlineStr">
        <is>
          <t>Duplicate WarRooms: "Xometry Announces CEO Succession Plan" + "Xometry Appoints New CEO"</t>
        </is>
      </c>
      <c r="G13" s="33" t="inlineStr">
        <is>
          <t>Complaint</t>
        </is>
      </c>
      <c r="H13" s="33" t="inlineStr">
        <is>
          <t>Duplicate WarRooms</t>
        </is>
      </c>
      <c r="I13" s="33" t="inlineStr">
        <is>
          <t>People</t>
        </is>
      </c>
      <c r="J13" s="33" t="inlineStr">
        <is>
          <t>Duplication</t>
        </is>
      </c>
      <c r="K13" s="33" t="inlineStr">
        <is>
          <t>Improvement</t>
        </is>
      </c>
      <c r="L13" s="33" t="inlineStr">
        <is>
          <t>Fixed</t>
        </is>
      </c>
      <c r="M13" s="33" t="inlineStr">
        <is>
          <t>Duplicate detection</t>
        </is>
      </c>
      <c r="N13" s="33" t="inlineStr">
        <is>
          <t>Yes</t>
        </is>
      </c>
      <c r="O13" s="33" t="inlineStr">
        <is>
          <t>Duplicate WarRooms created; control failure acknowledged. NC raised for decision-making gap.</t>
        </is>
      </c>
      <c r="P13" s="33" t="n"/>
      <c r="Q13" s="33" t="inlineStr">
        <is>
          <t>No</t>
        </is>
      </c>
      <c r="R13" s="39" t="n">
        <v>2</v>
      </c>
      <c r="S13" s="39" t="n"/>
      <c r="T13" s="35" t="n">
        <v>46054</v>
      </c>
      <c r="U13" s="33" t="inlineStr">
        <is>
          <t>Medium</t>
        </is>
      </c>
      <c r="V13" s="33" t="inlineStr">
        <is>
          <t>Cluster Integrity &amp; Duplicate Prevention</t>
        </is>
      </c>
      <c r="X13" s="33" t="n"/>
      <c r="Y13" s="33" t="inlineStr">
        <is>
          <t>EventWatch Ops - Nitin Rindhe</t>
        </is>
      </c>
      <c r="Z13" s="37" t="n"/>
    </row>
    <row r="14">
      <c r="A14" s="35" t="n">
        <v>46054</v>
      </c>
      <c r="B14" s="37" t="n">
        <v>46078</v>
      </c>
      <c r="C14" s="33" t="inlineStr">
        <is>
          <t>Platform/Data Quality</t>
        </is>
      </c>
      <c r="D14" s="33" t="inlineStr">
        <is>
          <t>Molex</t>
        </is>
      </c>
      <c r="E14" s="39" t="n">
        <v>1</v>
      </c>
      <c r="F14" s="33" t="inlineStr">
        <is>
          <t>Irrelevant Partner-Sourced Sites Appearing in Customer Portal (Molex)</t>
        </is>
      </c>
      <c r="G14" s="33" t="inlineStr">
        <is>
          <t>Complaint</t>
        </is>
      </c>
      <c r="H14" s="33" t="inlineStr">
        <is>
          <t>Wrong Relevancy</t>
        </is>
      </c>
      <c r="I14" s="33" t="inlineStr">
        <is>
          <t>Product</t>
        </is>
      </c>
      <c r="J14" s="33" t="inlineStr">
        <is>
          <t>Mapping</t>
        </is>
      </c>
      <c r="K14" s="33" t="inlineStr">
        <is>
          <t>Improvement</t>
        </is>
      </c>
      <c r="L14" s="33" t="inlineStr">
        <is>
          <t>Fixed</t>
        </is>
      </c>
      <c r="M14" s="33" t="inlineStr">
        <is>
          <t>Tenant isolation checks on site_shareable records so sites created against a demo org cannot surface in a production customer portal</t>
        </is>
      </c>
      <c r="N14" s="33" t="inlineStr">
        <is>
          <t>No</t>
        </is>
      </c>
      <c r="O14" s="33" t="inlineStr">
        <is>
          <t>From Jira CAN-3263 (Closed). Molex is an EventWatch-only customer with no SCVs launched, so no sites should show with source Partner, yet ARROW ELECTRONICS - GBR BERKSHIRE READING appeared at Tier 1. The site_shareable record under the Molex tenant had its source_id mapped to the HITACHI ENERGY MAP demo org, so demo-org sites leaked into a production portal.</t>
        </is>
      </c>
      <c r="P14" s="33" t="n"/>
      <c r="Q14" s="33" t="inlineStr">
        <is>
          <t>No</t>
        </is>
      </c>
      <c r="R14" s="39" t="n">
        <v>2</v>
      </c>
      <c r="S14" s="39" t="n"/>
      <c r="T14" s="35" t="inlineStr">
        <is>
          <t>Feb 2026</t>
        </is>
      </c>
      <c r="U14" s="33" t="inlineStr">
        <is>
          <t>Medium</t>
        </is>
      </c>
      <c r="V14" s="33" t="inlineStr">
        <is>
          <t>Entity &amp; Supplier Resolution</t>
        </is>
      </c>
      <c r="W14" s="33" t="inlineStr">
        <is>
          <t>CAN-3263</t>
        </is>
      </c>
      <c r="X14" s="33" t="inlineStr">
        <is>
          <t>Cross-tenant data contamination traced to map normalisation, not to CDIF. The sites appearing in Molex's org were created on 11-Feb-2026, a date on which no MOLEX CDIF file was uploaded; their created_by_id did not match the user who always uploads Molex CDIF files, and their source_id read HITACHI ENERGY map rather than MOLEX. Since sites created through CDIF must carry the upload date, uploader and source of that upload, and no logic exists for cross-tenant site creation through CDIF, DLA or DFI, the sites cannot have arrived that way. The cause was how normalisation was performed for the HITACHI ENERGY map, with potential to affect any other customer or supplier on that map. The incorrectly added sites were deleted under DATA-68858, Tech Support validated every impacted customer, and the irrelevant sites were confirmed removed from all affected orgs on 04-Mar-2026.</t>
        </is>
      </c>
      <c r="Y14" s="33" t="inlineStr">
        <is>
          <t>Product &amp; Platform</t>
        </is>
      </c>
      <c r="Z14" s="37" t="n"/>
    </row>
    <row r="15">
      <c r="A15" s="35" t="n">
        <v>46082</v>
      </c>
      <c r="B15" s="37" t="n">
        <v>46085</v>
      </c>
      <c r="C15" s="33" t="inlineStr">
        <is>
          <t>Protest/Riot</t>
        </is>
      </c>
      <c r="D15" s="33" t="inlineStr">
        <is>
          <t>Ford</t>
        </is>
      </c>
      <c r="E15" s="39" t="n">
        <v>1</v>
      </c>
      <c r="F15" s="33" t="inlineStr">
        <is>
          <t>"Transporters Threaten Potential Border Blockades Across Bosnia and Herzegovina"</t>
        </is>
      </c>
      <c r="G15" s="33" t="inlineStr">
        <is>
          <t>Complaint</t>
        </is>
      </c>
      <c r="H15" s="33" t="inlineStr">
        <is>
          <t>Missed alert / event not captured</t>
        </is>
      </c>
      <c r="I15" s="33" t="inlineStr">
        <is>
          <t>Product</t>
        </is>
      </c>
      <c r="J15" s="33" t="inlineStr">
        <is>
          <t>Keyword Update</t>
        </is>
      </c>
      <c r="K15" s="33" t="inlineStr">
        <is>
          <t>Improvement</t>
        </is>
      </c>
      <c r="L15" s="33" t="inlineStr">
        <is>
          <t>Fixed</t>
        </is>
      </c>
      <c r="M15" s="33" t="inlineStr">
        <is>
          <t>Dynamic Source Discovery</t>
        </is>
      </c>
      <c r="N15" s="33" t="inlineStr">
        <is>
          <t>Yes</t>
        </is>
      </c>
      <c r="O15" s="33" t="inlineStr">
        <is>
          <t>Feeds not ingested; vendor source and keywords added after customer escalation.</t>
        </is>
      </c>
      <c r="P15" s="33" t="n"/>
      <c r="Q15" s="33" t="inlineStr">
        <is>
          <t>Yes</t>
        </is>
      </c>
      <c r="R15" s="39" t="n">
        <v>3</v>
      </c>
      <c r="S15" s="39" t="n"/>
      <c r="T15" s="35" t="n">
        <v>46082</v>
      </c>
      <c r="U15" s="33" t="inlineStr">
        <is>
          <t>Medium</t>
        </is>
      </c>
      <c r="V15" s="33" t="inlineStr">
        <is>
          <t>Dynamic Source Discovery</t>
        </is>
      </c>
      <c r="X15" s="33" t="n"/>
      <c r="Y15" s="33" t="inlineStr">
        <is>
          <t>Product &amp; Platform</t>
        </is>
      </c>
      <c r="Z15" s="37" t="n"/>
    </row>
    <row r="16">
      <c r="A16" s="35" t="n">
        <v>46082</v>
      </c>
      <c r="B16" s="37" t="n">
        <v>46085</v>
      </c>
      <c r="C16" s="33" t="inlineStr">
        <is>
          <t>Bankruptcy</t>
        </is>
      </c>
      <c r="D16" s="33" t="inlineStr">
        <is>
          <t>Eaton</t>
        </is>
      </c>
      <c r="E16" s="39" t="n">
        <v>1</v>
      </c>
      <c r="F16" s="33" t="inlineStr">
        <is>
          <t>"DRUTEC Druckguss &amp; Montagetechnik GmbH + Co. KG Files for Insolvency in Germany"</t>
        </is>
      </c>
      <c r="G16" s="33" t="inlineStr">
        <is>
          <t>Complaint</t>
        </is>
      </c>
      <c r="H16" s="33" t="inlineStr">
        <is>
          <t>Missed insolvency event</t>
        </is>
      </c>
      <c r="I16" s="33" t="inlineStr">
        <is>
          <t>Product</t>
        </is>
      </c>
      <c r="J16" s="33" t="inlineStr">
        <is>
          <t>Source Coverage</t>
        </is>
      </c>
      <c r="K16" s="33" t="inlineStr">
        <is>
          <t>Improvement</t>
        </is>
      </c>
      <c r="L16" s="33" t="inlineStr">
        <is>
          <t>Fixed</t>
        </is>
      </c>
      <c r="M16" s="33" t="inlineStr">
        <is>
          <t>Dynamic Source Discovery</t>
        </is>
      </c>
      <c r="N16" s="33" t="inlineStr">
        <is>
          <t>Yes</t>
        </is>
      </c>
      <c r="O16" s="33" t="inlineStr">
        <is>
          <t>DRUTEC bankruptcy feeds not captured; sources not in vendor network. Vendor addition requested.</t>
        </is>
      </c>
      <c r="P16" s="33" t="n"/>
      <c r="Q16" s="33" t="inlineStr">
        <is>
          <t>Yes</t>
        </is>
      </c>
      <c r="R16" s="39" t="n">
        <v>3</v>
      </c>
      <c r="S16" s="39" t="n"/>
      <c r="T16" s="35" t="n">
        <v>46082</v>
      </c>
      <c r="U16" s="33" t="inlineStr">
        <is>
          <t>Medium</t>
        </is>
      </c>
      <c r="V16" s="33" t="inlineStr">
        <is>
          <t>Dynamic Source Discovery</t>
        </is>
      </c>
      <c r="X16" s="33" t="n"/>
      <c r="Y16" s="33" t="inlineStr">
        <is>
          <t>Product &amp; Platform</t>
        </is>
      </c>
      <c r="Z16" s="37" t="n"/>
    </row>
    <row r="17">
      <c r="A17" s="35" t="n">
        <v>46082</v>
      </c>
      <c r="B17" s="37" t="n">
        <v>46091</v>
      </c>
      <c r="C17" s="33" t="inlineStr">
        <is>
          <t>Factory Fire</t>
        </is>
      </c>
      <c r="D17" s="33" t="inlineStr">
        <is>
          <t>Ford</t>
        </is>
      </c>
      <c r="E17" s="39" t="n">
        <v>1</v>
      </c>
      <c r="F17" s="33" t="inlineStr">
        <is>
          <t>"Eason &amp; Co Notifies Of Fire Incident In Area Its Factory" (customer wording)</t>
        </is>
      </c>
      <c r="G17" s="33" t="inlineStr">
        <is>
          <t>Complaint</t>
        </is>
      </c>
      <c r="H17" s="33" t="inlineStr">
        <is>
          <t>Event not triggered / not notified</t>
        </is>
      </c>
      <c r="I17" s="33" t="inlineStr">
        <is>
          <t>Product</t>
        </is>
      </c>
      <c r="J17" s="33" t="inlineStr">
        <is>
          <t>Mapping</t>
        </is>
      </c>
      <c r="K17" s="33" t="inlineStr">
        <is>
          <t>Improvement</t>
        </is>
      </c>
      <c r="L17" s="33" t="inlineStr">
        <is>
          <t>Clarification Provided</t>
        </is>
      </c>
      <c r="M17" s="33" t="inlineStr">
        <is>
          <t>Customer-facing "not mapped" explanation template + What-If guidance</t>
        </is>
      </c>
      <c r="N17" s="33" t="inlineStr">
        <is>
          <t>No</t>
        </is>
      </c>
      <c r="O17" s="33" t="inlineStr">
        <is>
          <t>Event not triggered due to company not mapped as Ford supplier; explanation provided.</t>
        </is>
      </c>
      <c r="P17" s="33" t="n"/>
      <c r="Q17" s="33" t="inlineStr">
        <is>
          <t>Yes</t>
        </is>
      </c>
      <c r="R17" s="39" t="n">
        <v>3</v>
      </c>
      <c r="S17" s="39" t="n"/>
      <c r="T17" s="35" t="n">
        <v>46082</v>
      </c>
      <c r="U17" s="33" t="inlineStr">
        <is>
          <t>Medium</t>
        </is>
      </c>
      <c r="V17" s="33" t="inlineStr">
        <is>
          <t>Entity &amp; Supplier Resolution</t>
        </is>
      </c>
      <c r="X17" s="33" t="n"/>
      <c r="Y17" s="33" t="inlineStr">
        <is>
          <t>Product &amp; Platform</t>
        </is>
      </c>
      <c r="Z17" s="37" t="n"/>
    </row>
    <row r="18">
      <c r="A18" s="35" t="n">
        <v>46082</v>
      </c>
      <c r="B18" s="37" t="n">
        <v>46092</v>
      </c>
      <c r="C18" s="33" t="inlineStr">
        <is>
          <t>Bankruptcy</t>
        </is>
      </c>
      <c r="D18" s="33" t="inlineStr">
        <is>
          <t>Ford</t>
        </is>
      </c>
      <c r="E18" s="39" t="n">
        <v>1</v>
      </c>
      <c r="F18" s="33" t="inlineStr">
        <is>
          <t>"French Court Declines Accelerated Safeguard Plan for Saint Jean Industries"</t>
        </is>
      </c>
      <c r="G18" s="33" t="inlineStr">
        <is>
          <t>Complaint</t>
        </is>
      </c>
      <c r="H18" s="33" t="inlineStr">
        <is>
          <t>Missing Resilinc alert / insolvency not captured</t>
        </is>
      </c>
      <c r="I18" s="33" t="inlineStr">
        <is>
          <t>Product</t>
        </is>
      </c>
      <c r="J18" s="33" t="inlineStr">
        <is>
          <t>Source Coverage</t>
        </is>
      </c>
      <c r="K18" s="33" t="inlineStr">
        <is>
          <t>Improvement</t>
        </is>
      </c>
      <c r="L18" s="33" t="inlineStr">
        <is>
          <t>Fixed</t>
        </is>
      </c>
      <c r="M18" s="33" t="inlineStr">
        <is>
          <t>Dynamic Source Discovery</t>
        </is>
      </c>
      <c r="N18" s="33" t="inlineStr">
        <is>
          <t>Yes</t>
        </is>
      </c>
      <c r="O18" s="33" t="inlineStr">
        <is>
          <t>Insolvency feeds not captured; vendor working on adding source.</t>
        </is>
      </c>
      <c r="P18" s="33" t="n"/>
      <c r="Q18" s="33" t="inlineStr">
        <is>
          <t>Yes</t>
        </is>
      </c>
      <c r="R18" s="39" t="n">
        <v>3</v>
      </c>
      <c r="S18" s="39" t="n"/>
      <c r="T18" s="35" t="n">
        <v>46082</v>
      </c>
      <c r="U18" s="33" t="inlineStr">
        <is>
          <t>Medium</t>
        </is>
      </c>
      <c r="V18" s="33" t="inlineStr">
        <is>
          <t>Dynamic Source Discovery</t>
        </is>
      </c>
      <c r="X18" s="33" t="n"/>
      <c r="Y18" s="33" t="inlineStr">
        <is>
          <t>Product &amp; Platform</t>
        </is>
      </c>
      <c r="Z18" s="37" t="n"/>
    </row>
    <row r="19">
      <c r="A19" s="35" t="n">
        <v>46082</v>
      </c>
      <c r="B19" s="37" t="n">
        <v>46097</v>
      </c>
      <c r="C19" s="33" t="inlineStr">
        <is>
          <t>Cyber Attack</t>
        </is>
      </c>
      <c r="D19" s="33" t="inlineStr">
        <is>
          <t>UVM Health Network</t>
        </is>
      </c>
      <c r="E19" s="39" t="n">
        <v>1</v>
      </c>
      <c r="F19" s="33" t="inlineStr">
        <is>
          <t>WarRoom visibility: "Cyber Attack Disrupts Operations at Stryker Corporation"</t>
        </is>
      </c>
      <c r="G19" s="33" t="inlineStr">
        <is>
          <t>Complaint</t>
        </is>
      </c>
      <c r="H19" s="33" t="inlineStr">
        <is>
          <t>WarRoom visibility affected by customer profile filters</t>
        </is>
      </c>
      <c r="I19" s="33" t="inlineStr">
        <is>
          <t>Process</t>
        </is>
      </c>
      <c r="J19" s="33" t="inlineStr">
        <is>
          <t>Visibility</t>
        </is>
      </c>
      <c r="K19" s="33" t="inlineStr">
        <is>
          <t>Improvement</t>
        </is>
      </c>
      <c r="L19" s="33" t="inlineStr">
        <is>
          <t>Clarification Provided</t>
        </is>
      </c>
      <c r="M19" s="33" t="inlineStr">
        <is>
          <t>Preventive UI prompt: "Unsaved preference changes" + default include Resilinc for WarRoom view</t>
        </is>
      </c>
      <c r="N19" s="33" t="inlineStr">
        <is>
          <t>No</t>
        </is>
      </c>
      <c r="O19" s="33" t="inlineStr">
        <is>
          <t>WarRoom not visible due to user preference filtering out Resilinc; customer advised to update settings.</t>
        </is>
      </c>
      <c r="P19" s="33" t="n"/>
      <c r="Q19" s="33" t="inlineStr">
        <is>
          <t>No</t>
        </is>
      </c>
      <c r="R19" s="39" t="n">
        <v>3</v>
      </c>
      <c r="S19" s="39" t="n"/>
      <c r="T19" s="35" t="n">
        <v>46082</v>
      </c>
      <c r="U19" s="33" t="inlineStr">
        <is>
          <t>Medium</t>
        </is>
      </c>
      <c r="V19" s="33" t="inlineStr">
        <is>
          <t>Notification Visibility Monitoring</t>
        </is>
      </c>
      <c r="X19" s="33" t="n"/>
      <c r="Y19" s="33" t="inlineStr">
        <is>
          <t>EventWatch Ops - Nitin Rindhe</t>
        </is>
      </c>
      <c r="Z19" s="37" t="n"/>
    </row>
    <row r="20">
      <c r="A20" s="35" t="n">
        <v>46082</v>
      </c>
      <c r="B20" s="37" t="n">
        <v>46097</v>
      </c>
      <c r="C20" s="33" t="inlineStr">
        <is>
          <t>Cyber Attack</t>
        </is>
      </c>
      <c r="D20" s="33" t="inlineStr">
        <is>
          <t>UVM Health Network</t>
        </is>
      </c>
      <c r="E20" s="39" t="n">
        <v>1</v>
      </c>
      <c r="F20" s="33" t="inlineStr">
        <is>
          <t>"Data Breach Reported at Intuitive Surgical Following Phishing Attack"</t>
        </is>
      </c>
      <c r="G20" s="33" t="inlineStr">
        <is>
          <t>Complaint</t>
        </is>
      </c>
      <c r="H20" s="33" t="inlineStr">
        <is>
          <t>Missing EventWatch coverage / feeds not captured</t>
        </is>
      </c>
      <c r="I20" s="33" t="inlineStr">
        <is>
          <t>Product</t>
        </is>
      </c>
      <c r="J20" s="33" t="inlineStr">
        <is>
          <t>Source Coverage</t>
        </is>
      </c>
      <c r="K20" s="33" t="inlineStr">
        <is>
          <t>Improvement</t>
        </is>
      </c>
      <c r="L20" s="33" t="inlineStr">
        <is>
          <t>Fixed</t>
        </is>
      </c>
      <c r="M20" s="33" t="inlineStr">
        <is>
          <t>Dynamic Source Discovery</t>
        </is>
      </c>
      <c r="N20" s="33" t="inlineStr">
        <is>
          <t>Yes</t>
        </is>
      </c>
      <c r="O20" s="33" t="inlineStr">
        <is>
          <t>Phishing incident feeds not captured; WarRoom published after investigation.</t>
        </is>
      </c>
      <c r="P20" s="33" t="n"/>
      <c r="Q20" s="33" t="inlineStr">
        <is>
          <t>Yes</t>
        </is>
      </c>
      <c r="R20" s="39" t="n">
        <v>3</v>
      </c>
      <c r="S20" s="39" t="n"/>
      <c r="T20" s="35" t="n">
        <v>46082</v>
      </c>
      <c r="U20" s="33" t="inlineStr">
        <is>
          <t>Medium</t>
        </is>
      </c>
      <c r="V20" s="33" t="inlineStr">
        <is>
          <t>Dynamic Source Discovery</t>
        </is>
      </c>
      <c r="X20" s="33" t="n"/>
      <c r="Y20" s="33" t="inlineStr">
        <is>
          <t>Product &amp; Platform</t>
        </is>
      </c>
      <c r="Z20" s="37" t="n"/>
    </row>
    <row r="21">
      <c r="A21" s="35" t="n">
        <v>46082</v>
      </c>
      <c r="B21" s="37" t="n">
        <v>46099</v>
      </c>
      <c r="C21" s="33" t="inlineStr">
        <is>
          <t>Supply Shortage</t>
        </is>
      </c>
      <c r="D21" s="33" t="inlineStr">
        <is>
          <t>Caterpillar</t>
        </is>
      </c>
      <c r="E21" s="39" t="n">
        <v>1</v>
      </c>
      <c r="F21" s="33" t="inlineStr">
        <is>
          <t>"LPG and LNG Gas Shortage Triggers Nationwide Industrial Disruptions Across India"</t>
        </is>
      </c>
      <c r="G21" s="33" t="inlineStr">
        <is>
          <t>Complaint</t>
        </is>
      </c>
      <c r="H21" s="33" t="inlineStr">
        <is>
          <t>Delay in creating separate WarRoom / delayed escalation</t>
        </is>
      </c>
      <c r="I21" s="33" t="inlineStr">
        <is>
          <t>Product</t>
        </is>
      </c>
      <c r="J21" s="33" t="inlineStr">
        <is>
          <t>Review</t>
        </is>
      </c>
      <c r="K21" s="33" t="inlineStr">
        <is>
          <t>Improvement</t>
        </is>
      </c>
      <c r="L21" s="33" t="inlineStr">
        <is>
          <t>Fixed</t>
        </is>
      </c>
      <c r="M21" s="33" t="inlineStr">
        <is>
          <t>Escalation automation</t>
        </is>
      </c>
      <c r="N21" s="33" t="inlineStr">
        <is>
          <t>Yes</t>
        </is>
      </c>
      <c r="O21" s="33" t="inlineStr">
        <is>
          <t>AI classified LPG shortage as Non-Event; human review missed embedded company-impact articles. Dedicated WarRoom created.</t>
        </is>
      </c>
      <c r="P21" s="33" t="n"/>
      <c r="Q21" s="33" t="inlineStr">
        <is>
          <t>Yes</t>
        </is>
      </c>
      <c r="R21" s="39" t="n">
        <v>3</v>
      </c>
      <c r="S21" s="39" t="n"/>
      <c r="T21" s="35" t="n">
        <v>46082</v>
      </c>
      <c r="U21" s="33" t="inlineStr">
        <is>
          <t>Medium</t>
        </is>
      </c>
      <c r="V21" s="33" t="inlineStr">
        <is>
          <t>WarRoom &amp; Decision Validation</t>
        </is>
      </c>
      <c r="X21" s="33" t="n"/>
      <c r="Y21" s="33" t="inlineStr">
        <is>
          <t>Product &amp; Platform</t>
        </is>
      </c>
      <c r="Z21" s="37" t="n"/>
    </row>
    <row r="22">
      <c r="A22" s="35" t="n">
        <v>46082</v>
      </c>
      <c r="B22" s="37" t="n">
        <v>46099</v>
      </c>
      <c r="C22" s="33" t="inlineStr">
        <is>
          <t>Extreme Weather</t>
        </is>
      </c>
      <c r="D22" s="33" t="inlineStr">
        <is>
          <t>Danaher</t>
        </is>
      </c>
      <c r="E22" s="39" t="n">
        <v>1</v>
      </c>
      <c r="F22" s="33" t="inlineStr">
        <is>
          <t>Massachusetts Level 3 Critical Drought – WarRoom Empty and Not Listed After 3 Hours (Danaher)</t>
        </is>
      </c>
      <c r="G22" s="33" t="inlineStr">
        <is>
          <t>Complaint</t>
        </is>
      </c>
      <c r="H22" s="33" t="inlineStr">
        <is>
          <t>Delayed WarRoom</t>
        </is>
      </c>
      <c r="I22" s="33" t="inlineStr">
        <is>
          <t>Product</t>
        </is>
      </c>
      <c r="J22" s="33" t="inlineStr">
        <is>
          <t>Visibility</t>
        </is>
      </c>
      <c r="K22" s="33" t="inlineStr">
        <is>
          <t>Bug</t>
        </is>
      </c>
      <c r="L22" s="33" t="inlineStr">
        <is>
          <t>RCA Shared</t>
        </is>
      </c>
      <c r="M22" s="33" t="inlineStr">
        <is>
          <t>Monitoring that a WarRoom becomes visible and populated within an agreed window of the notification being sent, with alerting when it does not</t>
        </is>
      </c>
      <c r="N22" s="33" t="inlineStr">
        <is>
          <t>Yes</t>
        </is>
      </c>
      <c r="O22" s="33" t="inlineStr">
        <is>
          <t>From Jira CAN-3278 (Closed). Danaher received the notification email for the Massachusetts Level 3 Critical Drought WarRoom, but the WarRoom was empty across Suppliers, Sites, Parts and Products and was absent from the WarRoom listing page more than three hours after creation. CS recorded it as reproducible and as a likely regression of CAN-2921. Cause established by Engineering as a production defect in Resilinc Analytics, fixed and verified in late March, and conveyed to the customer.</t>
        </is>
      </c>
      <c r="P22" s="33" t="n"/>
      <c r="Q22" s="33" t="inlineStr">
        <is>
          <t>No</t>
        </is>
      </c>
      <c r="R22" s="39" t="n">
        <v>3</v>
      </c>
      <c r="S22" s="39" t="n"/>
      <c r="T22" s="35" t="inlineStr">
        <is>
          <t>Mar 2026</t>
        </is>
      </c>
      <c r="U22" s="33" t="inlineStr">
        <is>
          <t>Medium</t>
        </is>
      </c>
      <c r="V22" s="33" t="inlineStr">
        <is>
          <t>Notification Visibility Monitoring</t>
        </is>
      </c>
      <c r="W22" s="33" t="inlineStr">
        <is>
          <t>CAN-3278</t>
        </is>
      </c>
      <c r="X22" s="33" t="inlineStr">
        <is>
          <t>Production fault in Resilinc Analytics, established on the ticket by Engineering (Sagar Date). Two faults sat in the same window. First, Customer Impact notifications were failing in production and analysts were manually re-triggering the affected events; twelve events over the preceding month were affected, including 'Authorities Declare Level 3 Critical Drought for Parts of Massachusetts, USA', the event behind this record. That fix was deployed to production on 21-Mar-2026 with no recurrence since. Second, the API that asynchronously populates event site summary data was sitting in its queue for over five hours because the required configuration was missing and the service fell back to a default queue size of 8; the execution pool was raised to a core size of 16, a maximum of 50 and a queue capacity of 2000, and database connections from 16 initial to 48 maximum. Those configurations were deployed on 27-Mar-2026, the what-if event flow was re-verified with Rohit Sawant on 31-Mar-2026, and backend checks confirmed event data being created in near real time. This was not an EventWatch analyst or process failure: the cause was an engineering configuration and notification defect, which is why the record routes to Product &amp; Platform.</t>
        </is>
      </c>
      <c r="Y22" s="33" t="inlineStr">
        <is>
          <t>Product &amp; Platform</t>
        </is>
      </c>
      <c r="Z22" s="37" t="n"/>
    </row>
    <row r="23">
      <c r="A23" s="35" t="n">
        <v>46082</v>
      </c>
      <c r="B23" s="37" t="n">
        <v>46104</v>
      </c>
      <c r="C23" s="33" t="inlineStr">
        <is>
          <t>Factory Fire</t>
        </is>
      </c>
      <c r="D23" s="33" t="inlineStr">
        <is>
          <t>Ford</t>
        </is>
      </c>
      <c r="E23" s="39" t="n">
        <v>1</v>
      </c>
      <c r="F23" s="33" t="inlineStr">
        <is>
          <t>"Fire at the Fuyao Glass America Site in Moraine, Ohio, USA"</t>
        </is>
      </c>
      <c r="G23" s="33" t="inlineStr">
        <is>
          <t>Complaint</t>
        </is>
      </c>
      <c r="H23" s="33" t="inlineStr">
        <is>
          <t>Missed alert / event not captured</t>
        </is>
      </c>
      <c r="I23" s="33" t="inlineStr">
        <is>
          <t>Product</t>
        </is>
      </c>
      <c r="J23" s="33" t="inlineStr">
        <is>
          <t>Source Coverage</t>
        </is>
      </c>
      <c r="K23" s="33" t="inlineStr">
        <is>
          <t>Bug</t>
        </is>
      </c>
      <c r="L23" s="33" t="inlineStr">
        <is>
          <t>Fixed</t>
        </is>
      </c>
      <c r="M23" s="33" t="inlineStr">
        <is>
          <t>Dynamic Source Discovery</t>
        </is>
      </c>
      <c r="N23" s="33" t="inlineStr">
        <is>
          <t>Yes</t>
        </is>
      </c>
      <c r="O23" s="33" t="inlineStr">
        <is>
          <t>Open-source articles not ingested; Engineering bug identified in feed harvesting. Patch planned.</t>
        </is>
      </c>
      <c r="P23" s="33" t="n"/>
      <c r="Q23" s="33" t="inlineStr">
        <is>
          <t>Yes</t>
        </is>
      </c>
      <c r="R23" s="39" t="n">
        <v>3</v>
      </c>
      <c r="S23" s="39" t="n"/>
      <c r="T23" s="35" t="n">
        <v>46082</v>
      </c>
      <c r="U23" s="33" t="inlineStr">
        <is>
          <t>Medium</t>
        </is>
      </c>
      <c r="V23" s="33" t="inlineStr">
        <is>
          <t>Dynamic Source Discovery</t>
        </is>
      </c>
      <c r="X23" s="33" t="n"/>
      <c r="Y23" s="33" t="inlineStr">
        <is>
          <t>Product &amp; Platform</t>
        </is>
      </c>
      <c r="Z23" s="37" t="n"/>
    </row>
    <row r="24">
      <c r="A24" s="35" t="n">
        <v>46082</v>
      </c>
      <c r="B24" s="37" t="n">
        <v>46106</v>
      </c>
      <c r="C24" s="33" t="inlineStr">
        <is>
          <t>Regulatory Change</t>
        </is>
      </c>
      <c r="D24" s="33" t="inlineStr">
        <is>
          <t>HPE</t>
        </is>
      </c>
      <c r="E24" s="39" t="n">
        <v>1</v>
      </c>
      <c r="F24" s="33" t="inlineStr">
        <is>
          <t>"Microsoft Azure account raised SEC notification delay (Jan 2025)"</t>
        </is>
      </c>
      <c r="G24" s="33" t="inlineStr">
        <is>
          <t>Complaint</t>
        </is>
      </c>
      <c r="H24" s="33" t="inlineStr">
        <is>
          <t>SEC notification not captured/provided on time</t>
        </is>
      </c>
      <c r="I24" s="33" t="inlineStr">
        <is>
          <t>Process</t>
        </is>
      </c>
      <c r="J24" s="33" t="inlineStr">
        <is>
          <t>Process Clarification</t>
        </is>
      </c>
      <c r="K24" s="33" t="inlineStr">
        <is>
          <t>Improvement</t>
        </is>
      </c>
      <c r="L24" s="33" t="inlineStr">
        <is>
          <t>Clarification Provided</t>
        </is>
      </c>
      <c r="M24" s="33" t="inlineStr">
        <is>
          <t>Regulatory feed timeliness checks + publication timestamp comparison</t>
        </is>
      </c>
      <c r="N24" s="33" t="inlineStr">
        <is>
          <t>Yes</t>
        </is>
      </c>
      <c r="O24" s="33" t="inlineStr">
        <is>
          <t>SEC notification delay investigation requested; awaiting closure inputs.</t>
        </is>
      </c>
      <c r="P24" s="33" t="n"/>
      <c r="Q24" s="33" t="inlineStr">
        <is>
          <t>Yes</t>
        </is>
      </c>
      <c r="R24" s="39" t="n">
        <v>3</v>
      </c>
      <c r="S24" s="39" t="n"/>
      <c r="T24" s="35" t="n">
        <v>46082</v>
      </c>
      <c r="U24" s="33" t="inlineStr">
        <is>
          <t>Medium</t>
        </is>
      </c>
      <c r="V24" s="33" t="inlineStr">
        <is>
          <t>Other Control Automation</t>
        </is>
      </c>
      <c r="X24" s="33" t="n"/>
      <c r="Y24" s="33" t="inlineStr">
        <is>
          <t>EventWatch Ops - Nitin Rindhe</t>
        </is>
      </c>
      <c r="Z24" s="37" t="n"/>
    </row>
    <row r="25">
      <c r="A25" s="35" t="n">
        <v>46082</v>
      </c>
      <c r="B25" s="37" t="n">
        <v>46107</v>
      </c>
      <c r="C25" s="33" t="inlineStr">
        <is>
          <t>Labor Disruption</t>
        </is>
      </c>
      <c r="D25" s="33" t="inlineStr">
        <is>
          <t>Ford</t>
        </is>
      </c>
      <c r="E25" s="39" t="n">
        <v>1</v>
      </c>
      <c r="F25" s="33" t="inlineStr">
        <is>
          <t>"Workers Strike at Freudenberg-NOK Sealing Technologies in Findlay, Ohio, USA"</t>
        </is>
      </c>
      <c r="G25" s="33" t="inlineStr">
        <is>
          <t>Complaint</t>
        </is>
      </c>
      <c r="H25" s="33" t="inlineStr">
        <is>
          <t>Missing Automotive industry tag (customer tracking missed it)</t>
        </is>
      </c>
      <c r="I25" s="33" t="inlineStr">
        <is>
          <t>People</t>
        </is>
      </c>
      <c r="J25" s="33" t="inlineStr">
        <is>
          <t>Tagging</t>
        </is>
      </c>
      <c r="K25" s="33" t="inlineStr">
        <is>
          <t>Improvement</t>
        </is>
      </c>
      <c r="L25" s="33" t="inlineStr">
        <is>
          <t>Fixed</t>
        </is>
      </c>
      <c r="M25" s="33" t="inlineStr">
        <is>
          <t>Auto-tagging</t>
        </is>
      </c>
      <c r="N25" s="33" t="inlineStr">
        <is>
          <t>Yes</t>
        </is>
      </c>
      <c r="O25" s="33" t="inlineStr">
        <is>
          <t>Automotive tag missed during publishing; oversight acknowledged. Review process reinforced.</t>
        </is>
      </c>
      <c r="P25" s="33" t="n"/>
      <c r="Q25" s="33" t="inlineStr">
        <is>
          <t>Yes</t>
        </is>
      </c>
      <c r="R25" s="39" t="n">
        <v>3</v>
      </c>
      <c r="S25" s="39" t="n"/>
      <c r="T25" s="35" t="n">
        <v>46082</v>
      </c>
      <c r="U25" s="33" t="inlineStr">
        <is>
          <t>Medium</t>
        </is>
      </c>
      <c r="V25" s="33" t="inlineStr">
        <is>
          <t>Automated Industry Tagging</t>
        </is>
      </c>
      <c r="X25" s="33" t="n"/>
      <c r="Y25" s="33" t="inlineStr">
        <is>
          <t>EventWatch Ops - Nitin Rindhe</t>
        </is>
      </c>
      <c r="Z25" s="37" t="n"/>
    </row>
    <row r="26">
      <c r="A26" s="35" t="n">
        <v>46082</v>
      </c>
      <c r="B26" s="37" t="n">
        <v>46109</v>
      </c>
      <c r="C26" s="33" t="inlineStr">
        <is>
          <t>Extreme Weather</t>
        </is>
      </c>
      <c r="D26" s="33" t="inlineStr">
        <is>
          <t>Ford</t>
        </is>
      </c>
      <c r="E26" s="39" t="n">
        <v>1</v>
      </c>
      <c r="F26" s="33" t="inlineStr">
        <is>
          <t>"Missed Severe Weather Alert – Midwest USA (March 26, 2026)" (customer wording)</t>
        </is>
      </c>
      <c r="G26" s="33" t="inlineStr">
        <is>
          <t>Complaint</t>
        </is>
      </c>
      <c r="H26" s="33" t="inlineStr">
        <is>
          <t>Missed severe weather alert</t>
        </is>
      </c>
      <c r="I26" s="33" t="inlineStr">
        <is>
          <t>People</t>
        </is>
      </c>
      <c r="J26" s="33" t="inlineStr">
        <is>
          <t>Event Identification</t>
        </is>
      </c>
      <c r="K26" s="33" t="inlineStr">
        <is>
          <t>Improvement</t>
        </is>
      </c>
      <c r="L26" s="33" t="inlineStr">
        <is>
          <t>Clarification Provided</t>
        </is>
      </c>
      <c r="M26" s="33" t="inlineStr">
        <is>
          <t>Escalation automation</t>
        </is>
      </c>
      <c r="N26" s="33" t="inlineStr">
        <is>
          <t>Yes</t>
        </is>
      </c>
      <c r="O26" s="33" t="inlineStr">
        <is>
          <t>Severe weather alert missed; response already provided on 27-Mar-26.</t>
        </is>
      </c>
      <c r="P26" s="33" t="n"/>
      <c r="Q26" s="33" t="inlineStr">
        <is>
          <t>Yes</t>
        </is>
      </c>
      <c r="R26" s="39" t="n">
        <v>3</v>
      </c>
      <c r="S26" s="39" t="n"/>
      <c r="T26" s="35" t="n">
        <v>46082</v>
      </c>
      <c r="U26" s="33" t="inlineStr">
        <is>
          <t>Medium</t>
        </is>
      </c>
      <c r="V26" s="33" t="inlineStr">
        <is>
          <t>WarRoom &amp; Decision Validation</t>
        </is>
      </c>
      <c r="X26" s="33" t="n"/>
      <c r="Y26" s="33" t="inlineStr">
        <is>
          <t>EventWatch Ops - Nitin Rindhe</t>
        </is>
      </c>
      <c r="Z26" s="37" t="n"/>
    </row>
    <row r="27">
      <c r="A27" s="35" t="n">
        <v>46082</v>
      </c>
      <c r="B27" s="37" t="n">
        <v>46111</v>
      </c>
      <c r="C27" s="33" t="inlineStr">
        <is>
          <t>Platform/Data Quality</t>
        </is>
      </c>
      <c r="D27" s="33" t="inlineStr">
        <is>
          <t>PepsiCo</t>
        </is>
      </c>
      <c r="E27" s="39" t="n">
        <v>1</v>
      </c>
      <c r="F27" s="33" t="inlineStr">
        <is>
          <t>Unrecognized Supplier Names Appearing for Customer Users (PepsiCo)</t>
        </is>
      </c>
      <c r="G27" s="33" t="inlineStr">
        <is>
          <t>Complaint</t>
        </is>
      </c>
      <c r="H27" s="33" t="inlineStr">
        <is>
          <t>Wrong Relevancy</t>
        </is>
      </c>
      <c r="I27" s="33" t="inlineStr">
        <is>
          <t>Product</t>
        </is>
      </c>
      <c r="J27" s="33" t="inlineStr">
        <is>
          <t>Mapping</t>
        </is>
      </c>
      <c r="K27" s="33" t="inlineStr">
        <is>
          <t>Improvement</t>
        </is>
      </c>
      <c r="L27" s="33" t="inlineStr">
        <is>
          <t>Fixed</t>
        </is>
      </c>
      <c r="M27" s="33" t="inlineStr">
        <is>
          <t>Validation that supplier names shown to customer users reconcile to that customer's CDIF</t>
        </is>
      </c>
      <c r="N27" s="33" t="inlineStr">
        <is>
          <t>No</t>
        </is>
      </c>
      <c r="O27" s="33" t="inlineStr">
        <is>
          <t>From Jira TS-22591 (Resolved). PepsiCo users saw supplier names that are not present in their CDIF; the CSM verified the names were absent and a second internal user reproduced it, while the reporter did not. Raised as priority.</t>
        </is>
      </c>
      <c r="P27" s="33" t="n"/>
      <c r="Q27" s="33" t="inlineStr">
        <is>
          <t>No</t>
        </is>
      </c>
      <c r="R27" s="39" t="n">
        <v>3</v>
      </c>
      <c r="S27" s="39" t="n"/>
      <c r="T27" s="35" t="inlineStr">
        <is>
          <t>Mar 2026</t>
        </is>
      </c>
      <c r="U27" s="33" t="inlineStr">
        <is>
          <t>Medium</t>
        </is>
      </c>
      <c r="V27" s="33" t="inlineStr">
        <is>
          <t>Entity &amp; Supplier Resolution</t>
        </is>
      </c>
      <c r="W27" s="33" t="inlineStr">
        <is>
          <t>TS-22591</t>
        </is>
      </c>
      <c r="X27" s="33" t="inlineStr">
        <is>
          <t>No root cause was established on the ticket. It was closed on 30-Mar-2026 with the single note that it had been created incorrectly, so the record carries no engineering finding to report.</t>
        </is>
      </c>
      <c r="Y27" s="33" t="inlineStr">
        <is>
          <t>Product &amp; Platform</t>
        </is>
      </c>
      <c r="Z27" s="37" t="n"/>
    </row>
    <row r="28">
      <c r="A28" s="35" t="n">
        <v>46082</v>
      </c>
      <c r="B28" s="37" t="n">
        <v>46112</v>
      </c>
      <c r="C28" s="33" t="inlineStr">
        <is>
          <t>Cyber Attack</t>
        </is>
      </c>
      <c r="D28" s="33" t="inlineStr">
        <is>
          <t>Ford</t>
        </is>
      </c>
      <c r="E28" s="39" t="n">
        <v>1</v>
      </c>
      <c r="F28" s="33" t="inlineStr">
        <is>
          <t>"RESILINC - Delayed Alert for Murata Manufacturing Cyber Attack"</t>
        </is>
      </c>
      <c r="G28" s="33" t="inlineStr">
        <is>
          <t>Complaint</t>
        </is>
      </c>
      <c r="H28" s="33" t="inlineStr">
        <is>
          <t>Delayed alert / WarRoom created late</t>
        </is>
      </c>
      <c r="I28" s="33" t="inlineStr">
        <is>
          <t>Product</t>
        </is>
      </c>
      <c r="J28" s="33" t="inlineStr">
        <is>
          <t>Source Coverage</t>
        </is>
      </c>
      <c r="K28" s="33" t="inlineStr">
        <is>
          <t>Improvement</t>
        </is>
      </c>
      <c r="L28" s="33" t="inlineStr">
        <is>
          <t>Fixed</t>
        </is>
      </c>
      <c r="M28" s="33" t="inlineStr">
        <is>
          <t>Dynamic Source Discovery</t>
        </is>
      </c>
      <c r="N28" s="33" t="inlineStr">
        <is>
          <t>Yes</t>
        </is>
      </c>
      <c r="O28" s="33" t="inlineStr">
        <is>
          <t>25-day delay: Initial source blocked + misclassification. RCA shared with retraining plan.</t>
        </is>
      </c>
      <c r="P28" s="33" t="inlineStr">
        <is>
          <t>25 days</t>
        </is>
      </c>
      <c r="Q28" s="33" t="inlineStr">
        <is>
          <t>Yes</t>
        </is>
      </c>
      <c r="R28" s="39" t="n">
        <v>3</v>
      </c>
      <c r="S28" s="39" t="n">
        <v>600</v>
      </c>
      <c r="T28" s="35" t="n">
        <v>46082</v>
      </c>
      <c r="U28" s="33" t="inlineStr">
        <is>
          <t>Medium</t>
        </is>
      </c>
      <c r="V28" s="33" t="inlineStr">
        <is>
          <t>Dynamic Source Discovery</t>
        </is>
      </c>
      <c r="X28" s="33" t="n"/>
      <c r="Y28" s="33" t="inlineStr">
        <is>
          <t>Product &amp; Platform</t>
        </is>
      </c>
      <c r="Z28" s="37" t="n"/>
    </row>
    <row r="29">
      <c r="A29" s="35" t="n">
        <v>46113</v>
      </c>
      <c r="B29" s="37" t="n">
        <v>46113</v>
      </c>
      <c r="C29" s="33" t="inlineStr">
        <is>
          <t>Cyber Attack</t>
        </is>
      </c>
      <c r="D29" s="33" t="inlineStr">
        <is>
          <t>Ford</t>
        </is>
      </c>
      <c r="E29" s="39" t="n">
        <v>1</v>
      </c>
      <c r="F29" s="33" t="inlineStr">
        <is>
          <t>Delay in Alert Issuance and WarRoom Creation – Murata Cyber Attack</t>
        </is>
      </c>
      <c r="G29" s="33" t="inlineStr">
        <is>
          <t>Complaint</t>
        </is>
      </c>
      <c r="H29" s="33" t="inlineStr">
        <is>
          <t>Delayed Event</t>
        </is>
      </c>
      <c r="I29" s="33" t="inlineStr">
        <is>
          <t>People</t>
        </is>
      </c>
      <c r="J29" s="33" t="inlineStr">
        <is>
          <t>Prioritization</t>
        </is>
      </c>
      <c r="K29" s="33" t="inlineStr">
        <is>
          <t>Improvement</t>
        </is>
      </c>
      <c r="L29" s="33" t="inlineStr">
        <is>
          <t>Fixed</t>
        </is>
      </c>
      <c r="M29" s="33" t="inlineStr">
        <is>
          <t>Escalation automation + reclassification review, so an event held under the wrong classification is re-checked rather than waiting for the next manual pass</t>
        </is>
      </c>
      <c r="N29" s="33" t="inlineStr">
        <is>
          <t>Yes</t>
        </is>
      </c>
      <c r="O29" s="33" t="inlineStr">
        <is>
          <t>25-day delay flagged by customer; blocked source + misclassification. Retraining completed.</t>
        </is>
      </c>
      <c r="P29" s="33" t="inlineStr">
        <is>
          <t>25 days</t>
        </is>
      </c>
      <c r="Q29" s="33" t="inlineStr">
        <is>
          <t>Yes</t>
        </is>
      </c>
      <c r="R29" s="39" t="n">
        <v>4</v>
      </c>
      <c r="S29" s="39" t="n">
        <v>600</v>
      </c>
      <c r="T29" s="35" t="n">
        <v>46113</v>
      </c>
      <c r="U29" s="33" t="inlineStr">
        <is>
          <t>Medium</t>
        </is>
      </c>
      <c r="V29" s="33" t="inlineStr">
        <is>
          <t>WarRoom &amp; Decision Validation</t>
        </is>
      </c>
      <c r="X29" s="33" t="n"/>
      <c r="Y29" s="33" t="inlineStr">
        <is>
          <t>EventWatch Ops - Nitin Rindhe</t>
        </is>
      </c>
      <c r="Z29" s="37" t="n"/>
    </row>
    <row r="30">
      <c r="A30" s="35" t="n">
        <v>46113</v>
      </c>
      <c r="B30" s="37" t="n">
        <v>46114</v>
      </c>
      <c r="C30" s="33" t="inlineStr">
        <is>
          <t>Factory Fire</t>
        </is>
      </c>
      <c r="D30" s="33" t="inlineStr">
        <is>
          <t>Ford</t>
        </is>
      </c>
      <c r="E30" s="39" t="n">
        <v>1</v>
      </c>
      <c r="F30" s="33" t="inlineStr">
        <is>
          <t>FORD MOTOR– Missing Automotive Tag in Event Watch Alert</t>
        </is>
      </c>
      <c r="G30" s="33" t="inlineStr">
        <is>
          <t>Complaint</t>
        </is>
      </c>
      <c r="H30" s="33" t="inlineStr">
        <is>
          <t>Incorrect Industry selection</t>
        </is>
      </c>
      <c r="I30" s="33" t="inlineStr">
        <is>
          <t>Product</t>
        </is>
      </c>
      <c r="J30" s="33" t="inlineStr">
        <is>
          <t>Industry selection</t>
        </is>
      </c>
      <c r="K30" s="33" t="inlineStr">
        <is>
          <t>Improvement</t>
        </is>
      </c>
      <c r="L30" s="33" t="inlineStr">
        <is>
          <t>Clarification Provided</t>
        </is>
      </c>
      <c r="M30" s="33" t="inlineStr">
        <is>
          <t>Auto-tagging</t>
        </is>
      </c>
      <c r="N30" s="33" t="inlineStr">
        <is>
          <t>Yes</t>
        </is>
      </c>
      <c r="O30" s="33" t="inlineStr">
        <is>
          <t>Missing Automotive tag; long-term enhancement roadmap communicated.</t>
        </is>
      </c>
      <c r="P30" s="33" t="n"/>
      <c r="Q30" s="33" t="inlineStr">
        <is>
          <t>No</t>
        </is>
      </c>
      <c r="R30" s="39" t="n">
        <v>4</v>
      </c>
      <c r="S30" s="39" t="n"/>
      <c r="T30" s="35" t="n">
        <v>46113</v>
      </c>
      <c r="U30" s="33" t="inlineStr">
        <is>
          <t>Medium</t>
        </is>
      </c>
      <c r="V30" s="33" t="inlineStr">
        <is>
          <t>Automated Industry Tagging</t>
        </is>
      </c>
      <c r="X30" s="33" t="n"/>
      <c r="Y30" s="33" t="inlineStr">
        <is>
          <t>Product &amp; Platform</t>
        </is>
      </c>
      <c r="Z30" s="37" t="n"/>
    </row>
    <row r="31">
      <c r="A31" s="35" t="n">
        <v>46113</v>
      </c>
      <c r="B31" s="37" t="n">
        <v>46118</v>
      </c>
      <c r="C31" s="33" t="inlineStr">
        <is>
          <t>Cyber Attack</t>
        </is>
      </c>
      <c r="D31" s="33" t="inlineStr">
        <is>
          <t>Harman</t>
        </is>
      </c>
      <c r="E31" s="39" t="n">
        <v>1</v>
      </c>
      <c r="F31" s="33" t="inlineStr">
        <is>
          <t>Murata Manufacturing Cyber Attack – Impact Confirmation Not Sent for 4 Tier 2 Sites (Harman)</t>
        </is>
      </c>
      <c r="G31" s="33" t="inlineStr">
        <is>
          <t>Complaint</t>
        </is>
      </c>
      <c r="H31" s="33" t="inlineStr">
        <is>
          <t>Event not triggered / not notified</t>
        </is>
      </c>
      <c r="I31" s="33" t="inlineStr">
        <is>
          <t>Product</t>
        </is>
      </c>
      <c r="J31" s="33" t="inlineStr">
        <is>
          <t>Mapping</t>
        </is>
      </c>
      <c r="K31" s="33" t="inlineStr">
        <is>
          <t>Improvement</t>
        </is>
      </c>
      <c r="L31" s="33" t="inlineStr">
        <is>
          <t>Clarification Provided</t>
        </is>
      </c>
      <c r="M31" s="33" t="inlineStr">
        <is>
          <t>Reconciliation between the set of sites meeting impact criteria and the set actually sent an impact-confirmation request, with an alert on any shortfall</t>
        </is>
      </c>
      <c r="N31" s="33" t="inlineStr">
        <is>
          <t>Yes</t>
        </is>
      </c>
      <c r="O31" s="33" t="inlineStr">
        <is>
          <t>From Jira CAN-3298 (Open). For Harman on the Murata Manufacturing cyber attack, 45 Murata sites were potentially impacted but impact-confirmation requests went to only 41. The four omitted Tier 2 sites met customer settings and impact-region criteria. Company notification settings were on for everything except 'Site Contacts Shared by Suppliers in our SCV (mapping)'.</t>
        </is>
      </c>
      <c r="P31" s="33" t="n"/>
      <c r="Q31" s="33" t="inlineStr">
        <is>
          <t>Yes</t>
        </is>
      </c>
      <c r="R31" s="39" t="n">
        <v>4</v>
      </c>
      <c r="S31" s="39" t="n"/>
      <c r="T31" s="35" t="inlineStr">
        <is>
          <t>Apr 2026</t>
        </is>
      </c>
      <c r="U31" s="33" t="inlineStr">
        <is>
          <t>Medium</t>
        </is>
      </c>
      <c r="V31" s="33" t="inlineStr">
        <is>
          <t>Notification Visibility Monitoring</t>
        </is>
      </c>
      <c r="W31" s="33" t="inlineStr">
        <is>
          <t>CAN-3298</t>
        </is>
      </c>
      <c r="X31" s="33" t="inlineStr">
        <is>
          <t>No RCA was issued. An RCA was requested on this record, but the case was closed out with a clarification to Harman rather than a root cause analysis, and no root cause was documented at the time. Recorded as it happened rather than reconstructed after the fact.</t>
        </is>
      </c>
      <c r="Y31" s="33" t="inlineStr">
        <is>
          <t>Product &amp; Platform</t>
        </is>
      </c>
      <c r="Z31" s="37" t="n"/>
    </row>
    <row r="32">
      <c r="A32" s="35" t="n">
        <v>46113</v>
      </c>
      <c r="B32" s="37" t="n">
        <v>46121</v>
      </c>
      <c r="C32" s="33" t="inlineStr">
        <is>
          <t>Geopolitical</t>
        </is>
      </c>
      <c r="D32" s="33" t="inlineStr">
        <is>
          <t>Ford</t>
        </is>
      </c>
      <c r="E32" s="39" t="n">
        <v>1</v>
      </c>
      <c r="F32" s="33" t="inlineStr">
        <is>
          <t>Truckers and Farmers Block Highways Across Mexico in Nationwide Strike</t>
        </is>
      </c>
      <c r="G32" s="33" t="inlineStr">
        <is>
          <t>Complaint</t>
        </is>
      </c>
      <c r="H32" s="33" t="inlineStr">
        <is>
          <t>Missed Event</t>
        </is>
      </c>
      <c r="I32" s="33" t="inlineStr">
        <is>
          <t>People</t>
        </is>
      </c>
      <c r="J32" s="33" t="inlineStr">
        <is>
          <t>Event Identification</t>
        </is>
      </c>
      <c r="K32" s="33" t="inlineStr">
        <is>
          <t>Improvement</t>
        </is>
      </c>
      <c r="L32" s="33" t="inlineStr">
        <is>
          <t>Fixed</t>
        </is>
      </c>
      <c r="M32" s="33" t="inlineStr">
        <is>
          <t>Geo-detection enhancement</t>
        </is>
      </c>
      <c r="N32" s="33" t="inlineStr">
        <is>
          <t>Yes</t>
        </is>
      </c>
      <c r="O32" s="33" t="inlineStr">
        <is>
          <t>AI correctly classified, but analyst assessed as localized/temporary. NC logged; post-incident review done.</t>
        </is>
      </c>
      <c r="P32" s="33" t="n"/>
      <c r="Q32" s="33" t="inlineStr">
        <is>
          <t>Yes</t>
        </is>
      </c>
      <c r="R32" s="39" t="n">
        <v>4</v>
      </c>
      <c r="S32" s="39" t="n"/>
      <c r="T32" s="35" t="n">
        <v>46113</v>
      </c>
      <c r="U32" s="33" t="inlineStr">
        <is>
          <t>Medium</t>
        </is>
      </c>
      <c r="V32" s="33" t="inlineStr">
        <is>
          <t>AI-Assisted Geofencing</t>
        </is>
      </c>
      <c r="X32" s="33" t="n"/>
      <c r="Y32" s="33" t="inlineStr">
        <is>
          <t>EventWatch Ops - Nitin Rindhe</t>
        </is>
      </c>
      <c r="Z32" s="37" t="n"/>
    </row>
    <row r="33">
      <c r="A33" s="35" t="n">
        <v>46113</v>
      </c>
      <c r="B33" s="37" t="n">
        <v>46121</v>
      </c>
      <c r="C33" s="33" t="inlineStr">
        <is>
          <t>Factory Fire</t>
        </is>
      </c>
      <c r="D33" s="33" t="inlineStr">
        <is>
          <t>Ford</t>
        </is>
      </c>
      <c r="E33" s="39" t="n">
        <v>1</v>
      </c>
      <c r="F33" s="33" t="inlineStr">
        <is>
          <t>Fire at the Linamar Corporation Facility in Fruitport, Michigan, USA</t>
        </is>
      </c>
      <c r="G33" s="33" t="inlineStr">
        <is>
          <t>Complaint</t>
        </is>
      </c>
      <c r="H33" s="33" t="inlineStr">
        <is>
          <t>Missed Event</t>
        </is>
      </c>
      <c r="I33" s="33" t="inlineStr">
        <is>
          <t>People</t>
        </is>
      </c>
      <c r="J33" s="33" t="inlineStr">
        <is>
          <t>Event Identification</t>
        </is>
      </c>
      <c r="K33" s="33" t="inlineStr">
        <is>
          <t>Improvement</t>
        </is>
      </c>
      <c r="L33" s="33" t="inlineStr">
        <is>
          <t>Fixed</t>
        </is>
      </c>
      <c r="M33" s="33" t="inlineStr">
        <is>
          <t>Signal extraction for company/facility + location confidence + incident cues</t>
        </is>
      </c>
      <c r="N33" s="33" t="inlineStr">
        <is>
          <t>Yes</t>
        </is>
      </c>
      <c r="O33" s="33" t="inlineStr">
        <is>
          <t>AI correctly classified, but human review missed company-facility validation. NC logged.</t>
        </is>
      </c>
      <c r="P33" s="33" t="n"/>
      <c r="Q33" s="33" t="inlineStr">
        <is>
          <t>Yes</t>
        </is>
      </c>
      <c r="R33" s="39" t="n">
        <v>4</v>
      </c>
      <c r="S33" s="39" t="n"/>
      <c r="T33" s="35" t="n">
        <v>46113</v>
      </c>
      <c r="U33" s="33" t="inlineStr">
        <is>
          <t>Medium</t>
        </is>
      </c>
      <c r="V33" s="33" t="inlineStr">
        <is>
          <t>Entity &amp; Supplier Resolution</t>
        </is>
      </c>
      <c r="X33" s="33" t="n"/>
      <c r="Y33" s="33" t="inlineStr">
        <is>
          <t>EventWatch Ops - Nitin Rindhe</t>
        </is>
      </c>
      <c r="Z33" s="37" t="n"/>
    </row>
    <row r="34">
      <c r="A34" s="35" t="n">
        <v>46113</v>
      </c>
      <c r="B34" s="37" t="n">
        <v>46126</v>
      </c>
      <c r="C34" s="33" t="inlineStr">
        <is>
          <t>Bankruptcy</t>
        </is>
      </c>
      <c r="D34" s="33" t="inlineStr">
        <is>
          <t>Eaton</t>
        </is>
      </c>
      <c r="E34" s="39" t="n">
        <v>1</v>
      </c>
      <c r="F34" s="33" t="inlineStr">
        <is>
          <t>EATON – Missed event RCA request (Bankruptcy event)</t>
        </is>
      </c>
      <c r="G34" s="33" t="inlineStr">
        <is>
          <t>Complaint</t>
        </is>
      </c>
      <c r="H34" s="33" t="inlineStr">
        <is>
          <t>Missed Event</t>
        </is>
      </c>
      <c r="I34" s="33" t="inlineStr">
        <is>
          <t>Product</t>
        </is>
      </c>
      <c r="J34" s="33" t="inlineStr">
        <is>
          <t>Source Coverage</t>
        </is>
      </c>
      <c r="K34" s="33" t="inlineStr">
        <is>
          <t>Improvement</t>
        </is>
      </c>
      <c r="L34" s="33" t="inlineStr">
        <is>
          <t>Fixed</t>
        </is>
      </c>
      <c r="M34" s="33" t="inlineStr">
        <is>
          <t>Source coverage expansion</t>
        </is>
      </c>
      <c r="N34" s="33" t="inlineStr">
        <is>
          <t>Yes</t>
        </is>
      </c>
      <c r="O34" s="33" t="inlineStr">
        <is>
          <t>Bankruptcy miss due to vendor source gap; sources added by vendor.</t>
        </is>
      </c>
      <c r="P34" s="33" t="n"/>
      <c r="Q34" s="33" t="inlineStr">
        <is>
          <t>Yes</t>
        </is>
      </c>
      <c r="R34" s="39" t="n">
        <v>4</v>
      </c>
      <c r="S34" s="39" t="n"/>
      <c r="T34" s="35" t="n">
        <v>46113</v>
      </c>
      <c r="U34" s="33" t="inlineStr">
        <is>
          <t>Medium</t>
        </is>
      </c>
      <c r="V34" s="33" t="inlineStr">
        <is>
          <t>Dynamic Source Discovery</t>
        </is>
      </c>
      <c r="X34" s="33" t="n"/>
      <c r="Y34" s="33" t="inlineStr">
        <is>
          <t>Product &amp; Platform</t>
        </is>
      </c>
      <c r="Z34" s="37" t="n"/>
    </row>
    <row r="35">
      <c r="A35" s="35" t="n">
        <v>46113</v>
      </c>
      <c r="B35" s="37" t="n">
        <v>46126</v>
      </c>
      <c r="C35" s="33" t="inlineStr">
        <is>
          <t>Geopolitical</t>
        </is>
      </c>
      <c r="D35" s="33" t="inlineStr">
        <is>
          <t>Eaton</t>
        </is>
      </c>
      <c r="E35" s="39" t="n">
        <v>1</v>
      </c>
      <c r="F35" s="33" t="inlineStr">
        <is>
          <t>EATON – Missed event RCA request (Border closing event)</t>
        </is>
      </c>
      <c r="G35" s="33" t="inlineStr">
        <is>
          <t>Complaint</t>
        </is>
      </c>
      <c r="H35" s="33" t="inlineStr">
        <is>
          <t>Missed Event</t>
        </is>
      </c>
      <c r="I35" s="33" t="inlineStr">
        <is>
          <t>Product</t>
        </is>
      </c>
      <c r="J35" s="33" t="inlineStr">
        <is>
          <t>Keyword Update</t>
        </is>
      </c>
      <c r="K35" s="33" t="inlineStr">
        <is>
          <t>Improvement</t>
        </is>
      </c>
      <c r="L35" s="33" t="inlineStr">
        <is>
          <t>Fixed</t>
        </is>
      </c>
      <c r="M35" s="33" t="inlineStr">
        <is>
          <t>Keyword expansion</t>
        </is>
      </c>
      <c r="N35" s="33" t="inlineStr">
        <is>
          <t>Yes</t>
        </is>
      </c>
      <c r="O35" s="33" t="inlineStr">
        <is>
          <t>Border closing miss due to foreign-language keyword gap; keywords added.</t>
        </is>
      </c>
      <c r="P35" s="33" t="n"/>
      <c r="Q35" s="33" t="inlineStr">
        <is>
          <t>Yes</t>
        </is>
      </c>
      <c r="R35" s="39" t="n">
        <v>4</v>
      </c>
      <c r="S35" s="39" t="n"/>
      <c r="T35" s="35" t="n">
        <v>46113</v>
      </c>
      <c r="U35" s="33" t="inlineStr">
        <is>
          <t>Medium</t>
        </is>
      </c>
      <c r="V35" s="33" t="inlineStr">
        <is>
          <t>Multilingual Keyword Expansion</t>
        </is>
      </c>
      <c r="X35" s="33" t="n"/>
      <c r="Y35" s="33" t="inlineStr">
        <is>
          <t>Product &amp; Platform</t>
        </is>
      </c>
      <c r="Z35" s="37" t="n"/>
    </row>
    <row r="36">
      <c r="A36" s="35" t="n">
        <v>46113</v>
      </c>
      <c r="B36" s="37" t="n">
        <v>46128</v>
      </c>
      <c r="C36" s="33" t="inlineStr">
        <is>
          <t>Regulatory Change</t>
        </is>
      </c>
      <c r="D36" s="33" t="inlineStr">
        <is>
          <t>Caterpillar</t>
        </is>
      </c>
      <c r="E36" s="39" t="n">
        <v>1</v>
      </c>
      <c r="F36" s="33" t="inlineStr">
        <is>
          <t>Customer Query: Missing EventWatch Coverage for Hengli Hydraulic Incident</t>
        </is>
      </c>
      <c r="G36" s="33" t="inlineStr">
        <is>
          <t>Complaint</t>
        </is>
      </c>
      <c r="H36" s="33" t="inlineStr">
        <is>
          <t>Missed Event</t>
        </is>
      </c>
      <c r="I36" s="33" t="inlineStr">
        <is>
          <t>Product</t>
        </is>
      </c>
      <c r="J36" s="33" t="inlineStr">
        <is>
          <t>Keyword Update</t>
        </is>
      </c>
      <c r="K36" s="33" t="inlineStr">
        <is>
          <t>Improvement</t>
        </is>
      </c>
      <c r="L36" s="33" t="inlineStr">
        <is>
          <t>Fixed</t>
        </is>
      </c>
      <c r="M36" s="33" t="inlineStr">
        <is>
          <t>Keyword expansion</t>
        </is>
      </c>
      <c r="N36" s="33" t="inlineStr">
        <is>
          <t>Yes</t>
        </is>
      </c>
      <c r="O36" s="33" t="inlineStr">
        <is>
          <t>3/4 articles not captured by vendor; 1 Chinese article missed due to keyword gap. Enhancement planned.</t>
        </is>
      </c>
      <c r="P36" s="33" t="n"/>
      <c r="Q36" s="33" t="inlineStr">
        <is>
          <t>Yes</t>
        </is>
      </c>
      <c r="R36" s="39" t="n">
        <v>4</v>
      </c>
      <c r="S36" s="39" t="n"/>
      <c r="T36" s="35" t="n">
        <v>46113</v>
      </c>
      <c r="U36" s="33" t="inlineStr">
        <is>
          <t>Medium</t>
        </is>
      </c>
      <c r="V36" s="33" t="inlineStr">
        <is>
          <t>Multilingual Keyword Expansion</t>
        </is>
      </c>
      <c r="X36" s="33" t="n"/>
      <c r="Y36" s="33" t="inlineStr">
        <is>
          <t>Product &amp; Platform</t>
        </is>
      </c>
      <c r="Z36" s="37" t="n"/>
    </row>
    <row r="37">
      <c r="A37" s="35" t="n">
        <v>46113</v>
      </c>
      <c r="B37" s="37" t="n">
        <v>46134</v>
      </c>
      <c r="C37" s="33" t="inlineStr">
        <is>
          <t>Earthquake</t>
        </is>
      </c>
      <c r="D37" s="33" t="inlineStr">
        <is>
          <t>Ford</t>
        </is>
      </c>
      <c r="E37" s="39" t="n">
        <v>1</v>
      </c>
      <c r="F37" s="33" t="inlineStr">
        <is>
          <t>Missing Alerts - 5.0 Magnitude Earthquake in San Carlos, Mexico - INC5833769</t>
        </is>
      </c>
      <c r="G37" s="34" t="inlineStr">
        <is>
          <t>Inquiry</t>
        </is>
      </c>
      <c r="H37" s="33" t="inlineStr">
        <is>
          <t>Coverage Verification Request</t>
        </is>
      </c>
      <c r="I37" s="33" t="inlineStr">
        <is>
          <t>Process</t>
        </is>
      </c>
      <c r="J37" s="33" t="inlineStr">
        <is>
          <t>Process Clarification</t>
        </is>
      </c>
      <c r="K37" s="33" t="inlineStr">
        <is>
          <t>Improvement</t>
        </is>
      </c>
      <c r="L37" s="33" t="inlineStr">
        <is>
          <t>Clarification Provided</t>
        </is>
      </c>
      <c r="M37" s="33" t="inlineStr">
        <is>
          <t>Automated disruption-signal checklist before NI closure for borderline EQs</t>
        </is>
      </c>
      <c r="N37" s="33" t="inlineStr">
        <is>
          <t>No</t>
        </is>
      </c>
      <c r="O37" s="33" t="inlineStr">
        <is>
          <t>Feeds captured but no confirmed disruptions found; magnitude alone not sufficient per thresholds.</t>
        </is>
      </c>
      <c r="P37" s="33" t="n"/>
      <c r="Q37" s="33" t="inlineStr">
        <is>
          <t>No</t>
        </is>
      </c>
      <c r="R37" s="39" t="n">
        <v>4</v>
      </c>
      <c r="S37" s="39" t="n"/>
      <c r="T37" s="35" t="n">
        <v>46113</v>
      </c>
      <c r="U37" s="33" t="inlineStr">
        <is>
          <t>Medium</t>
        </is>
      </c>
      <c r="V37" s="33" t="inlineStr">
        <is>
          <t>Other Control Automation</t>
        </is>
      </c>
      <c r="X37" s="33" t="n"/>
      <c r="Y37" s="33" t="inlineStr">
        <is>
          <t>EventWatch Ops - Nitin Rindhe</t>
        </is>
      </c>
      <c r="Z37" s="37" t="n"/>
    </row>
    <row r="38">
      <c r="A38" s="35" t="n">
        <v>46113</v>
      </c>
      <c r="B38" s="37" t="n">
        <v>46141</v>
      </c>
      <c r="C38" s="33" t="inlineStr">
        <is>
          <t>Earthquake</t>
        </is>
      </c>
      <c r="D38" s="33" t="inlineStr">
        <is>
          <t>Hitachi</t>
        </is>
      </c>
      <c r="E38" s="39" t="n">
        <v>1</v>
      </c>
      <c r="F38" s="33" t="inlineStr">
        <is>
          <t>HITACHI: Missing WarRoom Event for Japan Earthquake</t>
        </is>
      </c>
      <c r="G38" s="33" t="inlineStr">
        <is>
          <t>Inquiry</t>
        </is>
      </c>
      <c r="H38" s="33" t="inlineStr">
        <is>
          <t>Geographic Coverage Clarification</t>
        </is>
      </c>
      <c r="I38" s="33" t="inlineStr">
        <is>
          <t>Process</t>
        </is>
      </c>
      <c r="J38" s="33" t="inlineStr">
        <is>
          <t>Process Clarification</t>
        </is>
      </c>
      <c r="K38" s="33" t="inlineStr">
        <is>
          <t>Improvement</t>
        </is>
      </c>
      <c r="L38" s="33" t="inlineStr">
        <is>
          <t>Clarification Provided</t>
        </is>
      </c>
      <c r="M38" s="33" t="inlineStr">
        <is>
          <t>Geo-detection enhancement</t>
        </is>
      </c>
      <c r="N38" s="33" t="inlineStr">
        <is>
          <t>No</t>
        </is>
      </c>
      <c r="O38" s="33" t="inlineStr">
        <is>
          <t>Polygon methodology explained per Thresholds &amp; Guidelines; radius standardized by magnitude/depth.</t>
        </is>
      </c>
      <c r="P38" s="33" t="n"/>
      <c r="Q38" s="33" t="inlineStr">
        <is>
          <t>No</t>
        </is>
      </c>
      <c r="R38" s="39" t="n">
        <v>4</v>
      </c>
      <c r="S38" s="39" t="n"/>
      <c r="T38" s="35" t="n">
        <v>46113</v>
      </c>
      <c r="U38" s="33" t="inlineStr">
        <is>
          <t>Medium</t>
        </is>
      </c>
      <c r="V38" s="33" t="inlineStr">
        <is>
          <t>AI-Assisted Geofencing</t>
        </is>
      </c>
      <c r="X38" s="33" t="n"/>
      <c r="Y38" s="33" t="inlineStr">
        <is>
          <t>EventWatch Ops - Nitin Rindhe</t>
        </is>
      </c>
      <c r="Z38" s="37" t="n"/>
    </row>
    <row r="39">
      <c r="A39" s="35" t="n">
        <v>46113</v>
      </c>
      <c r="B39" s="37" t="n">
        <v>46142</v>
      </c>
      <c r="C39" s="33" t="inlineStr">
        <is>
          <t>Bankruptcy</t>
        </is>
      </c>
      <c r="D39" s="33" t="inlineStr">
        <is>
          <t>Ford</t>
        </is>
      </c>
      <c r="E39" s="39" t="n">
        <v>1</v>
      </c>
      <c r="F39" s="33" t="inlineStr">
        <is>
          <t>Missed Event Alert – Deltal Otomotiv Insolvency Filing (Ford Otosan Impact)</t>
        </is>
      </c>
      <c r="G39" s="33" t="inlineStr">
        <is>
          <t>Complaint</t>
        </is>
      </c>
      <c r="H39" s="33" t="inlineStr">
        <is>
          <t>Missed Event</t>
        </is>
      </c>
      <c r="I39" s="33" t="inlineStr">
        <is>
          <t>Product</t>
        </is>
      </c>
      <c r="J39" s="33" t="inlineStr">
        <is>
          <t>Keyword Update</t>
        </is>
      </c>
      <c r="K39" s="33" t="inlineStr">
        <is>
          <t>Improvement</t>
        </is>
      </c>
      <c r="L39" s="33" t="inlineStr">
        <is>
          <t>Fixed</t>
        </is>
      </c>
      <c r="M39" s="33" t="inlineStr">
        <is>
          <t>Keyword expansion</t>
        </is>
      </c>
      <c r="N39" s="33" t="inlineStr">
        <is>
          <t>Yes</t>
        </is>
      </c>
      <c r="O39" s="33" t="inlineStr">
        <is>
          <t>Turkish keyword miss + source outside vendor network; keyword update + vendor request initiated.</t>
        </is>
      </c>
      <c r="P39" s="33" t="n"/>
      <c r="Q39" s="33" t="inlineStr">
        <is>
          <t>Yes</t>
        </is>
      </c>
      <c r="R39" s="39" t="n">
        <v>4</v>
      </c>
      <c r="S39" s="39" t="n"/>
      <c r="T39" s="35" t="n">
        <v>46113</v>
      </c>
      <c r="U39" s="33" t="inlineStr">
        <is>
          <t>Medium</t>
        </is>
      </c>
      <c r="V39" s="33" t="inlineStr">
        <is>
          <t>Multilingual Keyword Expansion</t>
        </is>
      </c>
      <c r="X39" s="33" t="n"/>
      <c r="Y39" s="33" t="inlineStr">
        <is>
          <t>Product &amp; Platform</t>
        </is>
      </c>
      <c r="Z39" s="37" t="n"/>
    </row>
    <row r="40">
      <c r="A40" s="35" t="n">
        <v>46113</v>
      </c>
      <c r="B40" s="37" t="n">
        <v>46142</v>
      </c>
      <c r="C40" s="33" t="inlineStr">
        <is>
          <t>Bankruptcy</t>
        </is>
      </c>
      <c r="D40" s="33" t="inlineStr">
        <is>
          <t>Ford</t>
        </is>
      </c>
      <c r="E40" s="39" t="n">
        <v>1</v>
      </c>
      <c r="F40" s="33" t="inlineStr">
        <is>
          <t>Urgent Review Required – Missed Insolvency Event | AluTec GmbH (FORD Escalation)</t>
        </is>
      </c>
      <c r="G40" s="33" t="inlineStr">
        <is>
          <t>Complaint</t>
        </is>
      </c>
      <c r="H40" s="33" t="inlineStr">
        <is>
          <t>Missed Event</t>
        </is>
      </c>
      <c r="I40" s="33" t="inlineStr">
        <is>
          <t>Product</t>
        </is>
      </c>
      <c r="J40" s="33" t="inlineStr">
        <is>
          <t>Source Coverage</t>
        </is>
      </c>
      <c r="K40" s="33" t="inlineStr">
        <is>
          <t>Improvement</t>
        </is>
      </c>
      <c r="L40" s="33" t="inlineStr">
        <is>
          <t>Fixed</t>
        </is>
      </c>
      <c r="M40" s="33" t="inlineStr">
        <is>
          <t>Source coverage expansion</t>
        </is>
      </c>
      <c r="N40" s="33" t="inlineStr">
        <is>
          <t>Yes</t>
        </is>
      </c>
      <c r="O40" s="33" t="inlineStr">
        <is>
          <t>Insolvency missed due to unmapped supplier + niche-source limits; bulletin published after escalation. ~28 days delay.</t>
        </is>
      </c>
      <c r="P40" s="33" t="inlineStr">
        <is>
          <t>~28 days (Apr 1 proceedings → Apr 29 publish)</t>
        </is>
      </c>
      <c r="Q40" s="33" t="inlineStr">
        <is>
          <t>Yes</t>
        </is>
      </c>
      <c r="R40" s="39" t="n">
        <v>4</v>
      </c>
      <c r="S40" s="39" t="n">
        <v>672</v>
      </c>
      <c r="T40" s="35" t="n">
        <v>46113</v>
      </c>
      <c r="U40" s="33" t="inlineStr">
        <is>
          <t>Medium</t>
        </is>
      </c>
      <c r="V40" s="33" t="inlineStr">
        <is>
          <t>Dynamic Source Discovery</t>
        </is>
      </c>
      <c r="X40" s="33" t="n"/>
      <c r="Y40" s="33" t="inlineStr">
        <is>
          <t>Product &amp; Platform</t>
        </is>
      </c>
      <c r="Z40" s="37" t="n"/>
    </row>
    <row r="41">
      <c r="A41" s="35" t="n">
        <v>46113</v>
      </c>
      <c r="B41" s="37" t="n">
        <v>46142</v>
      </c>
      <c r="C41" s="33" t="inlineStr">
        <is>
          <t>Tornado</t>
        </is>
      </c>
      <c r="D41" s="33" t="inlineStr">
        <is>
          <t>Collins Aerospace</t>
        </is>
      </c>
      <c r="E41" s="39" t="n">
        <v>1</v>
      </c>
      <c r="F41" s="33" t="inlineStr">
        <is>
          <t>Delay in WarRoom Creation – Tornado Event (Mineral Wells, Texas): Ticket#11211</t>
        </is>
      </c>
      <c r="G41" s="33" t="inlineStr">
        <is>
          <t>Complaint</t>
        </is>
      </c>
      <c r="H41" s="33" t="inlineStr">
        <is>
          <t>Delayed Event</t>
        </is>
      </c>
      <c r="I41" s="33" t="inlineStr">
        <is>
          <t>Process</t>
        </is>
      </c>
      <c r="J41" s="33" t="inlineStr">
        <is>
          <t>Captured Late</t>
        </is>
      </c>
      <c r="K41" s="33" t="inlineStr">
        <is>
          <t>Improvement</t>
        </is>
      </c>
      <c r="L41" s="33" t="inlineStr">
        <is>
          <t>Fixed</t>
        </is>
      </c>
      <c r="M41" s="33" t="inlineStr">
        <is>
          <t>Escalation automation</t>
        </is>
      </c>
      <c r="N41" s="33" t="inlineStr">
        <is>
          <t>Yes</t>
        </is>
      </c>
      <c r="O41" s="33" t="inlineStr">
        <is>
          <t>WarRoom created ~18 hours after tornado; investigation acknowledged.</t>
        </is>
      </c>
      <c r="P41" s="33" t="inlineStr">
        <is>
          <t>18 hours</t>
        </is>
      </c>
      <c r="Q41" s="33" t="inlineStr">
        <is>
          <t>Yes</t>
        </is>
      </c>
      <c r="R41" s="39" t="n">
        <v>4</v>
      </c>
      <c r="S41" s="39" t="n">
        <v>18</v>
      </c>
      <c r="T41" s="35" t="n">
        <v>46113</v>
      </c>
      <c r="U41" s="33" t="inlineStr">
        <is>
          <t>Medium</t>
        </is>
      </c>
      <c r="V41" s="33" t="inlineStr">
        <is>
          <t>WarRoom &amp; Decision Validation</t>
        </is>
      </c>
      <c r="X41" s="33" t="n"/>
      <c r="Y41" s="33" t="inlineStr">
        <is>
          <t>EventWatch Ops - Nitin Rindhe</t>
        </is>
      </c>
      <c r="Z41" s="37" t="n"/>
    </row>
    <row r="42">
      <c r="A42" s="35" t="n">
        <v>46143</v>
      </c>
      <c r="B42" s="37" t="n">
        <v>46143</v>
      </c>
      <c r="C42" s="33" t="inlineStr">
        <is>
          <t>Tornado</t>
        </is>
      </c>
      <c r="D42" s="33" t="inlineStr">
        <is>
          <t>Collins Aerospace</t>
        </is>
      </c>
      <c r="E42" s="39" t="n">
        <v>1</v>
      </c>
      <c r="F42" s="33" t="inlineStr">
        <is>
          <t>Tornado (Mineral Wells, Texas)</t>
        </is>
      </c>
      <c r="G42" s="33" t="inlineStr">
        <is>
          <t>Complaint</t>
        </is>
      </c>
      <c r="H42" s="33" t="inlineStr">
        <is>
          <t>Delayed WarRoom</t>
        </is>
      </c>
      <c r="I42" s="33" t="inlineStr">
        <is>
          <t>People</t>
        </is>
      </c>
      <c r="J42" s="33" t="inlineStr">
        <is>
          <t>Review</t>
        </is>
      </c>
      <c r="K42" s="33" t="inlineStr">
        <is>
          <t>Improvement</t>
        </is>
      </c>
      <c r="L42" s="33" t="inlineStr">
        <is>
          <t>Fixed</t>
        </is>
      </c>
      <c r="M42" s="33" t="inlineStr">
        <is>
          <t>Escalation automation</t>
        </is>
      </c>
      <c r="N42" s="33" t="inlineStr">
        <is>
          <t>Yes</t>
        </is>
      </c>
      <c r="O42" s="33" t="inlineStr">
        <is>
          <t>Tornado occurred Apr 28, WarRoom created Apr 29 (~18 hr delay). System detected but team deprioritized</t>
        </is>
      </c>
      <c r="P42" s="33" t="inlineStr">
        <is>
          <t>~18 hours</t>
        </is>
      </c>
      <c r="Q42" s="33" t="inlineStr">
        <is>
          <t>Yes</t>
        </is>
      </c>
      <c r="R42" s="39" t="n">
        <v>5</v>
      </c>
      <c r="S42" s="39" t="n">
        <v>18</v>
      </c>
      <c r="T42" s="35" t="n">
        <v>46143</v>
      </c>
      <c r="U42" s="33" t="inlineStr">
        <is>
          <t>Medium</t>
        </is>
      </c>
      <c r="V42" s="33" t="inlineStr">
        <is>
          <t>WarRoom &amp; Decision Validation</t>
        </is>
      </c>
      <c r="X42" s="33" t="n"/>
      <c r="Y42" s="33" t="inlineStr">
        <is>
          <t>EventWatch Ops - Nitin Rindhe</t>
        </is>
      </c>
      <c r="Z42" s="37" t="n"/>
    </row>
    <row r="43">
      <c r="A43" s="35" t="n">
        <v>46143</v>
      </c>
      <c r="B43" s="37" t="n">
        <v>46143</v>
      </c>
      <c r="C43" s="33" t="inlineStr">
        <is>
          <t>Bankruptcy</t>
        </is>
      </c>
      <c r="D43" s="33" t="inlineStr">
        <is>
          <t>Ford</t>
        </is>
      </c>
      <c r="E43" s="39" t="n">
        <v>1</v>
      </c>
      <c r="F43" s="33" t="inlineStr">
        <is>
          <t>AluTec GmbH Insolvency (Fürth, Germany)</t>
        </is>
      </c>
      <c r="G43" s="33" t="inlineStr">
        <is>
          <t>Complaint</t>
        </is>
      </c>
      <c r="H43" s="33" t="inlineStr">
        <is>
          <t>Missed Event</t>
        </is>
      </c>
      <c r="I43" s="33" t="inlineStr">
        <is>
          <t>Product</t>
        </is>
      </c>
      <c r="J43" s="33" t="inlineStr">
        <is>
          <t>Source Coverage</t>
        </is>
      </c>
      <c r="K43" s="33" t="inlineStr">
        <is>
          <t>Improvement</t>
        </is>
      </c>
      <c r="L43" s="33" t="inlineStr">
        <is>
          <t>Fixed</t>
        </is>
      </c>
      <c r="M43" s="33" t="inlineStr">
        <is>
          <t>Source coverage expansion</t>
        </is>
      </c>
      <c r="N43" s="33" t="inlineStr">
        <is>
          <t>Yes</t>
        </is>
      </c>
      <c r="O43" s="33" t="inlineStr">
        <is>
          <t>Critical missed alert flagged; insolvency opened Apr 1. Source onboarding initiated. ~30 days delay.</t>
        </is>
      </c>
      <c r="P43" s="33" t="inlineStr">
        <is>
          <t>~30 days (Apr 1 → May 1)</t>
        </is>
      </c>
      <c r="Q43" s="33" t="inlineStr">
        <is>
          <t>Yes</t>
        </is>
      </c>
      <c r="R43" s="39" t="n">
        <v>5</v>
      </c>
      <c r="S43" s="39" t="n">
        <v>720</v>
      </c>
      <c r="T43" s="35" t="n">
        <v>46143</v>
      </c>
      <c r="U43" s="33" t="inlineStr">
        <is>
          <t>Medium</t>
        </is>
      </c>
      <c r="V43" s="33" t="inlineStr">
        <is>
          <t>Dynamic Source Discovery</t>
        </is>
      </c>
      <c r="X43" s="33" t="n"/>
      <c r="Y43" s="33" t="inlineStr">
        <is>
          <t>Product &amp; Platform</t>
        </is>
      </c>
      <c r="Z43" s="37" t="n"/>
    </row>
    <row r="44">
      <c r="A44" s="35" t="n">
        <v>46143</v>
      </c>
      <c r="B44" s="37" t="n">
        <v>46143</v>
      </c>
      <c r="C44" s="33" t="inlineStr">
        <is>
          <t>Regulatory Change</t>
        </is>
      </c>
      <c r="D44" s="33" t="inlineStr">
        <is>
          <t>Fedrigoni Group</t>
        </is>
      </c>
      <c r="E44" s="39" t="n">
        <v>1</v>
      </c>
      <c r="F44" s="33" t="inlineStr">
        <is>
          <t>Six paper makers price-fixing fines (South Korea)</t>
        </is>
      </c>
      <c r="G44" s="33" t="inlineStr">
        <is>
          <t>Complaint</t>
        </is>
      </c>
      <c r="H44" s="33" t="inlineStr">
        <is>
          <t>Missed WarRoom</t>
        </is>
      </c>
      <c r="I44" s="33" t="inlineStr">
        <is>
          <t>Product</t>
        </is>
      </c>
      <c r="J44" s="33" t="inlineStr">
        <is>
          <t>Keyword Update</t>
        </is>
      </c>
      <c r="K44" s="33" t="inlineStr">
        <is>
          <t>Improvement</t>
        </is>
      </c>
      <c r="L44" s="33" t="inlineStr">
        <is>
          <t>Fixed</t>
        </is>
      </c>
      <c r="M44" s="33" t="inlineStr">
        <is>
          <t>Dynamic Source Discovery</t>
        </is>
      </c>
      <c r="N44" s="33" t="inlineStr">
        <is>
          <t>Yes</t>
        </is>
      </c>
      <c r="O44" s="33" t="inlineStr">
        <is>
          <t>WarRoom not found for paper firms; keyword gap confirmed. WarRoom created Apr 30; keywords updated.</t>
        </is>
      </c>
      <c r="P44" s="33" t="n"/>
      <c r="Q44" s="33" t="inlineStr">
        <is>
          <t>Yes</t>
        </is>
      </c>
      <c r="R44" s="39" t="n">
        <v>5</v>
      </c>
      <c r="S44" s="39" t="n"/>
      <c r="T44" s="35" t="n">
        <v>46143</v>
      </c>
      <c r="U44" s="33" t="inlineStr">
        <is>
          <t>Medium</t>
        </is>
      </c>
      <c r="V44" s="33" t="inlineStr">
        <is>
          <t>Dynamic Source Discovery</t>
        </is>
      </c>
      <c r="X44" s="33" t="n"/>
      <c r="Y44" s="33" t="inlineStr">
        <is>
          <t>Product &amp; Platform</t>
        </is>
      </c>
      <c r="Z44" s="37" t="n"/>
    </row>
    <row r="45">
      <c r="A45" s="35" t="n">
        <v>46143</v>
      </c>
      <c r="B45" s="37" t="n">
        <v>46147</v>
      </c>
      <c r="C45" s="33" t="inlineStr">
        <is>
          <t>Bankruptcy</t>
        </is>
      </c>
      <c r="D45" s="33" t="inlineStr">
        <is>
          <t>Ford</t>
        </is>
      </c>
      <c r="E45" s="39" t="n">
        <v>1</v>
      </c>
      <c r="F45" s="33" t="inlineStr">
        <is>
          <t>Trinseo "Misses Interest Payments…" (SIC not triggered)</t>
        </is>
      </c>
      <c r="G45" s="33" t="inlineStr">
        <is>
          <t>Complaint</t>
        </is>
      </c>
      <c r="H45" s="33" t="inlineStr">
        <is>
          <t>Incorrect Action</t>
        </is>
      </c>
      <c r="I45" s="33" t="inlineStr">
        <is>
          <t>Product</t>
        </is>
      </c>
      <c r="J45" s="33" t="inlineStr">
        <is>
          <t>Policy/Logic</t>
        </is>
      </c>
      <c r="K45" s="33" t="inlineStr">
        <is>
          <t>Improvement</t>
        </is>
      </c>
      <c r="L45" s="33" t="inlineStr">
        <is>
          <t>Clarification Provided</t>
        </is>
      </c>
      <c r="M45" s="33" t="inlineStr">
        <is>
          <t>SIC trigger logic review for financial risk events</t>
        </is>
      </c>
      <c r="N45" s="33" t="inlineStr">
        <is>
          <t>No</t>
        </is>
      </c>
      <c r="O45" s="33" t="inlineStr">
        <is>
          <t>Customer asked if SIC can be enabled for financial risk events; policy clarification provided.</t>
        </is>
      </c>
      <c r="P45" s="33" t="n"/>
      <c r="Q45" s="33" t="inlineStr">
        <is>
          <t>No</t>
        </is>
      </c>
      <c r="R45" s="39" t="n">
        <v>5</v>
      </c>
      <c r="S45" s="39" t="n"/>
      <c r="T45" s="35" t="n">
        <v>46143</v>
      </c>
      <c r="U45" s="33" t="inlineStr">
        <is>
          <t>Medium</t>
        </is>
      </c>
      <c r="V45" s="33" t="inlineStr">
        <is>
          <t>Other Control Automation</t>
        </is>
      </c>
      <c r="X45" s="33" t="n"/>
      <c r="Y45" s="33" t="inlineStr">
        <is>
          <t>Product &amp; Platform</t>
        </is>
      </c>
      <c r="Z45" s="37" t="n"/>
    </row>
    <row r="46">
      <c r="A46" s="35" t="n">
        <v>46143</v>
      </c>
      <c r="B46" s="37" t="n">
        <v>46149</v>
      </c>
      <c r="C46" s="33" t="inlineStr">
        <is>
          <t>Regulatory Change</t>
        </is>
      </c>
      <c r="D46" s="33" t="inlineStr">
        <is>
          <t>GM</t>
        </is>
      </c>
      <c r="E46" s="39" t="n">
        <v>1</v>
      </c>
      <c r="F46" s="33" t="inlineStr">
        <is>
          <t>OFAC alert: "Sanctions Risks of Iranian Demands for Strait of Hormuz Passage"</t>
        </is>
      </c>
      <c r="G46" s="33" t="inlineStr">
        <is>
          <t>Complaint</t>
        </is>
      </c>
      <c r="H46" s="33" t="inlineStr">
        <is>
          <t>Missed Event</t>
        </is>
      </c>
      <c r="I46" s="33" t="inlineStr">
        <is>
          <t>People</t>
        </is>
      </c>
      <c r="J46" s="33" t="inlineStr">
        <is>
          <t>Review</t>
        </is>
      </c>
      <c r="K46" s="33" t="inlineStr">
        <is>
          <t>Improvement</t>
        </is>
      </c>
      <c r="L46" s="33" t="inlineStr">
        <is>
          <t>Fixed</t>
        </is>
      </c>
      <c r="M46" s="33" t="inlineStr">
        <is>
          <t>Escalation automation</t>
        </is>
      </c>
      <c r="N46" s="33" t="inlineStr">
        <is>
          <t>Yes</t>
        </is>
      </c>
      <c r="O46" s="33" t="inlineStr">
        <is>
          <t>Feeds captured but classified as not impactful; NI review missed. Re-evaluated and published</t>
        </is>
      </c>
      <c r="P46" s="33" t="n"/>
      <c r="Q46" s="33" t="inlineStr">
        <is>
          <t>Yes</t>
        </is>
      </c>
      <c r="R46" s="39" t="n">
        <v>5</v>
      </c>
      <c r="S46" s="39" t="n"/>
      <c r="T46" s="35" t="n">
        <v>46143</v>
      </c>
      <c r="U46" s="33" t="inlineStr">
        <is>
          <t>Medium</t>
        </is>
      </c>
      <c r="V46" s="33" t="inlineStr">
        <is>
          <t>WarRoom &amp; Decision Validation</t>
        </is>
      </c>
      <c r="X46" s="33" t="n"/>
      <c r="Y46" s="33" t="inlineStr">
        <is>
          <t>EventWatch Ops - Nitin Rindhe</t>
        </is>
      </c>
      <c r="Z46" s="37" t="n"/>
    </row>
    <row r="47">
      <c r="A47" s="35" t="n">
        <v>46143</v>
      </c>
      <c r="B47" s="37" t="n">
        <v>46149</v>
      </c>
      <c r="C47" s="33" t="inlineStr">
        <is>
          <t>Regulatory Change</t>
        </is>
      </c>
      <c r="D47" s="33" t="inlineStr">
        <is>
          <t>Ford</t>
        </is>
      </c>
      <c r="E47" s="39" t="n">
        <v>1</v>
      </c>
      <c r="F47" s="33" t="inlineStr">
        <is>
          <t>Yangzhou Yangjie EU sanctions listing</t>
        </is>
      </c>
      <c r="G47" s="33" t="inlineStr">
        <is>
          <t>Complaint</t>
        </is>
      </c>
      <c r="H47" s="33" t="inlineStr">
        <is>
          <t>Missed / Delayed Event</t>
        </is>
      </c>
      <c r="I47" s="33" t="inlineStr">
        <is>
          <t>Product</t>
        </is>
      </c>
      <c r="J47" s="33" t="inlineStr">
        <is>
          <t>Keyword Update</t>
        </is>
      </c>
      <c r="K47" s="33" t="inlineStr">
        <is>
          <t>Improvement</t>
        </is>
      </c>
      <c r="L47" s="33" t="inlineStr">
        <is>
          <t>Fixed</t>
        </is>
      </c>
      <c r="M47" s="33" t="inlineStr">
        <is>
          <t>Dynamic Source Discovery</t>
        </is>
      </c>
      <c r="N47" s="33" t="inlineStr">
        <is>
          <t>Yes</t>
        </is>
      </c>
      <c r="O47" s="33" t="inlineStr">
        <is>
          <t>Sanctions compliance demanded; keyword gap confirmed. WarRoom created after customer email.</t>
        </is>
      </c>
      <c r="P47" s="33" t="n"/>
      <c r="Q47" s="33" t="inlineStr">
        <is>
          <t>Yes</t>
        </is>
      </c>
      <c r="R47" s="39" t="n">
        <v>5</v>
      </c>
      <c r="S47" s="39" t="n"/>
      <c r="T47" s="35" t="n">
        <v>46143</v>
      </c>
      <c r="U47" s="33" t="inlineStr">
        <is>
          <t>Medium</t>
        </is>
      </c>
      <c r="V47" s="33" t="inlineStr">
        <is>
          <t>Dynamic Source Discovery</t>
        </is>
      </c>
      <c r="X47" s="33" t="n"/>
      <c r="Y47" s="33" t="inlineStr">
        <is>
          <t>Product &amp; Platform</t>
        </is>
      </c>
      <c r="Z47" s="37" t="n"/>
    </row>
    <row r="48">
      <c r="A48" s="35" t="n">
        <v>46143</v>
      </c>
      <c r="B48" s="37" t="n">
        <v>46154</v>
      </c>
      <c r="C48" s="33" t="inlineStr">
        <is>
          <t>Cyber Attack</t>
        </is>
      </c>
      <c r="D48" s="33" t="inlineStr">
        <is>
          <t>Eaton</t>
        </is>
      </c>
      <c r="E48" s="39" t="n">
        <v>1</v>
      </c>
      <c r="F48" s="33" t="inlineStr">
        <is>
          <t>Axios npm package compromise (Mar 31)</t>
        </is>
      </c>
      <c r="G48" s="33" t="inlineStr">
        <is>
          <t>Complaint</t>
        </is>
      </c>
      <c r="H48" s="33" t="inlineStr">
        <is>
          <t>Missed Event</t>
        </is>
      </c>
      <c r="I48" s="33" t="inlineStr">
        <is>
          <t>People</t>
        </is>
      </c>
      <c r="J48" s="33" t="inlineStr">
        <is>
          <t>Review</t>
        </is>
      </c>
      <c r="K48" s="33" t="inlineStr">
        <is>
          <t>Improvement</t>
        </is>
      </c>
      <c r="L48" s="33" t="inlineStr">
        <is>
          <t>Clarification Provided</t>
        </is>
      </c>
      <c r="M48" s="33" t="inlineStr">
        <is>
          <t>A software-dependency check when judging relevance, so a compromise in a package a customer's own products are built on is weighed on the product connection rather than on physical site mapping and operational disruption alone</t>
        </is>
      </c>
      <c r="N48" s="33" t="inlineStr">
        <is>
          <t>Yes</t>
        </is>
      </c>
      <c r="O48" s="33" t="inlineStr">
        <is>
          <t>Eaton asked for an RCA on the March 31 Axios npm package compromise. It was reviewed and classified not relevant on the basis of supplier mapping and the absence of operational disruption. That judgement was wrong: Eaton has a product connection to Axios and should have been notified. Counted as a miss.</t>
        </is>
      </c>
      <c r="P48" s="33" t="n"/>
      <c r="Q48" s="33" t="inlineStr">
        <is>
          <t>Yes</t>
        </is>
      </c>
      <c r="R48" s="39" t="n">
        <v>5</v>
      </c>
      <c r="S48" s="39" t="n"/>
      <c r="T48" s="35" t="n">
        <v>46143</v>
      </c>
      <c r="U48" s="33" t="inlineStr">
        <is>
          <t>Medium</t>
        </is>
      </c>
      <c r="V48" s="33" t="inlineStr">
        <is>
          <t>WarRoom &amp; Decision Validation</t>
        </is>
      </c>
      <c r="X48" s="33" t="inlineStr">
        <is>
          <t>Analyst relevance judgement was wrong. The Axios npm compromise was assessed against supplier mapping and physical operational disruption, neither of which applied, and was closed as not relevant. The connection that mattered was a product one - Eaton's own software depends on the compromised package - and on that basis the event should have been notified. Not a source or keyword gap: the event was seen and judged.</t>
        </is>
      </c>
      <c r="Y48" s="33" t="inlineStr">
        <is>
          <t>EventWatch Ops - Nitin Rindhe</t>
        </is>
      </c>
      <c r="Z48" s="37" t="n"/>
    </row>
    <row r="49">
      <c r="A49" s="35" t="n">
        <v>46143</v>
      </c>
      <c r="B49" s="37" t="n">
        <v>46154</v>
      </c>
      <c r="C49" s="33" t="inlineStr">
        <is>
          <t>Cyber Attack</t>
        </is>
      </c>
      <c r="D49" s="33" t="inlineStr">
        <is>
          <t>NVIDIA</t>
        </is>
      </c>
      <c r="E49" s="39" t="n">
        <v>1</v>
      </c>
      <c r="F49" s="33" t="inlineStr">
        <is>
          <t>Foxconn cyber incident (outage → ransomware confirmation)</t>
        </is>
      </c>
      <c r="G49" s="33" t="inlineStr">
        <is>
          <t>Complaint</t>
        </is>
      </c>
      <c r="H49" s="33" t="inlineStr">
        <is>
          <t>Missed + Delayed Reporting</t>
        </is>
      </c>
      <c r="I49" s="33" t="inlineStr">
        <is>
          <t>People</t>
        </is>
      </c>
      <c r="J49" s="33" t="inlineStr">
        <is>
          <t>Review</t>
        </is>
      </c>
      <c r="K49" s="33" t="inlineStr">
        <is>
          <t>Improvement</t>
        </is>
      </c>
      <c r="L49" s="33" t="inlineStr">
        <is>
          <t>Fixed</t>
        </is>
      </c>
      <c r="M49" s="33" t="inlineStr">
        <is>
          <t>Escalation automation</t>
        </is>
      </c>
      <c r="N49" s="33" t="inlineStr">
        <is>
          <t>Yes</t>
        </is>
      </c>
      <c r="O49" s="33" t="inlineStr">
        <is>
          <t>Outage should have been reported May 6 but missed; cyber reporting delayed ~6 days. Data Science review ongoing.</t>
        </is>
      </c>
      <c r="P49" s="33" t="inlineStr">
        <is>
          <t>~6 days (May 6 outage → May 12 report)</t>
        </is>
      </c>
      <c r="Q49" s="33" t="inlineStr">
        <is>
          <t>Yes</t>
        </is>
      </c>
      <c r="R49" s="39" t="n">
        <v>5</v>
      </c>
      <c r="S49" s="39" t="n">
        <v>144</v>
      </c>
      <c r="T49" s="35" t="n">
        <v>46143</v>
      </c>
      <c r="U49" s="33" t="inlineStr">
        <is>
          <t>High</t>
        </is>
      </c>
      <c r="V49" s="33" t="inlineStr">
        <is>
          <t>WarRoom &amp; Decision Validation</t>
        </is>
      </c>
      <c r="X49" s="33" t="n"/>
      <c r="Y49" s="33" t="inlineStr">
        <is>
          <t>EventWatch Ops - Nitin Rindhe</t>
        </is>
      </c>
      <c r="Z49" s="37" t="n"/>
    </row>
    <row r="50">
      <c r="A50" s="35" t="n">
        <v>46143</v>
      </c>
      <c r="B50" s="37" t="n">
        <v>46155</v>
      </c>
      <c r="C50" s="33" t="inlineStr">
        <is>
          <t>Supply Shortage</t>
        </is>
      </c>
      <c r="D50" s="33" t="inlineStr">
        <is>
          <t>GM</t>
        </is>
      </c>
      <c r="E50" s="39" t="n">
        <v>1</v>
      </c>
      <c r="F50" s="33" t="inlineStr">
        <is>
          <t>Oakland County Water Main Break</t>
        </is>
      </c>
      <c r="G50" s="33" t="inlineStr">
        <is>
          <t>Complaint</t>
        </is>
      </c>
      <c r="H50" s="33" t="inlineStr">
        <is>
          <t>Delayed Event</t>
        </is>
      </c>
      <c r="I50" s="33" t="inlineStr">
        <is>
          <t>People</t>
        </is>
      </c>
      <c r="J50" s="33" t="inlineStr">
        <is>
          <t>Review</t>
        </is>
      </c>
      <c r="K50" s="33" t="inlineStr">
        <is>
          <t>Improvement</t>
        </is>
      </c>
      <c r="L50" s="33" t="inlineStr">
        <is>
          <t>Fixed</t>
        </is>
      </c>
      <c r="M50" s="33" t="inlineStr">
        <is>
          <t>Escalation automation</t>
        </is>
      </c>
      <c r="N50" s="33" t="inlineStr">
        <is>
          <t>Yes</t>
        </is>
      </c>
      <c r="O50" s="33" t="inlineStr">
        <is>
          <t>Water main break began May 10; WarRoom not until May 12 (~48 hr delay). Escalation judgment lapse; NC raised + coaching.</t>
        </is>
      </c>
      <c r="P50" s="33" t="inlineStr">
        <is>
          <t>~48 hours</t>
        </is>
      </c>
      <c r="Q50" s="33" t="inlineStr">
        <is>
          <t>Yes</t>
        </is>
      </c>
      <c r="R50" s="39" t="n">
        <v>5</v>
      </c>
      <c r="S50" s="39" t="n">
        <v>48</v>
      </c>
      <c r="T50" s="35" t="n">
        <v>46143</v>
      </c>
      <c r="U50" s="33" t="inlineStr">
        <is>
          <t>High</t>
        </is>
      </c>
      <c r="V50" s="33" t="inlineStr">
        <is>
          <t>WarRoom &amp; Decision Validation</t>
        </is>
      </c>
      <c r="X50" s="33" t="n"/>
      <c r="Y50" s="33" t="inlineStr">
        <is>
          <t>EventWatch Ops - Nitin Rindhe</t>
        </is>
      </c>
      <c r="Z50" s="37" t="n"/>
    </row>
    <row r="51">
      <c r="A51" s="35" t="n">
        <v>46143</v>
      </c>
      <c r="B51" s="37" t="n">
        <v>46157</v>
      </c>
      <c r="C51" s="33" t="inlineStr">
        <is>
          <t>Labor Disruption</t>
        </is>
      </c>
      <c r="D51" s="33" t="inlineStr">
        <is>
          <t>Ford</t>
        </is>
      </c>
      <c r="E51" s="39" t="n">
        <v>1</v>
      </c>
      <c r="F51" s="33" t="inlineStr">
        <is>
          <t>Metal sector strike (Pontevedra/Vigo, Galicia)</t>
        </is>
      </c>
      <c r="G51" s="33" t="inlineStr">
        <is>
          <t>Complaint</t>
        </is>
      </c>
      <c r="H51" s="33" t="inlineStr">
        <is>
          <t>Missed Event</t>
        </is>
      </c>
      <c r="I51" s="33" t="inlineStr">
        <is>
          <t>Product</t>
        </is>
      </c>
      <c r="J51" s="33" t="inlineStr">
        <is>
          <t>Source Coverage</t>
        </is>
      </c>
      <c r="K51" s="33" t="inlineStr">
        <is>
          <t>Improvement</t>
        </is>
      </c>
      <c r="L51" s="33" t="inlineStr">
        <is>
          <t>Fixed</t>
        </is>
      </c>
      <c r="M51" s="33" t="inlineStr">
        <is>
          <t>Dynamic Source Discovery</t>
        </is>
      </c>
      <c r="N51" s="33" t="inlineStr">
        <is>
          <t>Yes</t>
        </is>
      </c>
      <c r="O51" s="33" t="inlineStr">
        <is>
          <t>Strike caused total industrial paralysis; sources not monitored. Vendor source request raised.</t>
        </is>
      </c>
      <c r="P51" s="33" t="n"/>
      <c r="Q51" s="33" t="inlineStr">
        <is>
          <t>Yes</t>
        </is>
      </c>
      <c r="R51" s="39" t="n">
        <v>5</v>
      </c>
      <c r="S51" s="39" t="n"/>
      <c r="T51" s="35" t="n">
        <v>46143</v>
      </c>
      <c r="U51" s="33" t="inlineStr">
        <is>
          <t>Medium</t>
        </is>
      </c>
      <c r="V51" s="33" t="inlineStr">
        <is>
          <t>Dynamic Source Discovery</t>
        </is>
      </c>
      <c r="X51" s="33" t="n"/>
      <c r="Y51" s="33" t="inlineStr">
        <is>
          <t>Product &amp; Platform</t>
        </is>
      </c>
      <c r="Z51" s="37" t="n"/>
    </row>
    <row r="52">
      <c r="A52" s="35" t="n">
        <v>46143</v>
      </c>
      <c r="B52" s="37" t="n">
        <v>46157</v>
      </c>
      <c r="C52" s="33" t="inlineStr">
        <is>
          <t>Cyber Attack</t>
        </is>
      </c>
      <c r="D52" s="33" t="inlineStr">
        <is>
          <t>Bombardier</t>
        </is>
      </c>
      <c r="E52" s="39" t="n">
        <v>1</v>
      </c>
      <c r="F52" s="33" t="inlineStr">
        <is>
          <t>STELIA North America ransomware attack</t>
        </is>
      </c>
      <c r="G52" s="33" t="inlineStr">
        <is>
          <t>Complaint</t>
        </is>
      </c>
      <c r="H52" s="33" t="inlineStr">
        <is>
          <t>Missed WarRoom / No notification</t>
        </is>
      </c>
      <c r="I52" s="33" t="inlineStr">
        <is>
          <t>Product</t>
        </is>
      </c>
      <c r="J52" s="33" t="inlineStr">
        <is>
          <t>Source Coverage</t>
        </is>
      </c>
      <c r="K52" s="33" t="inlineStr">
        <is>
          <t>Improvement</t>
        </is>
      </c>
      <c r="L52" s="33" t="inlineStr">
        <is>
          <t>Clarification Provided</t>
        </is>
      </c>
      <c r="M52" s="33" t="inlineStr">
        <is>
          <t>Feed-receipt verification on any source URL raised in an escalation, so an article whose feed never reached the application is identified as an ingestion gap at the point it is queried rather than investigated as a supplier mapping error</t>
        </is>
      </c>
      <c r="N52" s="33" t="inlineStr">
        <is>
          <t>Yes</t>
        </is>
      </c>
      <c r="O52" s="33" t="inlineStr">
        <is>
          <t>STELIA is listed supplier but no WarRoom/notification created. Investigation and portal checks requested.</t>
        </is>
      </c>
      <c r="P52" s="33" t="n"/>
      <c r="Q52" s="33" t="inlineStr">
        <is>
          <t>Yes</t>
        </is>
      </c>
      <c r="R52" s="39" t="n">
        <v>5</v>
      </c>
      <c r="S52" s="39" t="n"/>
      <c r="T52" s="35" t="n">
        <v>46143</v>
      </c>
      <c r="U52" s="33" t="inlineStr">
        <is>
          <t>Medium</t>
        </is>
      </c>
      <c r="V52" s="33" t="inlineStr">
        <is>
          <t>Dynamic Source Discovery</t>
        </is>
      </c>
      <c r="X52" s="33" t="inlineStr">
        <is>
          <t>The URL raised in the escalation was the page URL, not the news source URL, and was the same URL already supplied and analysed earlier. On that analysis the feed associated with that URL had not been received by the application, so the article never entered the portal. Not a supplier mapping gap: STELIA was a listed supplier and the story was never ingested to map against.</t>
        </is>
      </c>
      <c r="Y52" s="33" t="inlineStr">
        <is>
          <t>Product &amp; Platform</t>
        </is>
      </c>
      <c r="Z52" s="37" t="n"/>
    </row>
    <row r="53">
      <c r="A53" s="35" t="n">
        <v>46143</v>
      </c>
      <c r="B53" s="37" t="n">
        <v>46162</v>
      </c>
      <c r="C53" s="33" t="inlineStr">
        <is>
          <t>Supply Shortage</t>
        </is>
      </c>
      <c r="D53" s="33" t="inlineStr">
        <is>
          <t>Eaton</t>
        </is>
      </c>
      <c r="E53" s="39" t="n">
        <v>1</v>
      </c>
      <c r="F53" s="33" t="inlineStr">
        <is>
          <t>"Eggs/Chicken/FMCG" alerts vs. cyber/software supply-chain events</t>
        </is>
      </c>
      <c r="G53" s="33" t="inlineStr">
        <is>
          <t>Complaint</t>
        </is>
      </c>
      <c r="H53" s="33" t="inlineStr">
        <is>
          <t>Wrong Relevancy</t>
        </is>
      </c>
      <c r="I53" s="33" t="inlineStr">
        <is>
          <t>Product</t>
        </is>
      </c>
      <c r="J53" s="33" t="inlineStr">
        <is>
          <t>Relevancy</t>
        </is>
      </c>
      <c r="K53" s="33" t="inlineStr">
        <is>
          <t>Improvement</t>
        </is>
      </c>
      <c r="L53" s="33" t="inlineStr">
        <is>
          <t>Clarification Provided</t>
        </is>
      </c>
      <c r="M53" s="33" t="inlineStr">
        <is>
          <t>Digital vs physical risk threshold consistency review</t>
        </is>
      </c>
      <c r="N53" s="33" t="inlineStr">
        <is>
          <t>Yes</t>
        </is>
      </c>
      <c r="O53" s="33" t="inlineStr">
        <is>
          <t>Customer argued physical commodity alerts irrelevant while software supply-chain risk should be prioritized. Relevancy review initiated.</t>
        </is>
      </c>
      <c r="P53" s="33" t="n"/>
      <c r="Q53" s="33" t="inlineStr">
        <is>
          <t>No</t>
        </is>
      </c>
      <c r="R53" s="39" t="n">
        <v>5</v>
      </c>
      <c r="S53" s="39" t="n"/>
      <c r="T53" s="35" t="n">
        <v>46143</v>
      </c>
      <c r="U53" s="33" t="inlineStr">
        <is>
          <t>Medium</t>
        </is>
      </c>
      <c r="V53" s="33" t="inlineStr">
        <is>
          <t>Other Control Automation</t>
        </is>
      </c>
      <c r="X53" s="33" t="n"/>
      <c r="Y53" s="33" t="inlineStr">
        <is>
          <t>Product &amp; Platform</t>
        </is>
      </c>
      <c r="Z53" s="37" t="n"/>
    </row>
    <row r="54">
      <c r="A54" s="35" t="n">
        <v>46143</v>
      </c>
      <c r="B54" s="37" t="n">
        <v>46162</v>
      </c>
      <c r="C54" s="33" t="inlineStr">
        <is>
          <t>Protest/Riot</t>
        </is>
      </c>
      <c r="D54" s="33" t="inlineStr">
        <is>
          <t>Ford</t>
        </is>
      </c>
      <c r="E54" s="39" t="n">
        <v>1</v>
      </c>
      <c r="F54" s="33" t="inlineStr">
        <is>
          <t>Highway 57 blockade (Querétaro–San Luis Potosí)</t>
        </is>
      </c>
      <c r="G54" s="33" t="inlineStr">
        <is>
          <t>Complaint</t>
        </is>
      </c>
      <c r="H54" s="33" t="inlineStr">
        <is>
          <t>Missed Event</t>
        </is>
      </c>
      <c r="I54" s="33" t="inlineStr">
        <is>
          <t>Product</t>
        </is>
      </c>
      <c r="J54" s="33" t="inlineStr">
        <is>
          <t>Event Identification</t>
        </is>
      </c>
      <c r="K54" s="33" t="inlineStr">
        <is>
          <t>Improvement</t>
        </is>
      </c>
      <c r="L54" s="33" t="inlineStr">
        <is>
          <t>RCA Shared</t>
        </is>
      </c>
      <c r="M54" s="33" t="inlineStr">
        <is>
          <t>Geo-detection enhancement</t>
        </is>
      </c>
      <c r="N54" s="33" t="inlineStr">
        <is>
          <t>Yes</t>
        </is>
      </c>
      <c r="O54" s="33" t="inlineStr">
        <is>
          <t>RCA shared with customer; source coverage + keyword gap identified. Blockade lasted 27+ hours; impacted suppliers in Santa Rosa Jáuregui.</t>
        </is>
      </c>
      <c r="P54" s="33" t="n"/>
      <c r="Q54" s="33" t="inlineStr">
        <is>
          <t>Yes</t>
        </is>
      </c>
      <c r="R54" s="39" t="n">
        <v>5</v>
      </c>
      <c r="S54" s="39" t="n"/>
      <c r="T54" s="35" t="n">
        <v>46143</v>
      </c>
      <c r="U54" s="33" t="inlineStr">
        <is>
          <t>Medium</t>
        </is>
      </c>
      <c r="V54" s="33" t="inlineStr">
        <is>
          <t>AI-Assisted Geofencing</t>
        </is>
      </c>
      <c r="X54" s="33" t="n"/>
      <c r="Y54" s="33" t="inlineStr">
        <is>
          <t>Product &amp; Platform</t>
        </is>
      </c>
      <c r="Z54" s="37" t="n"/>
    </row>
    <row r="55">
      <c r="A55" s="35" t="n">
        <v>46143</v>
      </c>
      <c r="B55" s="37" t="n">
        <v>46162</v>
      </c>
      <c r="C55" s="33" t="inlineStr">
        <is>
          <t>Merger &amp; Acquisition</t>
        </is>
      </c>
      <c r="D55" s="33" t="inlineStr">
        <is>
          <t>NVR</t>
        </is>
      </c>
      <c r="E55" s="39" t="n">
        <v>1</v>
      </c>
      <c r="F55" s="33" t="inlineStr">
        <is>
          <t>SRS Distribution completes acquisition of Mingledorff's</t>
        </is>
      </c>
      <c r="G55" s="33" t="inlineStr">
        <is>
          <t>Complaint</t>
        </is>
      </c>
      <c r="H55" s="33" t="inlineStr">
        <is>
          <t>Delayed / Missing WarRoom</t>
        </is>
      </c>
      <c r="I55" s="33" t="inlineStr">
        <is>
          <t>People</t>
        </is>
      </c>
      <c r="J55" s="33" t="inlineStr">
        <is>
          <t>Prioritization</t>
        </is>
      </c>
      <c r="K55" s="33" t="inlineStr">
        <is>
          <t>Improvement</t>
        </is>
      </c>
      <c r="L55" s="33" t="inlineStr">
        <is>
          <t>Fixed</t>
        </is>
      </c>
      <c r="M55" s="33" t="inlineStr">
        <is>
          <t>Mapping validation</t>
        </is>
      </c>
      <c r="N55" s="33" t="inlineStr">
        <is>
          <t>Yes</t>
        </is>
      </c>
      <c r="O55" s="33" t="inlineStr">
        <is>
          <t>Supplier mapped but WarRoom delayed ~9 days; internal notes mention erosion of trust. RCA requested.</t>
        </is>
      </c>
      <c r="P55" s="33" t="inlineStr">
        <is>
          <t>~9 days (May 11 → May 20)</t>
        </is>
      </c>
      <c r="Q55" s="33" t="inlineStr">
        <is>
          <t>Yes</t>
        </is>
      </c>
      <c r="R55" s="39" t="n">
        <v>5</v>
      </c>
      <c r="S55" s="39" t="n">
        <v>216</v>
      </c>
      <c r="T55" s="35" t="n">
        <v>46143</v>
      </c>
      <c r="U55" s="33" t="inlineStr">
        <is>
          <t>Medium</t>
        </is>
      </c>
      <c r="V55" s="33" t="inlineStr">
        <is>
          <t>Entity &amp; Supplier Resolution</t>
        </is>
      </c>
      <c r="X55" s="33" t="n"/>
      <c r="Y55" s="33" t="inlineStr">
        <is>
          <t>EventWatch Ops - Nitin Rindhe</t>
        </is>
      </c>
      <c r="Z55" s="37" t="n"/>
    </row>
    <row r="56">
      <c r="A56" s="35" t="n">
        <v>46143</v>
      </c>
      <c r="B56" s="37" t="n">
        <v>46163</v>
      </c>
      <c r="C56" s="33" t="inlineStr">
        <is>
          <t>Wildfire</t>
        </is>
      </c>
      <c r="D56" s="33" t="inlineStr">
        <is>
          <t>Collins Aerospace</t>
        </is>
      </c>
      <c r="E56" s="39" t="n">
        <v>1</v>
      </c>
      <c r="F56" s="33" t="inlineStr">
        <is>
          <t>Sandy Fire (Simi Valley, CA)</t>
        </is>
      </c>
      <c r="G56" s="33" t="inlineStr">
        <is>
          <t>Complaint</t>
        </is>
      </c>
      <c r="H56" s="33" t="inlineStr">
        <is>
          <t>Delayed WarRoom</t>
        </is>
      </c>
      <c r="I56" s="33" t="inlineStr">
        <is>
          <t>People</t>
        </is>
      </c>
      <c r="J56" s="33" t="inlineStr">
        <is>
          <t>Prioritization</t>
        </is>
      </c>
      <c r="K56" s="33" t="inlineStr">
        <is>
          <t>Improvement</t>
        </is>
      </c>
      <c r="L56" s="33" t="inlineStr">
        <is>
          <t>Clarification Provided</t>
        </is>
      </c>
      <c r="M56" s="33" t="inlineStr">
        <is>
          <t>Escalation automation</t>
        </is>
      </c>
      <c r="N56" s="33" t="inlineStr">
        <is>
          <t>Yes</t>
        </is>
      </c>
      <c r="O56" s="33" t="inlineStr">
        <is>
          <t>Fire started May 18 11am; WarRoom created May 19 9:30am (~22.5 hr delay). Investigation pending.</t>
        </is>
      </c>
      <c r="P56" s="33" t="inlineStr">
        <is>
          <t>~22.5 hours</t>
        </is>
      </c>
      <c r="Q56" s="33" t="inlineStr">
        <is>
          <t>Yes</t>
        </is>
      </c>
      <c r="R56" s="39" t="n">
        <v>5</v>
      </c>
      <c r="S56" s="39" t="n">
        <v>22.5</v>
      </c>
      <c r="T56" s="35" t="n">
        <v>46143</v>
      </c>
      <c r="U56" s="33" t="inlineStr">
        <is>
          <t>Medium</t>
        </is>
      </c>
      <c r="V56" s="33" t="inlineStr">
        <is>
          <t>WarRoom &amp; Decision Validation</t>
        </is>
      </c>
      <c r="X56" s="33" t="n"/>
      <c r="Y56" s="33" t="inlineStr">
        <is>
          <t>EventWatch Ops - Nitin Rindhe</t>
        </is>
      </c>
      <c r="Z56" s="37" t="n"/>
    </row>
    <row r="57">
      <c r="A57" s="35" t="n">
        <v>46143</v>
      </c>
      <c r="B57" s="37" t="n">
        <v>46163</v>
      </c>
      <c r="C57" s="33" t="inlineStr">
        <is>
          <t>Wildfire</t>
        </is>
      </c>
      <c r="D57" s="33" t="inlineStr">
        <is>
          <t>Collins Aerospace</t>
        </is>
      </c>
      <c r="E57" s="39" t="n">
        <v>1</v>
      </c>
      <c r="F57" s="33" t="inlineStr">
        <is>
          <t>Bain Fire (Jurupa Valley/Riverside, CA)</t>
        </is>
      </c>
      <c r="G57" s="33" t="inlineStr">
        <is>
          <t>Complaint</t>
        </is>
      </c>
      <c r="H57" s="33" t="inlineStr">
        <is>
          <t>Delayed WarRoom</t>
        </is>
      </c>
      <c r="I57" s="33" t="inlineStr">
        <is>
          <t>People</t>
        </is>
      </c>
      <c r="J57" s="33" t="inlineStr">
        <is>
          <t>Prioritization</t>
        </is>
      </c>
      <c r="K57" s="33" t="inlineStr">
        <is>
          <t>Improvement</t>
        </is>
      </c>
      <c r="L57" s="33" t="inlineStr">
        <is>
          <t>Clarification Provided</t>
        </is>
      </c>
      <c r="M57" s="33" t="inlineStr">
        <is>
          <t>Escalation automation</t>
        </is>
      </c>
      <c r="N57" s="33" t="inlineStr">
        <is>
          <t>Yes</t>
        </is>
      </c>
      <c r="O57" s="33" t="inlineStr">
        <is>
          <t>Fire started May 19 11am; WarRoom created next day ~8am (~21 hr delay). Investigation pending.</t>
        </is>
      </c>
      <c r="P57" s="33" t="inlineStr">
        <is>
          <t>~21 hours</t>
        </is>
      </c>
      <c r="Q57" s="33" t="inlineStr">
        <is>
          <t>Yes</t>
        </is>
      </c>
      <c r="R57" s="39" t="n">
        <v>5</v>
      </c>
      <c r="S57" s="39" t="n">
        <v>21</v>
      </c>
      <c r="T57" s="35" t="n">
        <v>46143</v>
      </c>
      <c r="U57" s="33" t="inlineStr">
        <is>
          <t>Medium</t>
        </is>
      </c>
      <c r="V57" s="33" t="inlineStr">
        <is>
          <t>WarRoom &amp; Decision Validation</t>
        </is>
      </c>
      <c r="X57" s="33" t="n"/>
      <c r="Y57" s="33" t="inlineStr">
        <is>
          <t>EventWatch Ops - Nitin Rindhe</t>
        </is>
      </c>
      <c r="Z57" s="37" t="n"/>
    </row>
    <row r="58">
      <c r="A58" s="35" t="n">
        <v>46143</v>
      </c>
      <c r="B58" s="37" t="n">
        <v>46163</v>
      </c>
      <c r="C58" s="33" t="inlineStr">
        <is>
          <t>Financial Distress</t>
        </is>
      </c>
      <c r="D58" s="33" t="inlineStr">
        <is>
          <t>Eaton</t>
        </is>
      </c>
      <c r="E58" s="39" t="n">
        <v>1</v>
      </c>
      <c r="F58" s="33" t="inlineStr">
        <is>
          <t>Otto Bihler Maschinenfabrik in restructuring</t>
        </is>
      </c>
      <c r="G58" s="33" t="inlineStr">
        <is>
          <t>Complaint</t>
        </is>
      </c>
      <c r="H58" s="33" t="inlineStr">
        <is>
          <t>Missed Relevant Event</t>
        </is>
      </c>
      <c r="I58" s="33" t="inlineStr">
        <is>
          <t>Product</t>
        </is>
      </c>
      <c r="J58" s="33" t="inlineStr">
        <is>
          <t>Keyword Update</t>
        </is>
      </c>
      <c r="K58" s="33" t="inlineStr">
        <is>
          <t>Improvement</t>
        </is>
      </c>
      <c r="L58" s="33" t="inlineStr">
        <is>
          <t>Fixed</t>
        </is>
      </c>
      <c r="M58" s="33" t="inlineStr">
        <is>
          <t>Dynamic Source Discovery</t>
        </is>
      </c>
      <c r="N58" s="33" t="inlineStr">
        <is>
          <t>Yes</t>
        </is>
      </c>
      <c r="O58" s="33" t="inlineStr">
        <is>
          <t>Otto Bihler restructuring relevant but not alerted; irrelevant sector alerts received. Feed ingestion investigation raised.</t>
        </is>
      </c>
      <c r="P58" s="33" t="n"/>
      <c r="Q58" s="33" t="inlineStr">
        <is>
          <t>Yes</t>
        </is>
      </c>
      <c r="R58" s="39" t="n">
        <v>5</v>
      </c>
      <c r="S58" s="39" t="n"/>
      <c r="T58" s="35" t="n">
        <v>46143</v>
      </c>
      <c r="U58" s="33" t="inlineStr">
        <is>
          <t>Medium</t>
        </is>
      </c>
      <c r="V58" s="33" t="inlineStr">
        <is>
          <t>Dynamic Source Discovery</t>
        </is>
      </c>
      <c r="X58" s="33" t="n"/>
      <c r="Y58" s="33" t="inlineStr">
        <is>
          <t>Product &amp; Platform</t>
        </is>
      </c>
      <c r="Z58" s="37" t="n"/>
    </row>
    <row r="59" customFormat="1" s="29">
      <c r="A59" s="36" t="n">
        <v>46143</v>
      </c>
      <c r="B59" s="38" t="n">
        <v>46164</v>
      </c>
      <c r="C59" s="34" t="inlineStr">
        <is>
          <t>Wildfire</t>
        </is>
      </c>
      <c r="D59" s="34" t="inlineStr">
        <is>
          <t>Ford</t>
        </is>
      </c>
      <c r="E59" s="40" t="n">
        <v>1</v>
      </c>
      <c r="F59" s="34" t="inlineStr">
        <is>
          <t>Supplier Impact Mapping Clarification – Sandy Fire (Simi Valley, California, USA)</t>
        </is>
      </c>
      <c r="G59" s="34" t="inlineStr">
        <is>
          <t>Inquiry</t>
        </is>
      </c>
      <c r="H59" s="34" t="inlineStr">
        <is>
          <t>Supplier Impact Mapping Clarification</t>
        </is>
      </c>
      <c r="I59" s="34" t="inlineStr">
        <is>
          <t>Process</t>
        </is>
      </c>
      <c r="J59" s="34" t="inlineStr">
        <is>
          <t>Mapping</t>
        </is>
      </c>
      <c r="K59" s="34" t="inlineStr">
        <is>
          <t>Improvement</t>
        </is>
      </c>
      <c r="L59" s="34" t="inlineStr">
        <is>
          <t>Clarification Provided</t>
        </is>
      </c>
      <c r="M59" s="34" t="inlineStr">
        <is>
          <t>Geofencing validation enhancement</t>
        </is>
      </c>
      <c r="N59" s="34" t="inlineStr">
        <is>
          <t>Yes</t>
        </is>
      </c>
      <c r="O59" s="34" t="inlineStr">
        <is>
          <t>Customer questioned why Helium Leak Testing Inc. was mapped as impacted while Meggitt Safety Systems and Pacific Scientific were not mapped. Investigation confirmed no publicly reported evacuations, shutdowns, or operational disruptions for the Royal Ave and Voyager Ave industrial corridors. Helium Leak Testing Inc. remained within the WarRoom because the impact area had previously been expanded based on broader regional effects including wildfire smoke, reduced visibility, and air quality concerns. Geofencing methodology, supplier mapping logic, and future AI-assisted impact polygon improvements were explained to the customer.</t>
        </is>
      </c>
      <c r="P59" s="34" t="inlineStr">
        <is>
          <t>~22.5 hours</t>
        </is>
      </c>
      <c r="Q59" s="34" t="inlineStr">
        <is>
          <t>No</t>
        </is>
      </c>
      <c r="R59" s="40" t="n">
        <v>5</v>
      </c>
      <c r="S59" s="40" t="n">
        <v>22.5</v>
      </c>
      <c r="T59" s="36" t="n">
        <v>46143</v>
      </c>
      <c r="U59" s="34" t="inlineStr">
        <is>
          <t>Low</t>
        </is>
      </c>
      <c r="V59" s="34" t="inlineStr">
        <is>
          <t>AI-Assisted Geofencing</t>
        </is>
      </c>
      <c r="X59" s="33" t="n"/>
      <c r="Y59" s="33" t="inlineStr">
        <is>
          <t>EventWatch Ops - Nitin Rindhe</t>
        </is>
      </c>
      <c r="Z59" s="37" t="n"/>
    </row>
    <row r="60">
      <c r="A60" s="35" t="n">
        <v>46174</v>
      </c>
      <c r="B60" s="37" t="n">
        <v>46176</v>
      </c>
      <c r="C60" s="33" t="inlineStr">
        <is>
          <t>Bankruptcy</t>
        </is>
      </c>
      <c r="D60" s="33" t="inlineStr">
        <is>
          <t>Ford</t>
        </is>
      </c>
      <c r="E60" s="39" t="n">
        <v>1</v>
      </c>
      <c r="F60" s="33" t="inlineStr">
        <is>
          <t>CROMTRYCK s.r.o. Insolvency (Czech Republic)</t>
        </is>
      </c>
      <c r="G60" s="33" t="inlineStr">
        <is>
          <t>Complaint</t>
        </is>
      </c>
      <c r="H60" s="33" t="inlineStr">
        <is>
          <t>Missed Event</t>
        </is>
      </c>
      <c r="I60" s="33" t="inlineStr">
        <is>
          <t>Product</t>
        </is>
      </c>
      <c r="J60" s="33" t="inlineStr">
        <is>
          <t>Source Coverage</t>
        </is>
      </c>
      <c r="K60" s="33" t="inlineStr">
        <is>
          <t>Improvement</t>
        </is>
      </c>
      <c r="L60" s="33" t="inlineStr">
        <is>
          <t>Fixed</t>
        </is>
      </c>
      <c r="M60" s="33" t="inlineStr">
        <is>
          <t>Dynamic Source Discovery</t>
        </is>
      </c>
      <c r="N60" s="33" t="inlineStr">
        <is>
          <t>Yes</t>
        </is>
      </c>
      <c r="O60" s="33" t="inlineStr">
        <is>
          <t>Missed insolvency event due to regional insolvency source coverage limitations and restricted/paywalled source visibility. Vendor source expansion requested.</t>
        </is>
      </c>
      <c r="P60" s="33" t="n"/>
      <c r="Q60" s="33" t="inlineStr">
        <is>
          <t>Yes</t>
        </is>
      </c>
      <c r="R60" s="39" t="n">
        <v>6</v>
      </c>
      <c r="S60" s="39" t="n"/>
      <c r="T60" s="35" t="n">
        <v>46174</v>
      </c>
      <c r="U60" s="33" t="inlineStr">
        <is>
          <t>Medium</t>
        </is>
      </c>
      <c r="V60" s="33" t="inlineStr">
        <is>
          <t>Dynamic Source Discovery</t>
        </is>
      </c>
      <c r="X60" s="33" t="n"/>
      <c r="Y60" s="33" t="inlineStr">
        <is>
          <t>Product &amp; Platform</t>
        </is>
      </c>
      <c r="Z60" s="37" t="n"/>
    </row>
    <row r="61">
      <c r="A61" s="35" t="n">
        <v>46174</v>
      </c>
      <c r="B61" s="37" t="n">
        <v>46177</v>
      </c>
      <c r="C61" s="33" t="inlineStr">
        <is>
          <t>Protest/Riot</t>
        </is>
      </c>
      <c r="D61" s="34" t="inlineStr">
        <is>
          <t>Ford</t>
        </is>
      </c>
      <c r="E61" s="39" t="n">
        <v>1</v>
      </c>
      <c r="F61" s="33" t="inlineStr">
        <is>
          <t>ANTAC Transport Blockades in Mexico</t>
        </is>
      </c>
      <c r="G61" s="33" t="inlineStr">
        <is>
          <t>Complaint</t>
        </is>
      </c>
      <c r="H61" s="33" t="inlineStr">
        <is>
          <t>Missed Event</t>
        </is>
      </c>
      <c r="I61" s="33" t="inlineStr">
        <is>
          <t>Product</t>
        </is>
      </c>
      <c r="J61" s="33" t="inlineStr">
        <is>
          <t>Keyword Update</t>
        </is>
      </c>
      <c r="K61" s="33" t="inlineStr">
        <is>
          <t>Improvement</t>
        </is>
      </c>
      <c r="L61" s="33" t="inlineStr">
        <is>
          <t>RCA Shared</t>
        </is>
      </c>
      <c r="M61" s="33" t="inlineStr">
        <is>
          <t>Dynamic Source Discovery</t>
        </is>
      </c>
      <c r="N61" s="33" t="inlineStr">
        <is>
          <t>Yes</t>
        </is>
      </c>
      <c r="O61" s="33" t="inlineStr">
        <is>
          <t>RCA completed; keyword gap identified and corrective actions implemented. Spanish-language detection logic did not recognize transportation disruption and protest terminology. Relevant keywords were added.</t>
        </is>
      </c>
      <c r="P61" s="33" t="n"/>
      <c r="Q61" s="33" t="inlineStr">
        <is>
          <t>Yes</t>
        </is>
      </c>
      <c r="R61" s="39" t="n">
        <v>6</v>
      </c>
      <c r="S61" s="39" t="n"/>
      <c r="T61" s="35" t="n">
        <v>46174</v>
      </c>
      <c r="U61" s="33" t="inlineStr">
        <is>
          <t>Medium</t>
        </is>
      </c>
      <c r="V61" s="33" t="inlineStr">
        <is>
          <t>Multilingual Keyword Expansion</t>
        </is>
      </c>
      <c r="X61" s="33" t="n"/>
      <c r="Y61" s="33" t="inlineStr">
        <is>
          <t>Product &amp; Platform</t>
        </is>
      </c>
      <c r="Z61" s="37" t="n"/>
    </row>
    <row r="62">
      <c r="A62" s="35" t="n">
        <v>46174</v>
      </c>
      <c r="B62" s="37" t="n">
        <v>46178</v>
      </c>
      <c r="C62" s="33" t="inlineStr">
        <is>
          <t>Factory Disruption</t>
        </is>
      </c>
      <c r="D62" s="33" t="inlineStr">
        <is>
          <t>Eaton</t>
        </is>
      </c>
      <c r="E62" s="39" t="n">
        <v>1</v>
      </c>
      <c r="F62" s="33" t="inlineStr">
        <is>
          <t>Burnstein von Seelen Precision Casting Operational Disruption</t>
        </is>
      </c>
      <c r="G62" s="33" t="inlineStr">
        <is>
          <t>Complaint</t>
        </is>
      </c>
      <c r="H62" s="33" t="inlineStr">
        <is>
          <t>Missed Event</t>
        </is>
      </c>
      <c r="I62" s="33" t="inlineStr">
        <is>
          <t>People</t>
        </is>
      </c>
      <c r="J62" s="33" t="inlineStr">
        <is>
          <t>Review</t>
        </is>
      </c>
      <c r="K62" s="33" t="inlineStr">
        <is>
          <t>Improvement</t>
        </is>
      </c>
      <c r="L62" s="33" t="inlineStr">
        <is>
          <t>RCA Shared</t>
        </is>
      </c>
      <c r="M62" s="33" t="inlineStr">
        <is>
          <t>Supplier-aware escalation model + Not Impactful override validation</t>
        </is>
      </c>
      <c r="N62" s="33" t="inlineStr">
        <is>
          <t>Yes</t>
        </is>
      </c>
      <c r="O62" s="33" t="inlineStr">
        <is>
          <t>RCA shared; analyst classified event as Not Impactful. Event was successfully received and reviewed but incorrectly classified and therefore not escalated.</t>
        </is>
      </c>
      <c r="P62" s="33" t="n"/>
      <c r="Q62" s="33" t="inlineStr">
        <is>
          <t>Yes</t>
        </is>
      </c>
      <c r="R62" s="39" t="n">
        <v>6</v>
      </c>
      <c r="S62" s="39" t="n"/>
      <c r="T62" s="35" t="n">
        <v>46174</v>
      </c>
      <c r="U62" s="33" t="inlineStr">
        <is>
          <t>Medium</t>
        </is>
      </c>
      <c r="V62" s="33" t="inlineStr">
        <is>
          <t>WarRoom &amp; Decision Validation</t>
        </is>
      </c>
      <c r="W62" s="33" t="inlineStr">
        <is>
          <t>EAO-1</t>
        </is>
      </c>
      <c r="X62" s="33" t="inlineStr">
        <is>
          <t>Articles on the Burnstein von Seelen disruption did reach the portal, but the analyst classified the event Not Impactful and did not escalate it, so it never reached WarRoom consideration. Corrective: analyst coaching on law-enforcement, regulatory and workforce disruptions, plus an internal non-conformance raised against the reporting workflow. Preventive: extra review controls before a Not Impactful call on a monitored supplier, stronger supplier-context visibility during review, expanded audits of analyst overrides, and AI-assisted relevance work with Product/Data Science.</t>
        </is>
      </c>
      <c r="Y62" s="33" t="inlineStr">
        <is>
          <t>EventWatch Ops - Nitin Rindhe</t>
        </is>
      </c>
      <c r="Z62" s="37" t="n">
        <v>46181</v>
      </c>
    </row>
    <row r="63">
      <c r="A63" s="35" t="n">
        <v>46174</v>
      </c>
      <c r="B63" s="37" t="n">
        <v>46183</v>
      </c>
      <c r="C63" s="33" t="inlineStr">
        <is>
          <t>Merger &amp; Acquisition</t>
        </is>
      </c>
      <c r="D63" s="33" t="inlineStr">
        <is>
          <t>Ford</t>
        </is>
      </c>
      <c r="E63" s="39" t="n">
        <v>1</v>
      </c>
      <c r="F63" s="33" t="inlineStr">
        <is>
          <t>Credit Suisse / UBS Acquisition Alert Missing from EventWatch News Dashboard (Ford)</t>
        </is>
      </c>
      <c r="G63" s="33" t="inlineStr">
        <is>
          <t>Complaint</t>
        </is>
      </c>
      <c r="H63" s="33" t="inlineStr">
        <is>
          <t>News dashboard visibility gap</t>
        </is>
      </c>
      <c r="I63" s="33" t="inlineStr">
        <is>
          <t>Product</t>
        </is>
      </c>
      <c r="J63" s="33" t="inlineStr">
        <is>
          <t>Visibility</t>
        </is>
      </c>
      <c r="K63" s="33" t="inlineStr">
        <is>
          <t>Improvement</t>
        </is>
      </c>
      <c r="L63" s="33" t="inlineStr">
        <is>
          <t>Fixed</t>
        </is>
      </c>
      <c r="M63" s="33" t="inlineStr">
        <is>
          <t>Parity checking between Global Search and the EventWatch News Dashboard so a published alert cannot be findable in one and absent from the other</t>
        </is>
      </c>
      <c r="N63" s="33" t="inlineStr">
        <is>
          <t>No</t>
        </is>
      </c>
      <c r="O63" s="33" t="inlineStr">
        <is>
          <t>From Jira CAN-3377 (Resolved). The 'Credit Suisse to be Acquired by UBS Group' alert and all 14 of its updates were absent from Ford's EventWatch News Dashboard, and keyword searches there returned No Data Available. The same alert was returned normally by Global Search, so the content existed and only the dashboard view was affected.</t>
        </is>
      </c>
      <c r="P63" s="33" t="n"/>
      <c r="Q63" s="33" t="inlineStr">
        <is>
          <t>No</t>
        </is>
      </c>
      <c r="R63" s="39" t="n">
        <v>6</v>
      </c>
      <c r="S63" s="39" t="n"/>
      <c r="T63" s="35" t="inlineStr">
        <is>
          <t>Jun 2026</t>
        </is>
      </c>
      <c r="U63" s="33" t="inlineStr">
        <is>
          <t>Medium</t>
        </is>
      </c>
      <c r="V63" s="33" t="inlineStr">
        <is>
          <t>Notification Visibility Monitoring</t>
        </is>
      </c>
      <c r="W63" s="33" t="inlineStr">
        <is>
          <t>CAN-3377</t>
        </is>
      </c>
      <c r="X63" s="33" t="inlineStr">
        <is>
          <t>The ticket carries no root-cause statement. It sat unprioritised by the Transformation team through July with no committed date, was picked up later that month, and the fix was verified on Azure staging on 28-Jul-2026 as working as expected and marked resolved. What was wrong and what was changed are not recorded on the ticket.</t>
        </is>
      </c>
      <c r="Y63" s="33" t="inlineStr">
        <is>
          <t>Product &amp; Platform</t>
        </is>
      </c>
      <c r="Z63" s="37" t="n"/>
    </row>
    <row r="64">
      <c r="A64" s="35" t="n">
        <v>46174</v>
      </c>
      <c r="B64" s="37" t="n">
        <v>46188</v>
      </c>
      <c r="C64" s="33" t="inlineStr">
        <is>
          <t>Chemical Spill</t>
        </is>
      </c>
      <c r="D64" s="33" t="inlineStr">
        <is>
          <t>Eaton</t>
        </is>
      </c>
      <c r="E64" s="39" t="n">
        <v>1</v>
      </c>
      <c r="F64" s="33" t="inlineStr">
        <is>
          <t>CO₂ Leak at Schaeffler India Plant, Pune</t>
        </is>
      </c>
      <c r="G64" s="33" t="inlineStr">
        <is>
          <t>Complaint</t>
        </is>
      </c>
      <c r="H64" s="33" t="inlineStr">
        <is>
          <t>Missed Event</t>
        </is>
      </c>
      <c r="I64" s="33" t="inlineStr">
        <is>
          <t>Product</t>
        </is>
      </c>
      <c r="J64" s="33" t="inlineStr">
        <is>
          <t>Event Identification</t>
        </is>
      </c>
      <c r="K64" s="33" t="inlineStr">
        <is>
          <t>Improvement</t>
        </is>
      </c>
      <c r="L64" s="33" t="inlineStr">
        <is>
          <t>RCA Shared</t>
        </is>
      </c>
      <c r="M64" s="33" t="inlineStr">
        <is>
          <t>Hazardous gas leak detection + mapped supplier escalation model</t>
        </is>
      </c>
      <c r="N64" s="33" t="inlineStr">
        <is>
          <t>Yes</t>
        </is>
      </c>
      <c r="O64" s="33" t="inlineStr">
        <is>
          <t>RCA document prepared and shared with customer. Customer reported missing EventWatch coverage related to a CO₂ leak involving fatalities at a mapped supplier facility.</t>
        </is>
      </c>
      <c r="P64" s="33" t="n"/>
      <c r="Q64" s="33" t="inlineStr">
        <is>
          <t>Yes</t>
        </is>
      </c>
      <c r="R64" s="39" t="n">
        <v>6</v>
      </c>
      <c r="S64" s="39" t="n"/>
      <c r="T64" s="35" t="n">
        <v>46174</v>
      </c>
      <c r="U64" s="33" t="inlineStr">
        <is>
          <t>Medium</t>
        </is>
      </c>
      <c r="V64" s="33" t="inlineStr">
        <is>
          <t>WarRoom &amp; Decision Validation</t>
        </is>
      </c>
      <c r="W64" s="33" t="inlineStr">
        <is>
          <t>EAO-4</t>
        </is>
      </c>
      <c r="X64" s="33" t="inlineStr">
        <is>
          <t>RCA approved and sent to the customer on 15-Jun-2026 as a PDF attached to EAO-4; the document text is not in the ticket.</t>
        </is>
      </c>
      <c r="Y64" s="33" t="inlineStr">
        <is>
          <t>Product &amp; Platform</t>
        </is>
      </c>
      <c r="Z64" s="37" t="n">
        <v>46191</v>
      </c>
    </row>
    <row r="65">
      <c r="A65" s="35" t="n">
        <v>46174</v>
      </c>
      <c r="B65" s="37" t="n">
        <v>46188</v>
      </c>
      <c r="C65" s="33" t="inlineStr">
        <is>
          <t>Supply Shortage</t>
        </is>
      </c>
      <c r="D65" s="33" t="inlineStr">
        <is>
          <t>Belden Inc</t>
        </is>
      </c>
      <c r="E65" s="39" t="n">
        <v>1</v>
      </c>
      <c r="F65" s="33" t="inlineStr">
        <is>
          <t>MLCC Supply Chain Alert Related to AI Demand Growth</t>
        </is>
      </c>
      <c r="G65" s="33" t="inlineStr">
        <is>
          <t>Inquiry</t>
        </is>
      </c>
      <c r="H65" s="33" t="inlineStr">
        <is>
          <t>Coverage Verification Request</t>
        </is>
      </c>
      <c r="I65" s="33" t="inlineStr">
        <is>
          <t>Process</t>
        </is>
      </c>
      <c r="J65" s="33" t="inlineStr">
        <is>
          <t>Process Clarification</t>
        </is>
      </c>
      <c r="K65" s="33" t="inlineStr">
        <is>
          <t>Improvement</t>
        </is>
      </c>
      <c r="L65" s="33" t="inlineStr">
        <is>
          <t>Clarification Provided</t>
        </is>
      </c>
      <c r="M65" s="33" t="inlineStr">
        <is>
          <t>Forecast vs Event differentiation</t>
        </is>
      </c>
      <c r="N65" s="33" t="inlineStr">
        <is>
          <t>No</t>
        </is>
      </c>
      <c r="O65" s="33" t="inlineStr">
        <is>
          <t>Article was an investment and market outlook discussing future MLCC demand and did not meet EventWatch reporting thresholds.</t>
        </is>
      </c>
      <c r="P65" s="33" t="n"/>
      <c r="Q65" s="33" t="inlineStr">
        <is>
          <t>No</t>
        </is>
      </c>
      <c r="R65" s="39" t="n">
        <v>6</v>
      </c>
      <c r="S65" s="39" t="n"/>
      <c r="T65" s="35" t="n">
        <v>46174</v>
      </c>
      <c r="U65" s="33" t="inlineStr">
        <is>
          <t>Medium</t>
        </is>
      </c>
      <c r="V65" s="33" t="inlineStr">
        <is>
          <t>Other Control Automation</t>
        </is>
      </c>
      <c r="W65" s="33" t="inlineStr">
        <is>
          <t>EAO-8</t>
        </is>
      </c>
      <c r="X65" s="33" t="inlineStr">
        <is>
          <t>Not an event under the reporting criteria. The article was a financial and market outlook on future demand and investment opportunity in the AI supply chain. It highlights potential growth in MLCC demand but identifies no actual supply chain risk or disruption, and an investment outlook rather than a report of a disruption does not meet the EventWatch Threshold criteria.</t>
        </is>
      </c>
      <c r="Y65" s="33" t="inlineStr">
        <is>
          <t>EventWatch Ops - Nitin Rindhe</t>
        </is>
      </c>
      <c r="Z65" s="37" t="n">
        <v>46202</v>
      </c>
    </row>
    <row r="66">
      <c r="A66" s="35" t="n">
        <v>46174</v>
      </c>
      <c r="B66" s="37" t="n">
        <v>46196</v>
      </c>
      <c r="C66" s="33" t="inlineStr">
        <is>
          <t>Merger &amp; Acquisition</t>
        </is>
      </c>
      <c r="D66" s="33" t="inlineStr">
        <is>
          <t>Caterpillar</t>
        </is>
      </c>
      <c r="E66" s="39" t="n">
        <v>1</v>
      </c>
      <c r="F66" s="33" t="inlineStr">
        <is>
          <t>Dana Incorporated to Merge with Eaton's Mobility Business</t>
        </is>
      </c>
      <c r="G66" s="33" t="inlineStr">
        <is>
          <t>Complaint</t>
        </is>
      </c>
      <c r="H66" s="33" t="inlineStr">
        <is>
          <t>Impacted Supplier Missing</t>
        </is>
      </c>
      <c r="I66" s="33" t="inlineStr">
        <is>
          <t>People</t>
        </is>
      </c>
      <c r="J66" s="33" t="inlineStr">
        <is>
          <t>Mapping</t>
        </is>
      </c>
      <c r="K66" s="33" t="inlineStr">
        <is>
          <t>Improvement</t>
        </is>
      </c>
      <c r="L66" s="33" t="inlineStr">
        <is>
          <t>RCA Shared</t>
        </is>
      </c>
      <c r="M66" s="33" t="inlineStr">
        <is>
          <t>Supplier relationship validation + impacted entity completeness checks</t>
        </is>
      </c>
      <c r="N66" s="33" t="inlineStr">
        <is>
          <t>Yes</t>
        </is>
      </c>
      <c r="O66" s="33" t="inlineStr">
        <is>
          <t>Customer-facing RCA requested and RCA document prepared. Dana Holding Corporation was not included in impacted supplier selection during initial WarRoom creation and was subsequently added.</t>
        </is>
      </c>
      <c r="P66" s="33" t="n"/>
      <c r="Q66" s="33" t="inlineStr">
        <is>
          <t>No</t>
        </is>
      </c>
      <c r="R66" s="39" t="n">
        <v>6</v>
      </c>
      <c r="S66" s="39" t="n"/>
      <c r="T66" s="35" t="n">
        <v>46174</v>
      </c>
      <c r="U66" s="33" t="inlineStr">
        <is>
          <t>Medium</t>
        </is>
      </c>
      <c r="V66" s="33" t="inlineStr">
        <is>
          <t>Entity &amp; Supplier Resolution</t>
        </is>
      </c>
      <c r="W66" s="33" t="inlineStr">
        <is>
          <t>EAO-6</t>
        </is>
      </c>
      <c r="X66" s="33" t="inlineStr">
        <is>
          <t>The primary transaction participants were identified correctly, but Dana Holdings was omitted during the initial review of related corporate entities and supplier relationships; a WarRoom update was issued to add it. Preventive: mandatory secondary review for impacted-supplier assessments involving mergers, acquisitions, restructurings and other multi-entity transactions. RCA shared 13-Jul-2026.</t>
        </is>
      </c>
      <c r="Y66" s="33" t="inlineStr">
        <is>
          <t>EventWatch Ops - Nitin Rindhe</t>
        </is>
      </c>
      <c r="Z66" s="37" t="n">
        <v>46217</v>
      </c>
    </row>
    <row r="67">
      <c r="A67" s="35" t="n">
        <v>46174</v>
      </c>
      <c r="B67" s="37" t="n">
        <v>46196</v>
      </c>
      <c r="C67" s="33" t="inlineStr">
        <is>
          <t>Geopolitical</t>
        </is>
      </c>
      <c r="D67" s="33" t="inlineStr">
        <is>
          <t>Western Digital</t>
        </is>
      </c>
      <c r="E67" s="39" t="n">
        <v>1</v>
      </c>
      <c r="F67" s="33" t="inlineStr">
        <is>
          <t>Inquiry on Route Disruption – Sepone Bridge, Laos</t>
        </is>
      </c>
      <c r="G67" s="33" t="inlineStr">
        <is>
          <t>Inquiry</t>
        </is>
      </c>
      <c r="H67" s="33" t="inlineStr">
        <is>
          <t>Customer Requested Verification</t>
        </is>
      </c>
      <c r="I67" s="33" t="inlineStr">
        <is>
          <t>Process</t>
        </is>
      </c>
      <c r="J67" s="33" t="inlineStr">
        <is>
          <t>Process Clarification</t>
        </is>
      </c>
      <c r="K67" s="33" t="inlineStr">
        <is>
          <t>Improvement</t>
        </is>
      </c>
      <c r="L67" s="33" t="inlineStr">
        <is>
          <t>Clarification Provided</t>
        </is>
      </c>
      <c r="M67" s="33" t="inlineStr">
        <is>
          <t>Route-risk monitoring enhancement</t>
        </is>
      </c>
      <c r="N67" s="33" t="inlineStr">
        <is>
          <t>No</t>
        </is>
      </c>
      <c r="O67" s="33" t="inlineStr">
        <is>
          <t>Review of English and local-language sources did not identify any verified disruption, closure, or logistic impact.</t>
        </is>
      </c>
      <c r="P67" s="33" t="n"/>
      <c r="Q67" s="33" t="inlineStr">
        <is>
          <t>No</t>
        </is>
      </c>
      <c r="R67" s="39" t="n">
        <v>6</v>
      </c>
      <c r="S67" s="39" t="n"/>
      <c r="T67" s="35" t="n">
        <v>46174</v>
      </c>
      <c r="U67" s="33" t="inlineStr">
        <is>
          <t>Medium</t>
        </is>
      </c>
      <c r="V67" s="33" t="inlineStr">
        <is>
          <t>Other Control Automation</t>
        </is>
      </c>
      <c r="W67" s="33" t="inlineStr">
        <is>
          <t>EAO-7</t>
        </is>
      </c>
      <c r="X67" s="33" t="inlineStr">
        <is>
          <t>No public source existed to report from. A review of publicly available sources, covering English as well as Lao and regional local-language coverage, found no official confirmation from government authorities, logistics providers or credible media of a bridge closure, restriction or disruption to freight movement near Sepone in Savannakhet Province, and no verified reports of impact to trucking operations or access to the Savannakhet ICD. The customer was asked to share any specific article or source they held so it could be reviewed.</t>
        </is>
      </c>
      <c r="Y67" s="33" t="inlineStr">
        <is>
          <t>EventWatch Ops - Nitin Rindhe</t>
        </is>
      </c>
      <c r="Z67" s="37" t="n">
        <v>46198</v>
      </c>
    </row>
    <row r="68">
      <c r="A68" s="35" t="n">
        <v>46174</v>
      </c>
      <c r="B68" s="37" t="n">
        <v>46197</v>
      </c>
      <c r="C68" s="33" t="inlineStr">
        <is>
          <t>Cyber Attack</t>
        </is>
      </c>
      <c r="D68" s="33" t="inlineStr">
        <is>
          <t>Western Digital</t>
        </is>
      </c>
      <c r="E68" s="39" t="n">
        <v>1</v>
      </c>
      <c r="F68" s="33" t="inlineStr">
        <is>
          <t>Nidec Chaun Choung Technology Suffers Ransomware Attack</t>
        </is>
      </c>
      <c r="G68" s="33" t="inlineStr">
        <is>
          <t>Complaint</t>
        </is>
      </c>
      <c r="H68" s="33" t="inlineStr">
        <is>
          <t>Missed Event</t>
        </is>
      </c>
      <c r="I68" s="33" t="inlineStr">
        <is>
          <t>People</t>
        </is>
      </c>
      <c r="J68" s="33" t="inlineStr">
        <is>
          <t>Review</t>
        </is>
      </c>
      <c r="K68" s="33" t="inlineStr">
        <is>
          <t>Improvement</t>
        </is>
      </c>
      <c r="L68" s="33" t="inlineStr">
        <is>
          <t>RCA Shared</t>
        </is>
      </c>
      <c r="M68" s="33" t="inlineStr">
        <is>
          <t>Supplier-aware cyber incident escalation model</t>
        </is>
      </c>
      <c r="N68" s="33" t="inlineStr">
        <is>
          <t>Yes</t>
        </is>
      </c>
      <c r="O68" s="33" t="inlineStr">
        <is>
          <t>RCA prepared; analyst impact-assessment failure identified. Event was captured successfully but incorrectly assessed as Not Impactful during analyst review and therefore not escalated.</t>
        </is>
      </c>
      <c r="P68" s="33" t="n"/>
      <c r="Q68" s="33" t="inlineStr">
        <is>
          <t>Yes</t>
        </is>
      </c>
      <c r="R68" s="39" t="n">
        <v>6</v>
      </c>
      <c r="S68" s="39" t="n"/>
      <c r="T68" s="35" t="n">
        <v>46174</v>
      </c>
      <c r="U68" s="33" t="inlineStr">
        <is>
          <t>Medium</t>
        </is>
      </c>
      <c r="V68" s="33" t="inlineStr">
        <is>
          <t>WarRoom &amp; Decision Validation</t>
        </is>
      </c>
      <c r="W68" s="33" t="inlineStr">
        <is>
          <t>EAO-10</t>
        </is>
      </c>
      <c r="X68" s="33" t="inlineStr">
        <is>
          <t>RCA reviewed and sent to the customer as a PDF attached to EAO-10 (29-Jun-2026); the document text is not in the ticket.</t>
        </is>
      </c>
      <c r="Y68" s="33" t="inlineStr">
        <is>
          <t>EventWatch Ops - Nitin Rindhe</t>
        </is>
      </c>
      <c r="Z68" s="37" t="n">
        <v>46202</v>
      </c>
    </row>
    <row r="69">
      <c r="A69" s="35" t="n">
        <v>46174</v>
      </c>
      <c r="B69" s="37" t="n">
        <v>46198</v>
      </c>
      <c r="C69" s="33" t="inlineStr">
        <is>
          <t>Factory Fire</t>
        </is>
      </c>
      <c r="D69" s="33" t="inlineStr">
        <is>
          <t>Caterpillar</t>
        </is>
      </c>
      <c r="E69" s="39" t="n">
        <v>1</v>
      </c>
      <c r="F69" s="33" t="inlineStr">
        <is>
          <t>Fire at the Isselguss GmbH Facility in Isselburg, Germany</t>
        </is>
      </c>
      <c r="G69" s="33" t="inlineStr">
        <is>
          <t>Complaint</t>
        </is>
      </c>
      <c r="H69" s="33" t="inlineStr">
        <is>
          <t>Missed Event</t>
        </is>
      </c>
      <c r="I69" s="33" t="inlineStr">
        <is>
          <t>Product</t>
        </is>
      </c>
      <c r="J69" s="33" t="inlineStr">
        <is>
          <t>Event Identification</t>
        </is>
      </c>
      <c r="K69" s="33" t="inlineStr">
        <is>
          <t>Improvement</t>
        </is>
      </c>
      <c r="L69" s="33" t="inlineStr">
        <is>
          <t>RCA Shared</t>
        </is>
      </c>
      <c r="M69" s="33" t="inlineStr">
        <is>
          <t>Entity-location-aware clustering + cluster separation validation</t>
        </is>
      </c>
      <c r="N69" s="33" t="inlineStr">
        <is>
          <t>Yes</t>
        </is>
      </c>
      <c r="O69" s="33" t="inlineStr">
        <is>
          <t>RCA PDF prepared and approved for customer sharing. Event was captured by feeds but incorrectly clustered with another unrelated factory fire in Germany, preventing separate WarRoom creation.</t>
        </is>
      </c>
      <c r="P69" s="33" t="n"/>
      <c r="Q69" s="33" t="inlineStr">
        <is>
          <t>Yes</t>
        </is>
      </c>
      <c r="R69" s="39" t="n">
        <v>6</v>
      </c>
      <c r="S69" s="39" t="n"/>
      <c r="T69" s="35" t="n">
        <v>46174</v>
      </c>
      <c r="U69" s="33" t="inlineStr">
        <is>
          <t>Medium</t>
        </is>
      </c>
      <c r="V69" s="33" t="inlineStr">
        <is>
          <t>Entity &amp; Supplier Resolution</t>
        </is>
      </c>
      <c r="W69" s="33" t="inlineStr">
        <is>
          <t>EAO-9</t>
        </is>
      </c>
      <c r="X69" s="33" t="inlineStr">
        <is>
          <t>RCA approved and sent to the customer on 25-Jun-2026 as a PDF attached to EAO-9; the document text is not in the ticket. The WarRoom itself was published before the RCA was issued.</t>
        </is>
      </c>
      <c r="Y69" s="33" t="inlineStr">
        <is>
          <t>Product &amp; Platform</t>
        </is>
      </c>
      <c r="Z69" s="37" t="n">
        <v>46202</v>
      </c>
    </row>
    <row r="70">
      <c r="A70" s="35" t="n">
        <v>46174</v>
      </c>
      <c r="B70" s="37" t="n">
        <v>46199</v>
      </c>
      <c r="C70" s="33" t="inlineStr">
        <is>
          <t>Extreme Weather</t>
        </is>
      </c>
      <c r="D70" s="33" t="inlineStr">
        <is>
          <t>Woodward</t>
        </is>
      </c>
      <c r="E70" s="39" t="n">
        <v>1</v>
      </c>
      <c r="F70" s="33" t="inlineStr">
        <is>
          <t>Severe Storms Trigger Disruptions Across the Midwest USA – Geographic Misclassification</t>
        </is>
      </c>
      <c r="G70" s="33" t="inlineStr">
        <is>
          <t>Complaint</t>
        </is>
      </c>
      <c r="H70" s="33" t="inlineStr">
        <is>
          <t>Geographic Misclassification</t>
        </is>
      </c>
      <c r="I70" s="33" t="inlineStr">
        <is>
          <t>People</t>
        </is>
      </c>
      <c r="J70" s="33" t="inlineStr">
        <is>
          <t>Review</t>
        </is>
      </c>
      <c r="K70" s="33" t="inlineStr">
        <is>
          <t>Improvement</t>
        </is>
      </c>
      <c r="L70" s="33" t="inlineStr">
        <is>
          <t>Fixed</t>
        </is>
      </c>
      <c r="M70" s="33" t="inlineStr">
        <is>
          <t>Cluster integrity validation + geographic consistency checks</t>
        </is>
      </c>
      <c r="N70" s="33" t="inlineStr">
        <is>
          <t>Yes</t>
        </is>
      </c>
      <c r="O70" s="33" t="inlineStr">
        <is>
          <t>California sites were incorrectly included because two different events were merged into the same WarRoom.</t>
        </is>
      </c>
      <c r="P70" s="33" t="n"/>
      <c r="Q70" s="33" t="inlineStr">
        <is>
          <t>No</t>
        </is>
      </c>
      <c r="R70" s="39" t="n">
        <v>6</v>
      </c>
      <c r="S70" s="39" t="n"/>
      <c r="T70" s="35" t="n">
        <v>46174</v>
      </c>
      <c r="U70" s="33" t="inlineStr">
        <is>
          <t>Medium</t>
        </is>
      </c>
      <c r="V70" s="33" t="inlineStr">
        <is>
          <t>Cluster Integrity &amp; Duplicate Prevention</t>
        </is>
      </c>
      <c r="W70" s="33" t="inlineStr">
        <is>
          <t>EAO-5</t>
        </is>
      </c>
      <c r="X70" s="33" t="inlineStr">
        <is>
          <t>Analyst-side grouping error, not a geofencing or source defect. The reporting team clubbed two separate events together, so California sites were attached to the Midwest Storm WarRoom where they did not belong. A DATA ticket was raised and the California sites were removed from the WarRoom.</t>
        </is>
      </c>
      <c r="Y70" s="33" t="inlineStr">
        <is>
          <t>EventWatch Ops - Nitin Rindhe</t>
        </is>
      </c>
      <c r="Z70" s="37" t="n"/>
    </row>
    <row r="71">
      <c r="A71" s="35" t="n">
        <v>46174</v>
      </c>
      <c r="B71" s="37" t="n">
        <v>46203</v>
      </c>
      <c r="C71" s="33" t="inlineStr">
        <is>
          <t>Factory Fire</t>
        </is>
      </c>
      <c r="D71" s="33" t="inlineStr">
        <is>
          <t>Caterpillar</t>
        </is>
      </c>
      <c r="E71" s="39" t="n">
        <v>1</v>
      </c>
      <c r="F71" s="33" t="inlineStr">
        <is>
          <t>Isselguss / Isselburg Foundry Naming Clarification</t>
        </is>
      </c>
      <c r="G71" s="33" t="inlineStr">
        <is>
          <t>Inquiry</t>
        </is>
      </c>
      <c r="H71" s="33" t="inlineStr">
        <is>
          <t>Customer Terminology Preference</t>
        </is>
      </c>
      <c r="I71" s="33" t="inlineStr">
        <is>
          <t>Process</t>
        </is>
      </c>
      <c r="J71" s="33" t="inlineStr">
        <is>
          <t>Process Clarification</t>
        </is>
      </c>
      <c r="K71" s="33" t="inlineStr">
        <is>
          <t>Improvement</t>
        </is>
      </c>
      <c r="L71" s="33" t="inlineStr">
        <is>
          <t>Clarification Provided</t>
        </is>
      </c>
      <c r="M71" s="33" t="inlineStr">
        <is>
          <t>Company alias management</t>
        </is>
      </c>
      <c r="N71" s="33" t="inlineStr">
        <is>
          <t>No</t>
        </is>
      </c>
      <c r="O71" s="33" t="inlineStr">
        <is>
          <t>Isselguss and Isselburg Foundry refer to the same facility. Title updated to align with customer terminology preference and not due to a reporting error.</t>
        </is>
      </c>
      <c r="P71" s="33" t="n"/>
      <c r="Q71" s="33" t="inlineStr">
        <is>
          <t>No</t>
        </is>
      </c>
      <c r="R71" s="39" t="n">
        <v>6</v>
      </c>
      <c r="S71" s="39" t="n"/>
      <c r="T71" s="35" t="n">
        <v>46174</v>
      </c>
      <c r="U71" s="33" t="inlineStr">
        <is>
          <t>Medium</t>
        </is>
      </c>
      <c r="V71" s="33" t="inlineStr">
        <is>
          <t>Entity &amp; Supplier Resolution</t>
        </is>
      </c>
      <c r="W71" s="33" t="inlineStr">
        <is>
          <t>EAO-11</t>
        </is>
      </c>
      <c r="X71" s="33" t="inlineStr">
        <is>
          <t>Not an error, a terminology preference. Isselguss, or Isselguss, is the commonly used shorthand for Isselburg Guss und Bearbeitung GmbH, the Isselburg foundry; the formal company name and the short name refer to the same operation. Initial local and regional coverage of the incident used Isselguss because that is the locally recognisable name of the site, while other coverage described the same location simply as the foundry in Isselburg. The bulletin was updated to Isselburg foundry to match the customer's preferred terminology, and that change should not be read as correcting a mistake.</t>
        </is>
      </c>
      <c r="Y71" s="33" t="inlineStr">
        <is>
          <t>EventWatch Ops - Nitin Rindhe</t>
        </is>
      </c>
      <c r="Z71" s="37" t="n">
        <v>46204</v>
      </c>
    </row>
    <row r="72">
      <c r="A72" s="35" t="n">
        <v>46204</v>
      </c>
      <c r="B72" s="37" t="n">
        <v>46204</v>
      </c>
      <c r="C72" s="28" t="inlineStr">
        <is>
          <t>Labor Disruption</t>
        </is>
      </c>
      <c r="D72" s="33" t="inlineStr">
        <is>
          <t>Ford</t>
        </is>
      </c>
      <c r="E72" s="39" t="n">
        <v>1</v>
      </c>
      <c r="F72" s="33" t="inlineStr">
        <is>
          <t>BorgWarner Indefinite Strike – Vigo Metropolitan Area, Spain</t>
        </is>
      </c>
      <c r="G72" s="33" t="inlineStr">
        <is>
          <t>Complaint</t>
        </is>
      </c>
      <c r="H72" s="33" t="inlineStr">
        <is>
          <t>Missed Event</t>
        </is>
      </c>
      <c r="I72" s="33" t="inlineStr">
        <is>
          <t>Product</t>
        </is>
      </c>
      <c r="J72" s="33" t="inlineStr">
        <is>
          <t>Visibility</t>
        </is>
      </c>
      <c r="K72" s="33" t="inlineStr">
        <is>
          <t>Bug</t>
        </is>
      </c>
      <c r="L72" s="33" t="inlineStr">
        <is>
          <t>Clarification Provided</t>
        </is>
      </c>
      <c r="M72" s="33" t="inlineStr">
        <is>
          <t>Vendor-to-portal feed validation + cluster state integrity monitoring</t>
        </is>
      </c>
      <c r="N72" s="33" t="inlineStr">
        <is>
          <t>Yes</t>
        </is>
      </c>
      <c r="O72" s="33" t="inlineStr">
        <is>
          <t>Customer reported missed EventWatch notification for an indefinite strike at BorgWarner facilities in Zamáns, O Porriño, and Nigrán. CS investigation confirmed two previous strike notifications were successfully delivered to Ford, but no notification was generated for the July 1 event. Internal investigation notes indicate the articles were captured by the vendor and Spanish language algorithm but did not appear in the analyst portal. Engineering review referenced an inconsistent cluster state condition during the affected period.</t>
        </is>
      </c>
      <c r="P72" s="33" t="inlineStr">
        <is>
          <t>Yes</t>
        </is>
      </c>
      <c r="Q72" s="33" t="inlineStr">
        <is>
          <t>Yes</t>
        </is>
      </c>
      <c r="R72" s="39" t="n">
        <v>7</v>
      </c>
      <c r="S72" s="39" t="n"/>
      <c r="T72" s="35" t="n">
        <v>46204</v>
      </c>
      <c r="U72" s="33" t="inlineStr">
        <is>
          <t>Medium</t>
        </is>
      </c>
      <c r="V72" s="33" t="inlineStr">
        <is>
          <t>Cluster Integrity &amp; Duplicate Prevention</t>
        </is>
      </c>
      <c r="W72" s="33" t="inlineStr">
        <is>
          <t>EAO-12</t>
        </is>
      </c>
      <c r="X72" s="33" t="inlineStr">
        <is>
          <t>Feeds covering the BorgWarner Vigo indefinite strike were in the public domain from 26-Jun-2026 but did not reach the analyst portal until 01-Jul-2026. Engineering confirmed on the ticket that the articles were captured both by the vendor and by the Spanish-language algorithm, and were linked to the labor_disruption_es_pontevedra_vigo_update cluster - so this is neither a source gap nor a failure to identify the event. That cluster was in an inconsistent state, its status set to Update while it was also marked Not Impactful, which kept the feeds off the analyst portal and meant no WarRoom was raised. The thread asks whether this is a recurrence of the cluster-state defect fixed in the June-end release, where a null cluster id still showed as not impactful. RCA approved and shared with the customer on 09-Jul-2026 as a PDF attachment.</t>
        </is>
      </c>
      <c r="Y72" s="33" t="inlineStr">
        <is>
          <t>Product &amp; Platform</t>
        </is>
      </c>
      <c r="Z72" s="37" t="n">
        <v>46216</v>
      </c>
    </row>
    <row r="73">
      <c r="A73" s="35" t="n">
        <v>46204</v>
      </c>
      <c r="B73" s="37" t="n">
        <v>46209</v>
      </c>
      <c r="C73" s="33" t="inlineStr">
        <is>
          <t>Factory Fire</t>
        </is>
      </c>
      <c r="D73" s="33" t="inlineStr">
        <is>
          <t>Ford</t>
        </is>
      </c>
      <c r="E73" s="39" t="n">
        <v>1</v>
      </c>
      <c r="F73" s="33" t="inlineStr">
        <is>
          <t>Fire at FXI Foam Manufacturing Plant in Cuautitlan, Mexico</t>
        </is>
      </c>
      <c r="G73" s="33" t="inlineStr">
        <is>
          <t>Complaint</t>
        </is>
      </c>
      <c r="H73" s="33" t="inlineStr">
        <is>
          <t>Missed Event</t>
        </is>
      </c>
      <c r="I73" s="33" t="inlineStr">
        <is>
          <t>Product</t>
        </is>
      </c>
      <c r="J73" s="33" t="inlineStr">
        <is>
          <t>Policy/Logic</t>
        </is>
      </c>
      <c r="K73" s="33" t="inlineStr">
        <is>
          <t>Improvement</t>
        </is>
      </c>
      <c r="L73" s="33" t="inlineStr">
        <is>
          <t>RCA Shared</t>
        </is>
      </c>
      <c r="M73" s="33" t="inlineStr">
        <is>
          <t>Relevance scoring that stops treating supplier mapping as a dominant decision factor for major industrial incidents, weighting incident severity, manufacturing activity, facility type, industry relevance and downstream supply chain potential instead, so an unmapped manufacturing site is not closed out before an analyst has weighed it</t>
        </is>
      </c>
      <c r="N73" s="33" t="inlineStr">
        <is>
          <t>Yes</t>
        </is>
      </c>
      <c r="O73" s="33" t="inlineStr">
        <is>
          <t>Customer reported a fire at FXI, a Tier 2 supplier, causing a Force Majeure at Sage Automotive Interiors, with no matching EventWatch notification. Established as a relevance-scoring weakness rather than an analyst error: the event was captured, classified Not Impactful because the company was unmapped, and the analyst review concurred. Resilinc accepted the customer's challenge to the methodology, issued an ICA on 17-Jul-2026 adding a manual review for major industrial incidents initially classified Not Impactful, and committed to a PCA enhancing the AI relevance-scoring models by end July 2026.</t>
        </is>
      </c>
      <c r="P73" s="33" t="n"/>
      <c r="Q73" s="33" t="inlineStr">
        <is>
          <t>Yes</t>
        </is>
      </c>
      <c r="R73" s="39" t="n">
        <v>7</v>
      </c>
      <c r="S73" s="39" t="n"/>
      <c r="T73" s="35" t="n">
        <v>46204</v>
      </c>
      <c r="U73" s="33" t="inlineStr">
        <is>
          <t>Medium</t>
        </is>
      </c>
      <c r="V73" s="33" t="inlineStr">
        <is>
          <t>WarRoom &amp; Decision Validation</t>
        </is>
      </c>
      <c r="W73" s="33" t="inlineStr">
        <is>
          <t>EAO-13</t>
        </is>
      </c>
      <c r="X73" s="33" t="inlineStr">
        <is>
          <t>A methodology weakness that Resilinc accepted, not an analyst error. EventWatch did capture multiple public reports of the 28-Jun-2026 fire at the foam manufacturing facility in Cuautitlan Izcalli, Mexico. The AI classification models then categorised it Not Impactful on three grounds: the company was not a mapped supplier in the database, no mapped supplier sites sat near the incident, and public reporting described a mattress/foam plant fire with no confirmed downstream impact. The reporting team reviewed the captured articles under human-in-the-loop validation and concurred, so nothing was published. The Force Majeure that Sage Automotive Interiors issued could not be confirmed in English or Spanish public sources and appears to have gone through direct supplier channels, so EventWatch could not publish it either; a monitoring record was created to catch any public confirmation. The customer challenged the methodology itself - why supplier presence in an internal database filters an assessment that is meant to rest on public information - and Resilinc agreed the observation was right. Interim corrective action, in force now: major industrial incidents at manufacturing facilities initially classified Not Impactful get an additional manual review, and are no longer closed solely on the absence of mapped suppliers or immediately confirmed downstream impact; analysts weigh facility type, manufacturing activity, incident severity, industry relevance and downstream potential before the publication decision. Permanent corrective action: the AI relevance-scoring models are being enhanced so supplier mapping is no longer a dominant factor, shared with Data Science and on the AI roadmap, targeted for deployment by end July 2026, at which point the interim manual control folds into the automated decision.</t>
        </is>
      </c>
      <c r="Y73" s="33" t="inlineStr">
        <is>
          <t>Product &amp; Platform</t>
        </is>
      </c>
      <c r="Z73" s="37" t="n">
        <v>46220</v>
      </c>
    </row>
    <row r="74">
      <c r="A74" s="35" t="n">
        <v>46204</v>
      </c>
      <c r="B74" s="37" t="n">
        <v>46211</v>
      </c>
      <c r="C74" s="33" t="inlineStr">
        <is>
          <t>Factory Fire</t>
        </is>
      </c>
      <c r="D74" s="33" t="inlineStr">
        <is>
          <t>Ford</t>
        </is>
      </c>
      <c r="E74" s="39" t="n">
        <v>1</v>
      </c>
      <c r="F74" s="33" t="inlineStr">
        <is>
          <t>New World International Co. Factory Fire, Thailand</t>
        </is>
      </c>
      <c r="G74" s="33" t="inlineStr">
        <is>
          <t>Complaint</t>
        </is>
      </c>
      <c r="H74" s="33" t="inlineStr">
        <is>
          <t>Missed Event</t>
        </is>
      </c>
      <c r="I74" s="33" t="inlineStr">
        <is>
          <t>People</t>
        </is>
      </c>
      <c r="J74" s="33" t="inlineStr">
        <is>
          <t>Review</t>
        </is>
      </c>
      <c r="K74" s="33" t="inlineStr">
        <is>
          <t>Improvement</t>
        </is>
      </c>
      <c r="L74" s="33" t="inlineStr">
        <is>
          <t>Clarification Provided</t>
        </is>
      </c>
      <c r="M74" s="33" t="inlineStr">
        <is>
          <t>Supplier-aware factory fire escalation model + Not Impactful override validation</t>
        </is>
      </c>
      <c r="N74" s="33" t="inlineStr">
        <is>
          <t>Yes</t>
        </is>
      </c>
      <c r="O74" s="33" t="inlineStr">
        <is>
          <t>Feeds were received and event was reportedly marked Not Impactful despite destruction of production/storage facility. Investigation ongoing.</t>
        </is>
      </c>
      <c r="P74" s="33" t="n"/>
      <c r="Q74" s="33" t="inlineStr">
        <is>
          <t>Yes</t>
        </is>
      </c>
      <c r="R74" s="39" t="n">
        <v>7</v>
      </c>
      <c r="S74" s="39" t="n"/>
      <c r="T74" s="35" t="n">
        <v>46204</v>
      </c>
      <c r="U74" s="33" t="inlineStr">
        <is>
          <t>Medium</t>
        </is>
      </c>
      <c r="V74" s="33" t="inlineStr">
        <is>
          <t>WarRoom &amp; Decision Validation</t>
        </is>
      </c>
      <c r="W74" s="33" t="inlineStr">
        <is>
          <t>EAO-14</t>
        </is>
      </c>
      <c r="X74" s="33" t="inlineStr">
        <is>
          <t>RCA approved and sent to the customer on 13-Jul-2026 as a PDF attached to EAO-14; the document text is not in the ticket.</t>
        </is>
      </c>
      <c r="Y74" s="33" t="inlineStr">
        <is>
          <t>EventWatch Ops - Nitin Rindhe</t>
        </is>
      </c>
      <c r="Z74" s="37" t="n">
        <v>46217</v>
      </c>
    </row>
    <row r="75">
      <c r="A75" s="35" t="n">
        <v>46204</v>
      </c>
      <c r="B75" s="37" t="n">
        <v>46211</v>
      </c>
      <c r="C75" s="33" t="inlineStr">
        <is>
          <t>Supply Shortage</t>
        </is>
      </c>
      <c r="D75" s="33" t="inlineStr">
        <is>
          <t>META</t>
        </is>
      </c>
      <c r="E75" s="39" t="n">
        <v>1</v>
      </c>
      <c r="F75" s="33" t="inlineStr">
        <is>
          <t>Samsung DRAM Price Increase Alert – WarRoom Not Created</t>
        </is>
      </c>
      <c r="G75" s="33" t="inlineStr">
        <is>
          <t>Complaint</t>
        </is>
      </c>
      <c r="H75" s="33" t="inlineStr">
        <is>
          <t>Missed WarRoom</t>
        </is>
      </c>
      <c r="I75" s="33" t="inlineStr">
        <is>
          <t>Process</t>
        </is>
      </c>
      <c r="J75" s="33" t="inlineStr">
        <is>
          <t>WarRoom Creation</t>
        </is>
      </c>
      <c r="K75" s="33" t="inlineStr">
        <is>
          <t>Improvement</t>
        </is>
      </c>
      <c r="L75" s="33" t="inlineStr">
        <is>
          <t>Clarification Provided</t>
        </is>
      </c>
      <c r="M75" s="33" t="inlineStr">
        <is>
          <t>Site Selection Suggestion based on unnormalized supplier names</t>
        </is>
      </c>
      <c r="N75" s="33" t="inlineStr">
        <is>
          <t>Yes</t>
        </is>
      </c>
      <c r="O75" s="33" t="inlineStr">
        <is>
          <t>EventWatch alert published but corresponding WarRoom not created despite supplier normalization. Investigation ongoing.</t>
        </is>
      </c>
      <c r="P75" s="33" t="inlineStr">
        <is>
          <t>No</t>
        </is>
      </c>
      <c r="Q75" s="33" t="inlineStr">
        <is>
          <t>Yes</t>
        </is>
      </c>
      <c r="R75" s="39" t="n">
        <v>7</v>
      </c>
      <c r="S75" s="39" t="n"/>
      <c r="T75" s="35" t="n">
        <v>46204</v>
      </c>
      <c r="U75" s="33" t="inlineStr">
        <is>
          <t>Low</t>
        </is>
      </c>
      <c r="V75" s="33" t="inlineStr">
        <is>
          <t>Entity &amp; Supplier Resolution</t>
        </is>
      </c>
      <c r="W75" s="33" t="inlineStr">
        <is>
          <t>EAO-15</t>
        </is>
      </c>
      <c r="X75" s="33" t="inlineStr">
        <is>
          <t>The event met the Price Fluctuation reporting threshold and did qualify for a WarRoom; the failure came later, in customer-specific supplier normalization. The Samsung Electronics sites are normalized under Samsung for the affected customer, and that normalization was not applied during the impacted-site assessment, so the sites were never associated with the event and no customer WarRoom was created. This was not a parent-child modelling issue. Normalization is maintained outside the EventWatch editorial workflow, so the response is strengthened validation controls plus AI-assisted WarRoom generation rather than a guarantee. RCA shared 15-Jul-2026.</t>
        </is>
      </c>
      <c r="Y75" s="33" t="inlineStr">
        <is>
          <t>EventWatch Ops - Nitin Rindhe</t>
        </is>
      </c>
      <c r="Z75" s="37" t="n">
        <v>46220</v>
      </c>
    </row>
    <row r="76">
      <c r="A76" s="35" t="n">
        <v>46204</v>
      </c>
      <c r="B76" s="37" t="n">
        <v>46213</v>
      </c>
      <c r="C76" s="33" t="inlineStr">
        <is>
          <t>Hurricane/Typhoon</t>
        </is>
      </c>
      <c r="D76" s="33" t="inlineStr">
        <is>
          <t>Eaton</t>
        </is>
      </c>
      <c r="E76" s="39" t="n">
        <v>1</v>
      </c>
      <c r="F76" s="33" t="inlineStr">
        <is>
          <t>Super Typhoon Bavi WarRoom Timing Clarification (Taiwan)</t>
        </is>
      </c>
      <c r="G76" s="33" t="inlineStr">
        <is>
          <t>Inquiry</t>
        </is>
      </c>
      <c r="H76" s="33" t="inlineStr">
        <is>
          <t>WarRoom Timing/Trigger Criteria Clarification</t>
        </is>
      </c>
      <c r="I76" s="33" t="inlineStr">
        <is>
          <t>Process</t>
        </is>
      </c>
      <c r="J76" s="33" t="inlineStr">
        <is>
          <t>Process Clarification</t>
        </is>
      </c>
      <c r="K76" s="33" t="inlineStr">
        <is>
          <t>Improvement</t>
        </is>
      </c>
      <c r="L76" s="33" t="inlineStr">
        <is>
          <t>Clarification Provided</t>
        </is>
      </c>
      <c r="M76" s="33" t="inlineStr">
        <is>
          <t>WarRoom trigger-criteria explanation template for post-peak activations</t>
        </is>
      </c>
      <c r="N76" s="33" t="inlineStr">
        <is>
          <t>No</t>
        </is>
      </c>
      <c r="O76" s="33" t="inlineStr">
        <is>
          <t>Staged from Jira EAO-16 (Done). Eaton asked why the WarRoom for Super Typhoon Bavi (Taiwan) was activated on 9-Jul after the storm had already peaked, and what triggering criteria were used.</t>
        </is>
      </c>
      <c r="Q76" s="33" t="inlineStr">
        <is>
          <t>No</t>
        </is>
      </c>
      <c r="R76" s="39" t="n">
        <v>7</v>
      </c>
      <c r="T76" s="35" t="n">
        <v>46204</v>
      </c>
      <c r="U76" s="33" t="inlineStr">
        <is>
          <t>Low</t>
        </is>
      </c>
      <c r="V76" s="33" t="inlineStr">
        <is>
          <t>WarRoom &amp; Decision Validation</t>
        </is>
      </c>
      <c r="W76" s="33" t="inlineStr">
        <is>
          <t>EAO-16</t>
        </is>
      </c>
      <c r="X76" s="33" t="inlineStr">
        <is>
          <t>EventWatch captured multiple Philippines articles before the dedicated Philippines WarRoom was created, but they were assessed Not Impactful during reporting review, when available reports still described preparedness and localized impacts. Root cause: human assessment error underestimating the significance of the evolving Philippines impacts, which delayed WarRoom creation. Preventive: multi-country weather events assessed independently for each affected geography rather than inferred from the wider storm.</t>
        </is>
      </c>
      <c r="Y76" s="33" t="inlineStr">
        <is>
          <t>EventWatch Ops - Nitin Rindhe</t>
        </is>
      </c>
      <c r="Z76" s="37" t="n">
        <v>46224</v>
      </c>
    </row>
    <row r="77">
      <c r="A77" s="35" t="n">
        <v>46204</v>
      </c>
      <c r="B77" s="37" t="n">
        <v>46213</v>
      </c>
      <c r="C77" s="33" t="inlineStr">
        <is>
          <t>Legal Action</t>
        </is>
      </c>
      <c r="D77" s="33" t="inlineStr">
        <is>
          <t>Micron</t>
        </is>
      </c>
      <c r="E77" s="39" t="n">
        <v>1</v>
      </c>
      <c r="F77" s="33" t="inlineStr">
        <is>
          <t>Jacobs Engineering/CH2M Hill Forced Labor Lawsuit – Missed EventWatch Notification (Micron)</t>
        </is>
      </c>
      <c r="G77" s="33" t="inlineStr">
        <is>
          <t>Complaint</t>
        </is>
      </c>
      <c r="H77" s="33" t="inlineStr">
        <is>
          <t>Missed Event</t>
        </is>
      </c>
      <c r="I77" s="33" t="inlineStr">
        <is>
          <t>Product</t>
        </is>
      </c>
      <c r="J77" s="33" t="inlineStr">
        <is>
          <t>Source Coverage</t>
        </is>
      </c>
      <c r="K77" s="33" t="inlineStr">
        <is>
          <t>Improvement</t>
        </is>
      </c>
      <c r="L77" s="33" t="inlineStr">
        <is>
          <t>RCA Shared</t>
        </is>
      </c>
      <c r="M77" s="33" t="inlineStr">
        <is>
          <t>Legal/labor-litigation source coverage and entity-linking for supplier-adjacent lawsuits</t>
        </is>
      </c>
      <c r="N77" s="33" t="inlineStr">
        <is>
          <t>Yes</t>
        </is>
      </c>
      <c r="O77" s="33" t="inlineStr">
        <is>
          <t>Staged from Jira EAO-17 (Done). Micron reported a forced-labor lawsuit against Jacobs Engineering/CH2M Hill was not captured in EventWatch and requested RCA if it was in scope.</t>
        </is>
      </c>
      <c r="Q77" s="33" t="inlineStr">
        <is>
          <t>Yes</t>
        </is>
      </c>
      <c r="R77" s="39" t="n">
        <v>7</v>
      </c>
      <c r="T77" s="35" t="n">
        <v>46204</v>
      </c>
      <c r="U77" s="33" t="inlineStr">
        <is>
          <t>Medium</t>
        </is>
      </c>
      <c r="V77" s="33" t="inlineStr">
        <is>
          <t>Dynamic Source Discovery</t>
        </is>
      </c>
      <c r="W77" s="33" t="inlineStr">
        <is>
          <t>EAO-17</t>
        </is>
      </c>
      <c r="X77" s="33" t="inlineStr">
        <is>
          <t>RCA reviewed and sent to the customer on 14-Jul-2026 as a PDF attached to EAO-17; the document text is not in the ticket.</t>
        </is>
      </c>
      <c r="Y77" s="33" t="inlineStr">
        <is>
          <t>Product &amp; Platform</t>
        </is>
      </c>
      <c r="Z77" s="37" t="n">
        <v>46217</v>
      </c>
    </row>
    <row r="78">
      <c r="A78" s="35" t="n">
        <v>46204</v>
      </c>
      <c r="B78" s="37" t="n">
        <v>46216</v>
      </c>
      <c r="C78" s="33" t="inlineStr">
        <is>
          <t>Supply Shortage</t>
        </is>
      </c>
      <c r="D78" s="33" t="inlineStr">
        <is>
          <t>Western Digital</t>
        </is>
      </c>
      <c r="E78" s="39" t="n">
        <v>1</v>
      </c>
      <c r="F78" s="33" t="inlineStr">
        <is>
          <t>Suspension Baseplate Supply Risk Monitoring Request (Fujita Plating/NHK/OSK)</t>
        </is>
      </c>
      <c r="G78" s="33" t="inlineStr">
        <is>
          <t>Inquiry</t>
        </is>
      </c>
      <c r="H78" s="33" t="inlineStr">
        <is>
          <t>Coverage Verification Request</t>
        </is>
      </c>
      <c r="I78" s="33" t="inlineStr">
        <is>
          <t>Process</t>
        </is>
      </c>
      <c r="J78" s="33" t="inlineStr">
        <is>
          <t>Process Clarification</t>
        </is>
      </c>
      <c r="K78" s="33" t="inlineStr">
        <is>
          <t>Improvement</t>
        </is>
      </c>
      <c r="L78" s="33" t="inlineStr">
        <is>
          <t>Clarification Provided</t>
        </is>
      </c>
      <c r="M78" s="33" t="inlineStr">
        <is>
          <t>Supplier decommitment/capacity-risk monitoring for sub-tier component makers</t>
        </is>
      </c>
      <c r="N78" s="33" t="inlineStr">
        <is>
          <t>No</t>
        </is>
      </c>
      <c r="O78" s="33" t="inlineStr">
        <is>
          <t>Staged from Jira EAO-18 (Done). Western Digital asked whether EventWatch has published or is monitoring a reported Suspension Baseplate supply risk tied to Fujita Plating/NHK/OSK decommitments; CS found no matching event in the backend.</t>
        </is>
      </c>
      <c r="Q78" s="33" t="inlineStr">
        <is>
          <t>No</t>
        </is>
      </c>
      <c r="R78" s="39" t="n">
        <v>7</v>
      </c>
      <c r="T78" s="35" t="n">
        <v>46204</v>
      </c>
      <c r="U78" s="33" t="inlineStr">
        <is>
          <t>Low</t>
        </is>
      </c>
      <c r="V78" s="33" t="inlineStr">
        <is>
          <t>Other Control Automation</t>
        </is>
      </c>
      <c r="W78" s="33" t="inlineStr">
        <is>
          <t>EAO-18</t>
        </is>
      </c>
      <c r="X78" s="33" t="inlineStr">
        <is>
          <t>No publicly verifiable evidence existed, so the reported risk could not be published. Research across English and Japanese public sources found no credible reports confirming production constraints or operational disruption at Fujita Plating, no decommitments by NHK or OSK, no Force Majeure declaration and no publicly confirmed factory, labour or supply shortage event connected to the situation. No public statements were identified from Fujita Plating, NHK Spring, TDK, MPT or any other involved company. The reported risk appears to have originated in supplier-network communication rather than the public domain. EventWatch publishes on verified public information, so the topic was placed under monitoring with a story created, to be reassessed and published if credible public confirmation appears. Closed on 21-Jul-2026 with no follow-up question from the customer.</t>
        </is>
      </c>
      <c r="Y78" s="33" t="inlineStr">
        <is>
          <t>EventWatch Ops - Nitin Rindhe</t>
        </is>
      </c>
      <c r="Z78" s="37" t="n">
        <v>46224</v>
      </c>
    </row>
    <row r="79">
      <c r="A79" s="35" t="n">
        <v>46204</v>
      </c>
      <c r="B79" s="37" t="n">
        <v>46217</v>
      </c>
      <c r="C79" s="33" t="inlineStr">
        <is>
          <t>Power Outage</t>
        </is>
      </c>
      <c r="D79" s="33" t="inlineStr">
        <is>
          <t>Ford</t>
        </is>
      </c>
      <c r="E79" s="39" t="n">
        <v>1</v>
      </c>
      <c r="F79" s="33" t="inlineStr">
        <is>
          <t>RFI – Power Grid Failure Monitoring Strategy</t>
        </is>
      </c>
      <c r="G79" s="33" t="inlineStr">
        <is>
          <t>Inquiry</t>
        </is>
      </c>
      <c r="H79" s="33" t="inlineStr">
        <is>
          <t>Monitoring Strategy RFI</t>
        </is>
      </c>
      <c r="I79" s="33" t="inlineStr">
        <is>
          <t>Process</t>
        </is>
      </c>
      <c r="J79" s="33" t="inlineStr">
        <is>
          <t>Process Clarification</t>
        </is>
      </c>
      <c r="K79" s="33" t="inlineStr">
        <is>
          <t>Improvement</t>
        </is>
      </c>
      <c r="L79" s="33" t="inlineStr">
        <is>
          <t>Clarification Provided</t>
        </is>
      </c>
      <c r="M79" s="33" t="inlineStr">
        <is>
          <t>Published monitoring-scope documentation for power-grid/infrastructure failure events</t>
        </is>
      </c>
      <c r="N79" s="33" t="inlineStr">
        <is>
          <t>No</t>
        </is>
      </c>
      <c r="O79" s="33" t="inlineStr">
        <is>
          <t>Staged from Jira EAO-19 (Done). Ford requested an explanation of Resilinc's monitoring strategy for power grid failure events after multiple incidents affected suppliers in the US and Europe.</t>
        </is>
      </c>
      <c r="Q79" s="33" t="inlineStr">
        <is>
          <t>No</t>
        </is>
      </c>
      <c r="R79" s="39" t="n">
        <v>7</v>
      </c>
      <c r="T79" s="35" t="n">
        <v>46204</v>
      </c>
      <c r="U79" s="33" t="inlineStr">
        <is>
          <t>Low</t>
        </is>
      </c>
      <c r="V79" s="33" t="inlineStr">
        <is>
          <t>Other Control Automation</t>
        </is>
      </c>
      <c r="W79" s="33" t="inlineStr">
        <is>
          <t>EAO-19</t>
        </is>
      </c>
      <c r="X79" s="33" t="inlineStr">
        <is>
          <t>Not a miss - an inquiry answered in full. EventWatch monitors power infrastructure continuously across utilities and transmission operators, government and emergency agencies, grid operators, news sources and official outage maps. Reporting is risk-based rather than every outage: mapped supplier sites in the affected region, impact on manufacturing hubs, ports, warehouses and logistics, expected outage duration, and public confirmation of operational disruption, all against regional reporting thresholds.</t>
        </is>
      </c>
      <c r="Y79" s="33" t="inlineStr">
        <is>
          <t>EventWatch Ops - Nitin Rindhe</t>
        </is>
      </c>
      <c r="Z79" s="37" t="n">
        <v>46220</v>
      </c>
    </row>
    <row r="80">
      <c r="A80" s="35" t="n">
        <v>46204</v>
      </c>
      <c r="B80" s="37" t="n">
        <v>46220</v>
      </c>
      <c r="C80" s="33" t="inlineStr">
        <is>
          <t>Bankruptcy</t>
        </is>
      </c>
      <c r="D80" s="33" t="inlineStr">
        <is>
          <t>Honeywell</t>
        </is>
      </c>
      <c r="E80" s="39" t="n">
        <v>1</v>
      </c>
      <c r="F80" s="33" t="inlineStr">
        <is>
          <t>ASSMANN WSW Components GmbH Bankruptcy Filing – Missed Coverage (Honeywell Tier 1 Supplier)</t>
        </is>
      </c>
      <c r="G80" s="33" t="inlineStr">
        <is>
          <t>Complaint</t>
        </is>
      </c>
      <c r="H80" s="33" t="inlineStr">
        <is>
          <t>Missed insolvency alert</t>
        </is>
      </c>
      <c r="I80" s="33" t="inlineStr">
        <is>
          <t>Product</t>
        </is>
      </c>
      <c r="J80" s="33" t="inlineStr">
        <is>
          <t>Source Coverage</t>
        </is>
      </c>
      <c r="K80" s="33" t="inlineStr">
        <is>
          <t>Improvement</t>
        </is>
      </c>
      <c r="L80" s="33" t="inlineStr">
        <is>
          <t>Fixed</t>
        </is>
      </c>
      <c r="M80" s="33" t="inlineStr">
        <is>
          <t>Tier-1 supplier bankruptcy/insolvency filing source coverage expansion (EU registries)</t>
        </is>
      </c>
      <c r="N80" s="33" t="inlineStr">
        <is>
          <t>Yes</t>
        </is>
      </c>
      <c r="O80" s="33" t="inlineStr">
        <is>
          <t>Staged from Jira EAO-20 (Done). Honeywell reported ASSMANN WSW Components GmbH's July 6 insolvency filing (a mapped Tier-1 supplier) was never published as an EventWatch bulletin or WarRoom; RCA requested.</t>
        </is>
      </c>
      <c r="Q80" s="33" t="inlineStr">
        <is>
          <t>Yes</t>
        </is>
      </c>
      <c r="R80" s="39" t="n">
        <v>7</v>
      </c>
      <c r="T80" s="35" t="n">
        <v>46204</v>
      </c>
      <c r="U80" s="33" t="inlineStr">
        <is>
          <t>Medium</t>
        </is>
      </c>
      <c r="V80" s="33" t="inlineStr">
        <is>
          <t>Dynamic Source Discovery</t>
        </is>
      </c>
      <c r="W80" s="33" t="inlineStr">
        <is>
          <t>EAO-20</t>
        </is>
      </c>
      <c r="X80" s="33" t="inlineStr">
        <is>
          <t>German-language sources reporting the ASSMANN WSW Components insolvency were not captured by the portal; Engineering was asked to investigate the feed gap. RCA reviewed and shared with the customer 20-Jul-2026.</t>
        </is>
      </c>
      <c r="Y80" s="33" t="inlineStr">
        <is>
          <t>Product &amp; Platform</t>
        </is>
      </c>
      <c r="Z80" s="37" t="n">
        <v>46224</v>
      </c>
    </row>
    <row r="81">
      <c r="A81" s="35" t="n">
        <v>46204</v>
      </c>
      <c r="B81" s="37" t="n">
        <v>46220</v>
      </c>
      <c r="C81" s="33" t="inlineStr">
        <is>
          <t>Wildfire</t>
        </is>
      </c>
      <c r="D81" s="33" t="inlineStr">
        <is>
          <t>Ford</t>
        </is>
      </c>
      <c r="E81" s="39" t="n">
        <v>1</v>
      </c>
      <c r="F81" s="33" t="inlineStr">
        <is>
          <t>Severe Air Quality Degradation – Canadian Wildfires Missed Alert (Midwest/Northeast US)</t>
        </is>
      </c>
      <c r="G81" s="33" t="inlineStr">
        <is>
          <t>Complaint</t>
        </is>
      </c>
      <c r="H81" s="33" t="inlineStr">
        <is>
          <t>Missed Event</t>
        </is>
      </c>
      <c r="I81" s="33" t="inlineStr">
        <is>
          <t>People</t>
        </is>
      </c>
      <c r="J81" s="33" t="inlineStr">
        <is>
          <t>Event Identification</t>
        </is>
      </c>
      <c r="K81" s="33" t="inlineStr">
        <is>
          <t>Improvement</t>
        </is>
      </c>
      <c r="L81" s="33" t="inlineStr">
        <is>
          <t>RCA Shared</t>
        </is>
      </c>
      <c r="M81" s="33" t="inlineStr">
        <is>
          <t>Escalation automation for environmental-hazard advisories</t>
        </is>
      </c>
      <c r="N81" s="33" t="inlineStr">
        <is>
          <t>Yes</t>
        </is>
      </c>
      <c r="O81" s="33" t="inlineStr">
        <is>
          <t>Staged from Jira EAO-21 (Done). Ford reported no EventWatch alert/WarRoom was generated for July 15-17 wildfire smoke air-quality degradation across the US Midwest/Northeast; CS confirmed no matching notification was found.</t>
        </is>
      </c>
      <c r="Q81" s="33" t="inlineStr">
        <is>
          <t>Yes</t>
        </is>
      </c>
      <c r="R81" s="39" t="n">
        <v>7</v>
      </c>
      <c r="T81" s="35" t="n">
        <v>46204</v>
      </c>
      <c r="U81" s="33" t="inlineStr">
        <is>
          <t>Medium</t>
        </is>
      </c>
      <c r="V81" s="33" t="inlineStr">
        <is>
          <t>WarRoom &amp; Decision Validation</t>
        </is>
      </c>
      <c r="W81" s="33" t="inlineStr">
        <is>
          <t>EAO-21</t>
        </is>
      </c>
      <c r="X81" s="33" t="inlineStr">
        <is>
          <t>RCA approved and sent to the customer on 21-Jul-2026 as a PDF attached to EAO-21; the document text is not in the ticket.</t>
        </is>
      </c>
      <c r="Y81" s="33" t="inlineStr">
        <is>
          <t>EventWatch Ops - Nitin Rindhe</t>
        </is>
      </c>
      <c r="Z81" s="37" t="n">
        <v>46230</v>
      </c>
    </row>
    <row r="82">
      <c r="A82" s="35" t="n">
        <v>46204</v>
      </c>
      <c r="B82" s="37" t="n">
        <v>46230</v>
      </c>
      <c r="C82" s="33" t="inlineStr">
        <is>
          <t>Cyber Attack</t>
        </is>
      </c>
      <c r="D82" s="33" t="inlineStr">
        <is>
          <t>Eaton</t>
        </is>
      </c>
      <c r="E82" s="39" t="n">
        <v>1</v>
      </c>
      <c r="F82" s="33" t="inlineStr">
        <is>
          <t>Romania ANCPI Cyberattack – Missed EventWatch Notification</t>
        </is>
      </c>
      <c r="G82" s="33" t="inlineStr">
        <is>
          <t>Inquiry</t>
        </is>
      </c>
      <c r="H82" s="33" t="inlineStr">
        <is>
          <t>Wrong Relevancy</t>
        </is>
      </c>
      <c r="I82" s="33" t="inlineStr">
        <is>
          <t>Process</t>
        </is>
      </c>
      <c r="J82" s="33" t="inlineStr">
        <is>
          <t>Policy/Logic</t>
        </is>
      </c>
      <c r="K82" s="33" t="inlineStr">
        <is>
          <t>Improvement</t>
        </is>
      </c>
      <c r="L82" s="33" t="inlineStr">
        <is>
          <t>Clarification Provided</t>
        </is>
      </c>
      <c r="M82" s="33" t="inlineStr">
        <is>
          <t>A feedback path from a disputed Not Impactful classification back into the reporting criteria, so a customer telling us a government-services disruption does affect them tunes the model rather than closing as no further context</t>
        </is>
      </c>
      <c r="N82" s="33" t="inlineStr">
        <is>
          <t>No</t>
        </is>
      </c>
      <c r="O82" s="33" t="inlineStr">
        <is>
          <t>Staged from Jira EAO-22 (Done). Eaton reported the July 14-16 ANCPI (Romania land registry) cyberattack had no corresponding WarRoom or news on the portal; RCA requested if it was in scope.</t>
        </is>
      </c>
      <c r="Q82" s="33" t="inlineStr">
        <is>
          <t>No</t>
        </is>
      </c>
      <c r="R82" s="39" t="n">
        <v>7</v>
      </c>
      <c r="T82" s="35" t="n">
        <v>46204</v>
      </c>
      <c r="U82" s="33" t="inlineStr">
        <is>
          <t>Medium</t>
        </is>
      </c>
      <c r="V82" s="33" t="inlineStr">
        <is>
          <t>WarRoom &amp; Decision Validation</t>
        </is>
      </c>
      <c r="W82" s="33" t="inlineStr">
        <is>
          <t>EAO-22</t>
        </is>
      </c>
      <c r="X82" s="33" t="inlineStr">
        <is>
          <t>Not a miss and not a coverage gap. The EventWatch feed harvesting algorithms did capture reports of the ransomware attack on Romania's National Agency for Cadastre and Public Registry (ANCPI). The AI classification models evaluated it against the current EventWatch reporting criteria and classified it Not Impactful: the attack disrupted ANCPI's land registry services, but the assessment found no evidence of impact on customer industries, suppliers, manufacturing, logistics or transportation, and no reports of production delays or distribution disruption. The disruption was limited to government services and did not warrant a supply chain risk notification. The customer was told this, invited to share any operational impact or dependency on ANCPI services so the models and criteria could be tuned, and the ticket was closed when no further context came back. A written explanation was provided; no RCA was issued or owed.</t>
        </is>
      </c>
      <c r="Y82" s="33" t="inlineStr">
        <is>
          <t>EventWatch Ops - Nitin Rindhe</t>
        </is>
      </c>
      <c r="Z82" s="37" t="n">
        <v>46232</v>
      </c>
    </row>
    <row r="83">
      <c r="A83" s="35" t="n">
        <v>46235</v>
      </c>
      <c r="B83" s="37" t="n">
        <v>46237</v>
      </c>
      <c r="C83" s="33" t="inlineStr">
        <is>
          <t>Factory Fire</t>
        </is>
      </c>
      <c r="D83" s="33" t="inlineStr">
        <is>
          <t>Ford</t>
        </is>
      </c>
      <c r="E83" s="39" t="n">
        <v>1</v>
      </c>
      <c r="F83" s="33" t="inlineStr">
        <is>
          <t>TOHOKU Chemical Japan Fire – Sub-tier Cashew Dust Supplier</t>
        </is>
      </c>
      <c r="G83" s="33" t="inlineStr">
        <is>
          <t>Inquiry</t>
        </is>
      </c>
      <c r="H83" s="33" t="inlineStr">
        <is>
          <t>Coverage Verification Request</t>
        </is>
      </c>
      <c r="I83" s="33" t="inlineStr">
        <is>
          <t>Process</t>
        </is>
      </c>
      <c r="J83" s="33" t="inlineStr">
        <is>
          <t>Process Clarification</t>
        </is>
      </c>
      <c r="K83" s="33" t="inlineStr">
        <is>
          <t>Improvement</t>
        </is>
      </c>
      <c r="L83" s="33" t="inlineStr">
        <is>
          <t>Clarification Provided</t>
        </is>
      </c>
      <c r="M83" s="33" t="inlineStr">
        <is>
          <t>A customer-reported event with no public source should register as a monitoring story the customer can see, and publish automatically once a credible public source appears, rather than the customer having to ask again</t>
        </is>
      </c>
      <c r="N83" s="33" t="inlineStr">
        <is>
          <t>No</t>
        </is>
      </c>
      <c r="O83" s="33" t="inlineStr">
        <is>
          <t>EAO-24: No proactive alert was generated for the July 21 fire. Customer requested RCA, ICA, and PCA for the missed coverage. RCA shared.</t>
        </is>
      </c>
      <c r="P83" s="33" t="n"/>
      <c r="Q83" s="33" t="inlineStr">
        <is>
          <t>No</t>
        </is>
      </c>
      <c r="R83" s="39" t="n">
        <v>8</v>
      </c>
      <c r="S83" s="39" t="n"/>
      <c r="T83" s="35" t="n">
        <v>46235</v>
      </c>
      <c r="U83" s="33" t="inlineStr">
        <is>
          <t>Medium</t>
        </is>
      </c>
      <c r="V83" s="33" t="inlineStr">
        <is>
          <t>Other Control Automation</t>
        </is>
      </c>
      <c r="W83" s="33" t="inlineStr">
        <is>
          <t>EAO-24</t>
        </is>
      </c>
      <c r="X83" s="33" t="inlineStr">
        <is>
          <t>No public source existed to report from. An extensive search across English and Japanese public sources found no credible news articles or official announcements confirming a fire at TOHOKU Chemical Japan on 21-Jul-2026, and TOHOKU Chemical's own website and news releases do not reference a fire or related disruption in that period. The incident appears to have reached the customer through non-public channels such as direct supplier communication. EventWatch reports only on publicly available and verifiable information, so a monitoring story was created and public sources in both languages continue to be scanned; the alert publishes if credible public information appears. The customer was asked to share any public source they hold. A written explanation was provided; no RCA was issued or owed.</t>
        </is>
      </c>
      <c r="Y83" s="33" t="inlineStr">
        <is>
          <t>EventWatch Ops - Nitin Rindhe</t>
        </is>
      </c>
      <c r="Z83" s="37" t="n">
        <v>46239</v>
      </c>
    </row>
    <row r="84">
      <c r="A84" s="35" t="n">
        <v>46235</v>
      </c>
      <c r="B84" s="37" t="n">
        <v>46237</v>
      </c>
      <c r="C84" s="33" t="inlineStr">
        <is>
          <t>Factory Fire</t>
        </is>
      </c>
      <c r="D84" s="33" t="inlineStr">
        <is>
          <t>GM</t>
        </is>
      </c>
      <c r="E84" s="39" t="n">
        <v>1</v>
      </c>
      <c r="F84" s="33" t="inlineStr">
        <is>
          <t>Fire at UTAS-Nova Automotive Lighting Systems, Danyang, Jiangsu, China</t>
        </is>
      </c>
      <c r="G84" s="33" t="inlineStr">
        <is>
          <t>Complaint</t>
        </is>
      </c>
      <c r="H84" s="33" t="inlineStr">
        <is>
          <t>Missed Event</t>
        </is>
      </c>
      <c r="I84" s="33" t="inlineStr">
        <is>
          <t>Product</t>
        </is>
      </c>
      <c r="J84" s="33" t="inlineStr">
        <is>
          <t>Source Coverage</t>
        </is>
      </c>
      <c r="K84" s="33" t="inlineStr">
        <is>
          <t>Improvement</t>
        </is>
      </c>
      <c r="L84" s="33" t="inlineStr">
        <is>
          <t>RCA Shared</t>
        </is>
      </c>
      <c r="M84" s="33" t="inlineStr">
        <is>
          <t>Cluster-assignment validation so an article grouped into the wrong cluster is caught before analyst review</t>
        </is>
      </c>
      <c r="N84" s="33" t="inlineStr">
        <is>
          <t>Yes</t>
        </is>
      </c>
      <c r="O84" s="33" t="inlineStr">
        <is>
          <t>Staged from Jira EAO-25 (Sent to PM). GM reported a fire at UTAS-Nova Automotive Lighting Systems, Danyang, Jiangsu, China (reported July 10) was not found in GM's org; investigation findings not yet shared, Short Term Fix Status set to Pending until CS responds.</t>
        </is>
      </c>
      <c r="Q84" s="33" t="inlineStr">
        <is>
          <t>Yes</t>
        </is>
      </c>
      <c r="R84" s="39" t="n">
        <v>8</v>
      </c>
      <c r="T84" s="35" t="n">
        <v>46235</v>
      </c>
      <c r="U84" s="33" t="inlineStr">
        <is>
          <t>Medium</t>
        </is>
      </c>
      <c r="V84" s="33" t="inlineStr">
        <is>
          <t>Dynamic Source Discovery</t>
        </is>
      </c>
      <c r="W84" s="33" t="inlineStr">
        <is>
          <t>EAO-25</t>
        </is>
      </c>
      <c r="X84" s="33" t="inlineStr">
        <is>
          <t>Captured, but grouped into the wrong event cluster, so the analyst reviewing that cluster marked it Not Impactful and it never reached WarRoom consideration. The miss is a clustering defect rather than a source-coverage gap or an analyst-judgement failure: the article was in the system and the grouping put it in front of the wrong decision. The cluster logic has since been enhanced.</t>
        </is>
      </c>
      <c r="Y84" s="33" t="inlineStr">
        <is>
          <t>Product &amp; Platform</t>
        </is>
      </c>
      <c r="Z84" s="37" t="n"/>
    </row>
    <row r="85">
      <c r="A85" s="35" t="n">
        <v>46235</v>
      </c>
      <c r="B85" s="37" t="n">
        <v>46237</v>
      </c>
      <c r="C85" s="33" t="inlineStr">
        <is>
          <t>Tornado</t>
        </is>
      </c>
      <c r="D85" s="33" t="inlineStr">
        <is>
          <t>GM</t>
        </is>
      </c>
      <c r="E85" s="39" t="n">
        <v>1</v>
      </c>
      <c r="F85" s="33" t="inlineStr">
        <is>
          <t>Chicago Heights, Illinois Tornado – Trialco Impact Not Identified</t>
        </is>
      </c>
      <c r="G85" s="33" t="inlineStr">
        <is>
          <t>Complaint</t>
        </is>
      </c>
      <c r="H85" s="33" t="inlineStr">
        <is>
          <t>Missed Event</t>
        </is>
      </c>
      <c r="I85" s="33" t="inlineStr">
        <is>
          <t>Product</t>
        </is>
      </c>
      <c r="J85" s="33" t="inlineStr">
        <is>
          <t>Source Coverage</t>
        </is>
      </c>
      <c r="K85" s="33" t="inlineStr">
        <is>
          <t>Improvement</t>
        </is>
      </c>
      <c r="L85" s="33" t="inlineStr">
        <is>
          <t>RCA Shared</t>
        </is>
      </c>
      <c r="M85" s="33" t="inlineStr">
        <is>
          <t>Cluster-assignment validation so an article grouped into the wrong cluster is caught before analyst review</t>
        </is>
      </c>
      <c r="N85" s="33" t="inlineStr">
        <is>
          <t>Yes</t>
        </is>
      </c>
      <c r="O85" s="33" t="inlineStr">
        <is>
          <t>Staged from Jira EAO-25 (Sent to PM). GM reported no event was created specifically for the July 27 Chicago Heights, Illinois tornado (broader Illinois storm alerts existed) and asked whether Trialco was identified as impacted; investigation findings not yet shared, Short Term Fix Status set to Pending until CS responds.</t>
        </is>
      </c>
      <c r="Q85" s="33" t="inlineStr">
        <is>
          <t>Yes</t>
        </is>
      </c>
      <c r="R85" s="39" t="n">
        <v>8</v>
      </c>
      <c r="T85" s="35" t="n">
        <v>46235</v>
      </c>
      <c r="U85" s="33" t="inlineStr">
        <is>
          <t>Medium</t>
        </is>
      </c>
      <c r="V85" s="33" t="inlineStr">
        <is>
          <t>Dynamic Source Discovery</t>
        </is>
      </c>
      <c r="W85" s="33" t="inlineStr">
        <is>
          <t>EAO-25</t>
        </is>
      </c>
      <c r="X85" s="33" t="inlineStr">
        <is>
          <t>Captured, but grouped into the wrong event cluster, so the analyst reviewing that cluster marked it Not Impactful and it never reached WarRoom consideration. The miss is a clustering defect rather than a source-coverage gap or an analyst-judgement failure: the article was in the system and the grouping put it in front of the wrong decision. The cluster logic has since been enhanced.</t>
        </is>
      </c>
      <c r="Y85" s="33" t="inlineStr">
        <is>
          <t>Product &amp; Platform</t>
        </is>
      </c>
      <c r="Z85" s="37" t="n"/>
    </row>
    <row r="86">
      <c r="A86" s="35" t="n">
        <v>46235</v>
      </c>
      <c r="B86" s="37" t="n">
        <v>46238</v>
      </c>
      <c r="C86" s="33" t="inlineStr">
        <is>
          <t>Earthquake</t>
        </is>
      </c>
      <c r="D86" s="33" t="inlineStr">
        <is>
          <t>Hitachi</t>
        </is>
      </c>
      <c r="E86" s="39" t="n">
        <v>1</v>
      </c>
      <c r="F86" s="33" t="inlineStr">
        <is>
          <t>Disruption Agent Returns Only Tier 1 Suppliers for Kumamoto Earthquake Query (Hitachi)</t>
        </is>
      </c>
      <c r="G86" s="33" t="inlineStr">
        <is>
          <t>Complaint</t>
        </is>
      </c>
      <c r="H86" s="33" t="inlineStr">
        <is>
          <t>Impacted Supplier Missing</t>
        </is>
      </c>
      <c r="I86" s="33" t="inlineStr">
        <is>
          <t>Product</t>
        </is>
      </c>
      <c r="J86" s="33" t="inlineStr">
        <is>
          <t>Policy/Logic</t>
        </is>
      </c>
      <c r="K86" s="33" t="inlineStr">
        <is>
          <t>Improvement</t>
        </is>
      </c>
      <c r="L86" s="33" t="inlineStr">
        <is>
          <t>Fixed</t>
        </is>
      </c>
      <c r="M86" s="33" t="inlineStr">
        <is>
          <t>Disruption Agent response completeness checks so a prompt asking for multiple supplier tiers returns all of them in one response</t>
        </is>
      </c>
      <c r="N86" s="33" t="inlineStr">
        <is>
          <t>No</t>
        </is>
      </c>
      <c r="O86" s="33" t="inlineStr">
        <is>
          <t>From Jira CAN-3433 (Resolved). For Hitachi, a single Disruption Agent prompt asking for both Tier 1 and Tier 2 suppliers potentially impacted by the 6.8 magnitude Kumamoto earthquake returned Tier 1 only; Tier 2 required a second prompt.</t>
        </is>
      </c>
      <c r="P86" s="33" t="n"/>
      <c r="Q86" s="33" t="inlineStr">
        <is>
          <t>No</t>
        </is>
      </c>
      <c r="R86" s="39" t="n">
        <v>8</v>
      </c>
      <c r="S86" s="39" t="n"/>
      <c r="T86" s="35" t="inlineStr">
        <is>
          <t>Aug 2026</t>
        </is>
      </c>
      <c r="U86" s="33" t="inlineStr">
        <is>
          <t>Low</t>
        </is>
      </c>
      <c r="V86" s="33" t="inlineStr">
        <is>
          <t>Other Control Automation</t>
        </is>
      </c>
      <c r="W86" s="33" t="inlineStr">
        <is>
          <t>CAN-3433</t>
        </is>
      </c>
      <c r="X86" s="33" t="inlineStr">
        <is>
          <t>A data hygiene defect on the EventWatch side: leading and trailing spaces in the values the Disruption Agent matched on. They were stripped under TENAR-45367 and the fix was verified on stage on 07-Aug-2026.</t>
        </is>
      </c>
      <c r="Y86" s="33" t="inlineStr">
        <is>
          <t>Product &amp; Platform</t>
        </is>
      </c>
      <c r="Z86" s="37" t="n"/>
    </row>
    <row r="87">
      <c r="A87" s="35" t="n">
        <v>46235</v>
      </c>
      <c r="B87" s="37" t="n">
        <v>46245</v>
      </c>
      <c r="C87" s="33" t="inlineStr">
        <is>
          <t>Regulatory Change</t>
        </is>
      </c>
      <c r="D87" s="33" t="inlineStr">
        <is>
          <t>Ford</t>
        </is>
      </c>
      <c r="E87" s="39" t="n">
        <v>1</v>
      </c>
      <c r="F87" s="33" t="inlineStr">
        <is>
          <t>China MOFCOM Announcement No. 30 of 2026 (Export Control Watchlist)</t>
        </is>
      </c>
      <c r="G87" s="33" t="inlineStr">
        <is>
          <t>Complaint</t>
        </is>
      </c>
      <c r="H87" s="33" t="inlineStr">
        <is>
          <t>Missed Event</t>
        </is>
      </c>
      <c r="I87" s="33" t="inlineStr">
        <is>
          <t>People</t>
        </is>
      </c>
      <c r="J87" s="33" t="inlineStr">
        <is>
          <t>Review</t>
        </is>
      </c>
      <c r="K87" s="33" t="inlineStr">
        <is>
          <t>Improvement</t>
        </is>
      </c>
      <c r="L87" s="33" t="inlineStr">
        <is>
          <t>RCA Shared</t>
        </is>
      </c>
      <c r="M87" s="33" t="inlineStr">
        <is>
          <t>Not Impactful Decision Validation</t>
        </is>
      </c>
      <c r="N87" s="33" t="inlineStr">
        <is>
          <t>Yes</t>
        </is>
      </c>
      <c r="O87" s="33" t="inlineStr">
        <is>
          <t>EAO-23: News was captured but initially classified as Not Impactful by AI. Human-in-the-loop review did not escalate the event. RCA shared based on the investigation trail.</t>
        </is>
      </c>
      <c r="P87" s="33" t="n"/>
      <c r="Q87" s="33" t="inlineStr">
        <is>
          <t>Yes</t>
        </is>
      </c>
      <c r="R87" s="39" t="n">
        <v>8</v>
      </c>
      <c r="S87" s="39" t="n"/>
      <c r="T87" s="35" t="n">
        <v>46235</v>
      </c>
      <c r="U87" s="33" t="inlineStr">
        <is>
          <t>Medium</t>
        </is>
      </c>
      <c r="V87" s="33" t="inlineStr">
        <is>
          <t>WarRoom &amp; Decision Validation</t>
        </is>
      </c>
      <c r="W87" s="33" t="inlineStr">
        <is>
          <t>EAO-23</t>
        </is>
      </c>
      <c r="X87" s="33" t="inlineStr">
        <is>
          <t>RCA approved and sent to the customer on 05-Aug-2026 as a PDF attached to EAO-23; the document text is not in the ticket.</t>
        </is>
      </c>
      <c r="Y87" s="33" t="inlineStr">
        <is>
          <t>EventWatch Ops - Nitin Rindhe</t>
        </is>
      </c>
      <c r="Z87" s="37" t="n">
        <v>46252</v>
      </c>
    </row>
    <row r="88">
      <c r="A88" s="35" t="n">
        <v>46235</v>
      </c>
      <c r="B88" s="37" t="n">
        <v>46248</v>
      </c>
      <c r="C88" s="33" t="inlineStr">
        <is>
          <t>Bankruptcy</t>
        </is>
      </c>
      <c r="D88" s="33" t="inlineStr">
        <is>
          <t>Infineon</t>
        </is>
      </c>
      <c r="E88" s="39" t="n">
        <v>1</v>
      </c>
      <c r="F88" s="33" t="inlineStr">
        <is>
          <t>Eberhard AG Insolvency – No EventWatch Alert (Infineon)</t>
        </is>
      </c>
      <c r="G88" s="33" t="inlineStr">
        <is>
          <t>Complaint</t>
        </is>
      </c>
      <c r="H88" s="33" t="inlineStr">
        <is>
          <t>Missed insolvency alert</t>
        </is>
      </c>
      <c r="I88" s="33" t="inlineStr">
        <is>
          <t>Product</t>
        </is>
      </c>
      <c r="J88" s="33" t="inlineStr">
        <is>
          <t>Source Coverage</t>
        </is>
      </c>
      <c r="K88" s="33" t="inlineStr">
        <is>
          <t>Improvement</t>
        </is>
      </c>
      <c r="L88" s="33" t="inlineStr">
        <is>
          <t>RCA Shared</t>
        </is>
      </c>
      <c r="M88" s="33" t="inlineStr">
        <is>
          <t>Add the bankruptcy and insolvency sources covering this supplier's region to the vendor network, so a filing at a mapped supplier is captured when it is published rather than when the customer raises it</t>
        </is>
      </c>
      <c r="N88" s="33" t="inlineStr">
        <is>
          <t>Yes</t>
        </is>
      </c>
      <c r="O88" s="33" t="inlineStr">
        <is>
          <t>Raised by Infineon at the weekly sync: Eberhard AG, a critical supplier, reportedly entered bankruptcy proceedings and no EventWatch alert or notification was received. The customer cited it as a case where they expected early-warning signals and bankruptcy intelligence through the Resilinc platform. Product Management reported that the sources carrying the filing are not part of the vendor network and that the vendor has been asked to include them; recorded as a source miss at the portal. There is no EAO key for this record: it was raised by email to the team rather than by opening a Jira ticket.</t>
        </is>
      </c>
      <c r="P88" s="33" t="n"/>
      <c r="Q88" s="33" t="inlineStr">
        <is>
          <t>Yes</t>
        </is>
      </c>
      <c r="R88" s="39" t="n">
        <v>8</v>
      </c>
      <c r="S88" s="39" t="n"/>
      <c r="T88" s="35" t="inlineStr">
        <is>
          <t>Aug 2026</t>
        </is>
      </c>
      <c r="U88" s="33" t="inlineStr">
        <is>
          <t>Medium</t>
        </is>
      </c>
      <c r="V88" s="33" t="inlineStr">
        <is>
          <t>Dynamic Source Discovery</t>
        </is>
      </c>
      <c r="W88" s="33" t="n"/>
      <c r="X88" s="33" t="inlineStr">
        <is>
          <t>The sources reporting the Eberhard AG insolvency are not part of the vendor network; the vendor has been asked to include them. Recorded by Product Management as a source miss at the portal.</t>
        </is>
      </c>
      <c r="Y88" s="33" t="inlineStr">
        <is>
          <t>Product &amp; Platform</t>
        </is>
      </c>
      <c r="Z88" s="37" t="n"/>
    </row>
    <row r="89">
      <c r="A89" s="35" t="n">
        <v>46235</v>
      </c>
      <c r="B89" s="37" t="n">
        <v>46251</v>
      </c>
      <c r="C89" s="33" t="inlineStr">
        <is>
          <t>Geopolitical</t>
        </is>
      </c>
      <c r="D89" s="33" t="inlineStr">
        <is>
          <t>Ford</t>
        </is>
      </c>
      <c r="E89" s="39" t="n">
        <v>1</v>
      </c>
      <c r="F89" s="33" t="inlineStr">
        <is>
          <t>Ceuta Border Security &amp; Humanitarian Crisis</t>
        </is>
      </c>
      <c r="G89" s="33" t="inlineStr">
        <is>
          <t>Complaint</t>
        </is>
      </c>
      <c r="H89" s="33" t="inlineStr">
        <is>
          <t>Missed Event</t>
        </is>
      </c>
      <c r="I89" s="33" t="inlineStr">
        <is>
          <t>People</t>
        </is>
      </c>
      <c r="J89" s="33" t="inlineStr">
        <is>
          <t>Review</t>
        </is>
      </c>
      <c r="K89" s="33" t="inlineStr">
        <is>
          <t>Improvement</t>
        </is>
      </c>
      <c r="L89" s="33" t="inlineStr">
        <is>
          <t>RCA Shared</t>
        </is>
      </c>
      <c r="M89" s="33" t="inlineStr">
        <is>
          <t>WarRoom Trigger Automation</t>
        </is>
      </c>
      <c r="N89" s="33" t="inlineStr">
        <is>
          <t>Yes</t>
        </is>
      </c>
      <c r="O89" s="33" t="inlineStr">
        <is>
          <t>EAO-27: Customer reported a missed EventWatch alert and requested an update. RCA shared following review of the event.</t>
        </is>
      </c>
      <c r="P89" s="33" t="n"/>
      <c r="Q89" s="33" t="inlineStr">
        <is>
          <t>Yes</t>
        </is>
      </c>
      <c r="R89" s="39" t="n">
        <v>8</v>
      </c>
      <c r="S89" s="39" t="n"/>
      <c r="T89" s="35" t="n">
        <v>46235</v>
      </c>
      <c r="U89" s="33" t="inlineStr">
        <is>
          <t>Medium</t>
        </is>
      </c>
      <c r="V89" s="33" t="inlineStr">
        <is>
          <t>WarRoom &amp; Decision Validation</t>
        </is>
      </c>
      <c r="W89" s="33" t="inlineStr">
        <is>
          <t>EAO-27</t>
        </is>
      </c>
      <c r="X89" s="33" t="inlineStr">
        <is>
          <t>RCA reviewed and sent to the customer on 20-Aug-2026 as a PDF attached to EAO-27; the document text is not in the ticket. Closed 25-Aug-2026 after no customer follow-up.</t>
        </is>
      </c>
      <c r="Y89" s="33" t="inlineStr">
        <is>
          <t>EventWatch Ops - Nitin Rindhe</t>
        </is>
      </c>
      <c r="Z89" s="37" t="n">
        <v>46259</v>
      </c>
    </row>
    <row r="90">
      <c r="A90" s="35" t="n">
        <v>46235</v>
      </c>
      <c r="B90" s="37" t="n">
        <v>46251</v>
      </c>
      <c r="C90" s="33" t="inlineStr">
        <is>
          <t>Port Disruption</t>
        </is>
      </c>
      <c r="D90" s="33" t="inlineStr">
        <is>
          <t>Eaton</t>
        </is>
      </c>
      <c r="E90" s="39" t="n">
        <v>1</v>
      </c>
      <c r="F90" s="33" t="inlineStr">
        <is>
          <t>Kandla Port Cargo Congestion – Supplier Impact Notification Clarification (Eaton)</t>
        </is>
      </c>
      <c r="G90" s="33" t="inlineStr">
        <is>
          <t>Inquiry</t>
        </is>
      </c>
      <c r="H90" s="33" t="inlineStr">
        <is>
          <t>Supplier Impact Mapping Clarification</t>
        </is>
      </c>
      <c r="I90" s="33" t="inlineStr">
        <is>
          <t>Process</t>
        </is>
      </c>
      <c r="J90" s="33" t="inlineStr">
        <is>
          <t>Mapping</t>
        </is>
      </c>
      <c r="K90" s="33" t="inlineStr">
        <is>
          <t>Improvement</t>
        </is>
      </c>
      <c r="L90" s="33" t="inlineStr">
        <is>
          <t>Clarification Provided</t>
        </is>
      </c>
      <c r="M90" s="33" t="inlineStr">
        <is>
          <t>Impact-confirmation notification criteria documentation for port/logistics bulletins</t>
        </is>
      </c>
      <c r="N90" s="33" t="inlineStr">
        <is>
          <t>No</t>
        </is>
      </c>
      <c r="O90" s="33" t="inlineStr">
        <is>
          <t>Staged from Jira EAO-28 (Done). Eaton asked what criteria triggered impact-confirmation notifications to Eaton suppliers on the Kandla Port cargo congestion bulletin, since the bulletin text focused on rice exports.</t>
        </is>
      </c>
      <c r="Q90" s="33" t="inlineStr">
        <is>
          <t>No</t>
        </is>
      </c>
      <c r="R90" s="39" t="n">
        <v>8</v>
      </c>
      <c r="T90" s="35" t="n">
        <v>46235</v>
      </c>
      <c r="U90" s="33" t="inlineStr">
        <is>
          <t>Low</t>
        </is>
      </c>
      <c r="V90" s="33" t="inlineStr">
        <is>
          <t>Entity &amp; Supplier Resolution</t>
        </is>
      </c>
      <c r="W90" s="33" t="inlineStr">
        <is>
          <t>EAO-28</t>
        </is>
      </c>
      <c r="X90" s="33" t="inlineStr">
        <is>
          <t>No RCA document issued - the team shares one only where there was a miss. Clarification given instead: EventWatch published the Kandla congestion event on reports of clearance delays up to 40 days and container shortages. The source article highlighted rice exports, but nothing indicated the congestion was confined to rice cargo, so mapped supplier sites within the impact area were sent Supplier Impact Confirmation requests as proactive validation. The outreach was not a statement that those suppliers were already impacted.</t>
        </is>
      </c>
      <c r="Y90" s="33" t="inlineStr">
        <is>
          <t>EventWatch Ops - Nitin Rindhe</t>
        </is>
      </c>
      <c r="Z90" s="37" t="n">
        <v>46259</v>
      </c>
    </row>
    <row r="91">
      <c r="A91" s="35" t="n">
        <v>46235</v>
      </c>
      <c r="B91" s="37" t="n">
        <v>46252</v>
      </c>
      <c r="C91" s="33" t="inlineStr">
        <is>
          <t>Factory Fire</t>
        </is>
      </c>
      <c r="D91" s="33" t="inlineStr">
        <is>
          <t>Ford</t>
        </is>
      </c>
      <c r="E91" s="39" t="n">
        <v>1</v>
      </c>
      <c r="F91" s="33" t="inlineStr">
        <is>
          <t>Sasol Polyethylene Plant Fire / Shutdown</t>
        </is>
      </c>
      <c r="G91" s="33" t="inlineStr">
        <is>
          <t>Complaint</t>
        </is>
      </c>
      <c r="H91" s="33" t="inlineStr">
        <is>
          <t>Missed Event</t>
        </is>
      </c>
      <c r="I91" s="33" t="inlineStr">
        <is>
          <t>Product</t>
        </is>
      </c>
      <c r="J91" s="33" t="inlineStr">
        <is>
          <t>Source Coverage</t>
        </is>
      </c>
      <c r="K91" s="33" t="inlineStr">
        <is>
          <t>Improvement</t>
        </is>
      </c>
      <c r="L91" s="33" t="inlineStr">
        <is>
          <t>RCA Shared</t>
        </is>
      </c>
      <c r="M91" s="33" t="inlineStr">
        <is>
          <t>Dynamic Source Discovery</t>
        </is>
      </c>
      <c r="N91" s="33" t="inlineStr">
        <is>
          <t>Yes</t>
        </is>
      </c>
      <c r="O91" s="33" t="inlineStr">
        <is>
          <t>EAO-26: Customer reported a missed EventWatch alert for the Sasol polyethylene plant fire and shutdown. Investigation and RCA were requested; RCA shared.</t>
        </is>
      </c>
      <c r="P91" s="33" t="n"/>
      <c r="Q91" s="33" t="inlineStr">
        <is>
          <t>Yes</t>
        </is>
      </c>
      <c r="R91" s="39" t="n">
        <v>8</v>
      </c>
      <c r="S91" s="39" t="n"/>
      <c r="T91" s="35" t="n">
        <v>46235</v>
      </c>
      <c r="U91" s="33" t="inlineStr">
        <is>
          <t>Medium</t>
        </is>
      </c>
      <c r="V91" s="33" t="inlineStr">
        <is>
          <t>Dynamic Source Discovery</t>
        </is>
      </c>
      <c r="W91" s="33" t="inlineStr">
        <is>
          <t>EAO-26</t>
        </is>
      </c>
      <c r="X91" s="33" t="inlineStr">
        <is>
          <t>RCA reviewed and sent to the customer on 20-Aug-2026 as a PDF attached to EAO-26; the document text is not in the ticket. Closed 25-Aug-2026 after no customer follow-up.</t>
        </is>
      </c>
      <c r="Y91" s="33" t="inlineStr">
        <is>
          <t>Product &amp; Platform</t>
        </is>
      </c>
      <c r="Z91" s="37" t="n">
        <v>46259</v>
      </c>
    </row>
    <row r="92">
      <c r="A92" s="35" t="n">
        <v>46235</v>
      </c>
      <c r="B92" s="37" t="n">
        <v>46254</v>
      </c>
      <c r="C92" s="33" t="inlineStr">
        <is>
          <t>Hurricane/Typhoon</t>
        </is>
      </c>
      <c r="D92" s="33" t="inlineStr">
        <is>
          <t>Ford</t>
        </is>
      </c>
      <c r="E92" s="39" t="n">
        <v>1</v>
      </c>
      <c r="F92" s="33" t="inlineStr">
        <is>
          <t>Typhoon Dolphin Bulletins Distributed Across Two WarRooms</t>
        </is>
      </c>
      <c r="G92" s="33" t="inlineStr">
        <is>
          <t>Inquiry</t>
        </is>
      </c>
      <c r="H92" s="33" t="inlineStr">
        <is>
          <t>Coverage Verification Request</t>
        </is>
      </c>
      <c r="I92" s="33" t="inlineStr">
        <is>
          <t>Process</t>
        </is>
      </c>
      <c r="J92" s="33" t="inlineStr">
        <is>
          <t>Policy/Logic</t>
        </is>
      </c>
      <c r="K92" s="33" t="inlineStr">
        <is>
          <t>Improvement</t>
        </is>
      </c>
      <c r="L92" s="33" t="inlineStr">
        <is>
          <t>Clarification Provided</t>
        </is>
      </c>
      <c r="M92" s="33" t="inlineStr">
        <is>
          <t>Make the shared update sequence legible on the bulletin itself, so a jump from Update 2 to Update 5 in one country's WarRoom shows which storm-lifecycle updates ran under the other WarRooms instead of reading as missing bulletins</t>
        </is>
      </c>
      <c r="N92" s="33" t="inlineStr">
        <is>
          <t>No</t>
        </is>
      </c>
      <c r="O92" s="33" t="inlineStr">
        <is>
          <t>EAO-29: Bulletins were distributed across two WarRooms, resulting in gaps in the update sequence. Customer requested RCA; RCA shared.</t>
        </is>
      </c>
      <c r="P92" s="33" t="n"/>
      <c r="Q92" s="33" t="inlineStr">
        <is>
          <t>No</t>
        </is>
      </c>
      <c r="R92" s="39" t="n">
        <v>8</v>
      </c>
      <c r="S92" s="39" t="n"/>
      <c r="T92" s="35" t="n">
        <v>46235</v>
      </c>
      <c r="U92" s="33" t="inlineStr">
        <is>
          <t>Low</t>
        </is>
      </c>
      <c r="V92" s="33" t="inlineStr">
        <is>
          <t>Other Control Automation</t>
        </is>
      </c>
      <c r="W92" s="33" t="inlineStr">
        <is>
          <t>EAO-29</t>
        </is>
      </c>
      <c r="X92" s="33" t="inlineStr">
        <is>
          <t>Not duplicate WarRooms and not a defect: a question about a deliberate internal convention. Country-specific WarRooms for one storm share a single update sequence so the chronology of the underlying event stays end to end. A storm evolves over days, changes direction and intensity and crosses borders, and a shared sequence lets a customer exposed in several geographies see where each development sits in the overall lifecycle. It also signals maturity of the threat: restarting the numbering for each new country would make an established, highly disruptive typhoon appear as an Initial Bulletin. It further preserves cross-country traceability, since independent numbering would produce several Update 1s and Update 2s for the same storm. The WarRoom says where a development is relevant; the update number says where it falls in the storm's lifecycle. So when the China WarRoom runs from Update 2 to Update 5, Updates 3 and 4 are not missing - they were intervening Typhoon Dolphin developments relevant to Japan and published under the Japan WarRoom, the same principle covering Update 7 for Taiwan. The explanation was shared with the customer, who was invited to give further feedback.</t>
        </is>
      </c>
      <c r="Y92" s="33" t="inlineStr">
        <is>
          <t>EventWatch Ops - Nitin Rindhe</t>
        </is>
      </c>
      <c r="Z92" s="37" t="n">
        <v>46272</v>
      </c>
    </row>
    <row r="93">
      <c r="A93" s="35" t="n">
        <v>46235</v>
      </c>
      <c r="B93" s="37" t="n">
        <v>46255</v>
      </c>
      <c r="C93" s="33" t="inlineStr">
        <is>
          <t>Port Disruption</t>
        </is>
      </c>
      <c r="D93" s="33" t="inlineStr">
        <is>
          <t>Ford/GM</t>
        </is>
      </c>
      <c r="E93" s="39" t="n">
        <v>2</v>
      </c>
      <c r="F93" s="33" t="inlineStr">
        <is>
          <t>World Trade Bridge Closed in Laredo, Texas</t>
        </is>
      </c>
      <c r="G93" s="33" t="inlineStr">
        <is>
          <t>Complaint</t>
        </is>
      </c>
      <c r="H93" s="33" t="inlineStr">
        <is>
          <t>Missed Event</t>
        </is>
      </c>
      <c r="I93" s="33" t="inlineStr">
        <is>
          <t>Product</t>
        </is>
      </c>
      <c r="J93" s="33" t="inlineStr">
        <is>
          <t>Keyword Update</t>
        </is>
      </c>
      <c r="K93" s="33" t="inlineStr">
        <is>
          <t>Improvement</t>
        </is>
      </c>
      <c r="L93" s="33" t="inlineStr">
        <is>
          <t>Fixed</t>
        </is>
      </c>
      <c r="M93" s="33" t="inlineStr">
        <is>
          <t>Dynamic Source Discovery</t>
        </is>
      </c>
      <c r="N93" s="33" t="inlineStr">
        <is>
          <t>Yes</t>
        </is>
      </c>
      <c r="O93" s="33" t="inlineStr">
        <is>
          <t>EAO-25: Event was missed due to a keyword gap. Keyword was added and the article is now being captured.</t>
        </is>
      </c>
      <c r="P93" s="33" t="n"/>
      <c r="Q93" s="33" t="inlineStr">
        <is>
          <t>Yes</t>
        </is>
      </c>
      <c r="R93" s="39" t="n">
        <v>8</v>
      </c>
      <c r="S93" s="39" t="n"/>
      <c r="T93" s="35" t="n">
        <v>46235</v>
      </c>
      <c r="U93" s="33" t="inlineStr">
        <is>
          <t>Medium</t>
        </is>
      </c>
      <c r="V93" s="33" t="inlineStr">
        <is>
          <t>Dynamic Source Discovery</t>
        </is>
      </c>
      <c r="W93" s="33" t="inlineStr">
        <is>
          <t>EAO-25</t>
        </is>
      </c>
      <c r="X93" s="33" t="inlineStr">
        <is>
          <t>Source articles for the Laredo World Trade Bridge closure, the Nemak Monterrey fire and the FXI Cuautitlan fire were not captured on the portal; Engineering investigation into the feed gap was requested 04-Aug-2026. Ticket is still open with PM, so no RCA has been issued yet.</t>
        </is>
      </c>
      <c r="Y93" s="33" t="inlineStr">
        <is>
          <t>Product &amp; Platform</t>
        </is>
      </c>
      <c r="Z93" s="37" t="n"/>
    </row>
    <row r="94">
      <c r="A94" s="35" t="n">
        <v>46235</v>
      </c>
      <c r="B94" s="37" t="n">
        <v>46255</v>
      </c>
      <c r="C94" s="33" t="inlineStr">
        <is>
          <t>Factory Fire</t>
        </is>
      </c>
      <c r="D94" s="33" t="inlineStr">
        <is>
          <t>Ford/GM</t>
        </is>
      </c>
      <c r="E94" s="39" t="n">
        <v>2</v>
      </c>
      <c r="F94" s="33" t="inlineStr">
        <is>
          <t>Fire at FXI de Cuautitlán, S.A. de C.V.</t>
        </is>
      </c>
      <c r="G94" s="33" t="inlineStr">
        <is>
          <t>Complaint</t>
        </is>
      </c>
      <c r="H94" s="33" t="inlineStr">
        <is>
          <t>Missed Event</t>
        </is>
      </c>
      <c r="I94" s="33" t="inlineStr">
        <is>
          <t>Product</t>
        </is>
      </c>
      <c r="J94" s="33" t="inlineStr">
        <is>
          <t>Source Coverage</t>
        </is>
      </c>
      <c r="K94" s="33" t="inlineStr">
        <is>
          <t>Improvement</t>
        </is>
      </c>
      <c r="L94" s="33" t="inlineStr">
        <is>
          <t>RCA Shared</t>
        </is>
      </c>
      <c r="M94" s="33" t="inlineStr">
        <is>
          <t>Dynamic Source Discovery</t>
        </is>
      </c>
      <c r="N94" s="33" t="inlineStr">
        <is>
          <t>Yes</t>
        </is>
      </c>
      <c r="O94" s="33" t="inlineStr">
        <is>
          <t>EAO-25: Event was not captured by the vendor due to a source coverage gap. Vendor was asked to add the sources to its network. RCA shared based on the investigation trail.</t>
        </is>
      </c>
      <c r="P94" s="33" t="n"/>
      <c r="Q94" s="33" t="inlineStr">
        <is>
          <t>Yes</t>
        </is>
      </c>
      <c r="R94" s="39" t="n">
        <v>8</v>
      </c>
      <c r="S94" s="39" t="n"/>
      <c r="T94" s="35" t="n">
        <v>46235</v>
      </c>
      <c r="U94" s="33" t="inlineStr">
        <is>
          <t>Medium</t>
        </is>
      </c>
      <c r="V94" s="33" t="inlineStr">
        <is>
          <t>Dynamic Source Discovery</t>
        </is>
      </c>
      <c r="W94" s="33" t="inlineStr">
        <is>
          <t>EAO-25</t>
        </is>
      </c>
      <c r="X94" s="33" t="inlineStr">
        <is>
          <t>Source articles for the Laredo World Trade Bridge closure, the Nemak Monterrey fire and the FXI Cuautitlan fire were not captured on the portal; Engineering investigation into the feed gap was requested 04-Aug-2026. Ticket is still open with PM, so no RCA has been issued yet.</t>
        </is>
      </c>
      <c r="Y94" s="33" t="inlineStr">
        <is>
          <t>Product &amp; Platform</t>
        </is>
      </c>
      <c r="Z94" s="37" t="n"/>
    </row>
    <row r="95">
      <c r="A95" s="35" t="n">
        <v>46235</v>
      </c>
      <c r="B95" s="37" t="n">
        <v>46258</v>
      </c>
      <c r="C95" s="33" t="inlineStr">
        <is>
          <t>Factory Fire</t>
        </is>
      </c>
      <c r="D95" s="33" t="inlineStr">
        <is>
          <t>Ford/GM</t>
        </is>
      </c>
      <c r="E95" s="39" t="n">
        <v>2</v>
      </c>
      <c r="F95" s="33" t="inlineStr">
        <is>
          <t>Fire at Nemak Factory in Monterrey, Mexico</t>
        </is>
      </c>
      <c r="G95" s="33" t="inlineStr">
        <is>
          <t>Complaint</t>
        </is>
      </c>
      <c r="H95" s="33" t="inlineStr">
        <is>
          <t>Missed Event</t>
        </is>
      </c>
      <c r="I95" s="33" t="inlineStr">
        <is>
          <t>People</t>
        </is>
      </c>
      <c r="J95" s="33" t="inlineStr">
        <is>
          <t>Review</t>
        </is>
      </c>
      <c r="K95" s="33" t="inlineStr">
        <is>
          <t>Improvement</t>
        </is>
      </c>
      <c r="L95" s="33" t="inlineStr">
        <is>
          <t>RCA Shared</t>
        </is>
      </c>
      <c r="M95" s="33" t="inlineStr">
        <is>
          <t>Not Impactful Decision Validation</t>
        </is>
      </c>
      <c r="N95" s="33" t="inlineStr">
        <is>
          <t>Yes</t>
        </is>
      </c>
      <c r="O95" s="33" t="inlineStr">
        <is>
          <t>EAO-25: News processing captured the article and attached it to an updated factory-fire cluster. The event was later marked Not Impactful by the analyst. RCA shared based on the investigation trail.</t>
        </is>
      </c>
      <c r="P95" s="33" t="n"/>
      <c r="Q95" s="33" t="inlineStr">
        <is>
          <t>Yes</t>
        </is>
      </c>
      <c r="R95" s="39" t="n">
        <v>8</v>
      </c>
      <c r="S95" s="39" t="n"/>
      <c r="T95" s="35" t="n">
        <v>46235</v>
      </c>
      <c r="U95" s="33" t="inlineStr">
        <is>
          <t>Medium</t>
        </is>
      </c>
      <c r="V95" s="33" t="inlineStr">
        <is>
          <t>WarRoom &amp; Decision Validation</t>
        </is>
      </c>
      <c r="W95" s="33" t="inlineStr">
        <is>
          <t>EAO-25</t>
        </is>
      </c>
      <c r="X95" s="33" t="inlineStr">
        <is>
          <t>Source articles for the Laredo World Trade Bridge closure, the Nemak Monterrey fire and the FXI Cuautitlan fire were not captured on the portal; Engineering investigation into the feed gap was requested 04-Aug-2026. Ticket is still open with PM, so no RCA has been issued yet.</t>
        </is>
      </c>
      <c r="Y95" s="33" t="inlineStr">
        <is>
          <t>EventWatch Ops - Nitin Rindhe</t>
        </is>
      </c>
      <c r="Z95" s="37" t="n"/>
    </row>
    <row r="96">
      <c r="A96" s="35" t="n">
        <v>46235</v>
      </c>
      <c r="B96" s="37" t="n">
        <v>46258</v>
      </c>
      <c r="C96" s="33" t="inlineStr">
        <is>
          <t>Cyber Attack</t>
        </is>
      </c>
      <c r="D96" s="33" t="inlineStr">
        <is>
          <t>The American National Red Cross</t>
        </is>
      </c>
      <c r="E96" s="39" t="n">
        <v>1</v>
      </c>
      <c r="F96" s="33" t="inlineStr">
        <is>
          <t>Uber Freight Investigates Reported Cyberattack After Hackers Claim Data Breach</t>
        </is>
      </c>
      <c r="G96" s="33" t="inlineStr">
        <is>
          <t>Complaint</t>
        </is>
      </c>
      <c r="H96" s="33" t="inlineStr">
        <is>
          <t>WarRoom not visible in customer profile</t>
        </is>
      </c>
      <c r="I96" s="33" t="inlineStr">
        <is>
          <t>Process</t>
        </is>
      </c>
      <c r="J96" s="33" t="inlineStr">
        <is>
          <t>Visibility</t>
        </is>
      </c>
      <c r="K96" s="33" t="inlineStr">
        <is>
          <t>Improvement</t>
        </is>
      </c>
      <c r="L96" s="33" t="inlineStr">
        <is>
          <t>RCA Shared</t>
        </is>
      </c>
      <c r="M96" s="33" t="inlineStr">
        <is>
          <t>Notification Visibility Monitoring</t>
        </is>
      </c>
      <c r="N96" s="33" t="inlineStr">
        <is>
          <t>No</t>
        </is>
      </c>
      <c r="O96" s="33" t="inlineStr">
        <is>
          <t>EAO-30: EventWatch news was published on August 13 but was not visible on the customer portal. Portal visibility investigation completed and clarification provided.</t>
        </is>
      </c>
      <c r="P96" s="33" t="n"/>
      <c r="Q96" s="33" t="inlineStr">
        <is>
          <t>Yes</t>
        </is>
      </c>
      <c r="R96" s="39" t="n">
        <v>8</v>
      </c>
      <c r="S96" s="39" t="n"/>
      <c r="T96" s="35" t="n">
        <v>46235</v>
      </c>
      <c r="U96" s="33" t="inlineStr">
        <is>
          <t>Medium</t>
        </is>
      </c>
      <c r="V96" s="33" t="inlineStr">
        <is>
          <t>Notification Visibility Monitoring</t>
        </is>
      </c>
      <c r="W96" s="33" t="inlineStr">
        <is>
          <t>TS-22695</t>
        </is>
      </c>
      <c r="X96" s="33" t="n"/>
      <c r="Y96" s="33" t="inlineStr">
        <is>
          <t>EventWatch Ops - Nitin Rindhe</t>
        </is>
      </c>
      <c r="Z96" s="37" t="n"/>
    </row>
    <row r="97">
      <c r="A97" s="35" t="n">
        <v>46235</v>
      </c>
      <c r="B97" s="37" t="n">
        <v>46265</v>
      </c>
      <c r="C97" s="33" t="inlineStr">
        <is>
          <t>Cyber Attack</t>
        </is>
      </c>
      <c r="D97" s="33" t="inlineStr">
        <is>
          <t>Schneider Electric</t>
        </is>
      </c>
      <c r="E97" s="39" t="n">
        <v>1</v>
      </c>
      <c r="F97" s="33" t="inlineStr">
        <is>
          <t>Gindre India Data Breach – EventWatch Alert/WarRoom Missing</t>
        </is>
      </c>
      <c r="G97" s="33" t="inlineStr">
        <is>
          <t>Complaint</t>
        </is>
      </c>
      <c r="H97" s="33" t="inlineStr">
        <is>
          <t>Missed Event</t>
        </is>
      </c>
      <c r="I97" s="33" t="inlineStr">
        <is>
          <t>Product</t>
        </is>
      </c>
      <c r="J97" s="33" t="inlineStr">
        <is>
          <t>Source Coverage</t>
        </is>
      </c>
      <c r="K97" s="33" t="inlineStr">
        <is>
          <t>Improvement</t>
        </is>
      </c>
      <c r="L97" s="33" t="inlineStr">
        <is>
          <t>RCA Shared</t>
        </is>
      </c>
      <c r="M97" s="33" t="inlineStr">
        <is>
          <t>Dynamic Source Discovery</t>
        </is>
      </c>
      <c r="N97" s="33" t="inlineStr">
        <is>
          <t>Yes</t>
        </is>
      </c>
      <c r="O97" s="33" t="inlineStr">
        <is>
          <t>EAO-31: No corresponding EventWatch event or WarRoom was found for the reported data breach. Source coverage review completed and RCA shared.</t>
        </is>
      </c>
      <c r="P97" s="33" t="n"/>
      <c r="Q97" s="33" t="inlineStr">
        <is>
          <t>Yes</t>
        </is>
      </c>
      <c r="R97" s="39" t="n">
        <v>8</v>
      </c>
      <c r="S97" s="39" t="n"/>
      <c r="T97" s="35" t="n">
        <v>46235</v>
      </c>
      <c r="U97" s="33" t="inlineStr">
        <is>
          <t>Medium</t>
        </is>
      </c>
      <c r="V97" s="33" t="inlineStr">
        <is>
          <t>Dynamic Source Discovery</t>
        </is>
      </c>
      <c r="W97" s="33" t="inlineStr">
        <is>
          <t>EAO-31</t>
        </is>
      </c>
      <c r="X97" s="33" t="inlineStr">
        <is>
          <t>Feeds reporting the Qilin ransomware breach at Gindre India were not captured on the EventWatch portal; Engineering investigation requested 31-Aug-2026. RCA reviewed and shared with the customer 03-Sep-2026.</t>
        </is>
      </c>
      <c r="Y97" s="33" t="inlineStr">
        <is>
          <t>Product &amp; Platform</t>
        </is>
      </c>
      <c r="Z97" s="37" t="n">
        <v>46272</v>
      </c>
    </row>
    <row r="98">
      <c r="A98" s="35" t="n">
        <v>46235</v>
      </c>
      <c r="B98" s="37" t="n">
        <v>46265</v>
      </c>
      <c r="C98" s="33" t="inlineStr">
        <is>
          <t>Cyber Attack</t>
        </is>
      </c>
      <c r="D98" s="33" t="inlineStr">
        <is>
          <t>Merck</t>
        </is>
      </c>
      <c r="E98" s="39" t="n">
        <v>1</v>
      </c>
      <c r="F98" s="33" t="inlineStr">
        <is>
          <t>Baxter International Reports a Cybersecurity Incident</t>
        </is>
      </c>
      <c r="G98" s="33" t="inlineStr">
        <is>
          <t>Complaint</t>
        </is>
      </c>
      <c r="H98" s="33" t="inlineStr">
        <is>
          <t>Missed Event</t>
        </is>
      </c>
      <c r="I98" s="33" t="inlineStr">
        <is>
          <t>People</t>
        </is>
      </c>
      <c r="J98" s="33" t="inlineStr">
        <is>
          <t>Review</t>
        </is>
      </c>
      <c r="K98" s="33" t="inlineStr">
        <is>
          <t>Improvement</t>
        </is>
      </c>
      <c r="L98" s="33" t="inlineStr">
        <is>
          <t>RCA Shared</t>
        </is>
      </c>
      <c r="M98" s="33" t="inlineStr">
        <is>
          <t>Not Impactful Decision Validation</t>
        </is>
      </c>
      <c r="N98" s="33" t="inlineStr">
        <is>
          <t>Yes</t>
        </is>
      </c>
      <c r="O98" s="33" t="inlineStr">
        <is>
          <t>Customer reported the missed Baxter ransomware incident. EventWatch captured the report on August 14, but human review incorrectly marked it Not Impactful; the event was re-evaluated, a WarRoom was created, and an NC was raised.</t>
        </is>
      </c>
      <c r="P98" s="33" t="n"/>
      <c r="Q98" s="33" t="inlineStr">
        <is>
          <t>Yes</t>
        </is>
      </c>
      <c r="R98" s="39" t="n">
        <v>8</v>
      </c>
      <c r="S98" s="39" t="n"/>
      <c r="T98" s="35" t="n">
        <v>46235</v>
      </c>
      <c r="U98" s="33" t="inlineStr">
        <is>
          <t>Medium</t>
        </is>
      </c>
      <c r="V98" s="33" t="inlineStr">
        <is>
          <t>WarRoom &amp; Decision Validation</t>
        </is>
      </c>
      <c r="X98" s="33" t="n"/>
      <c r="Y98" s="33" t="inlineStr">
        <is>
          <t>EventWatch Ops - Nitin Rindhe</t>
        </is>
      </c>
      <c r="Z98" s="37" t="n"/>
    </row>
    <row r="99">
      <c r="A99" s="35" t="n">
        <v>46235</v>
      </c>
      <c r="B99" s="37" t="n">
        <v>46265</v>
      </c>
      <c r="C99" s="33" t="inlineStr">
        <is>
          <t>Cyber Attack</t>
        </is>
      </c>
      <c r="D99" s="33" t="inlineStr">
        <is>
          <t>Merck</t>
        </is>
      </c>
      <c r="E99" s="39" t="n">
        <v>1</v>
      </c>
      <c r="F99" s="33" t="inlineStr">
        <is>
          <t>McKesson Corporation Confirms Data Breach Following a Cybersecurity Incident</t>
        </is>
      </c>
      <c r="G99" s="33" t="inlineStr">
        <is>
          <t>Complaint</t>
        </is>
      </c>
      <c r="H99" s="33" t="inlineStr">
        <is>
          <t>Missed Event</t>
        </is>
      </c>
      <c r="I99" s="33" t="inlineStr">
        <is>
          <t>People</t>
        </is>
      </c>
      <c r="J99" s="33" t="inlineStr">
        <is>
          <t>Review</t>
        </is>
      </c>
      <c r="K99" s="33" t="inlineStr">
        <is>
          <t>Improvement</t>
        </is>
      </c>
      <c r="L99" s="33" t="inlineStr">
        <is>
          <t>RCA Shared</t>
        </is>
      </c>
      <c r="M99" s="33" t="inlineStr">
        <is>
          <t>Entity &amp; Duplicate Decision Validation</t>
        </is>
      </c>
      <c r="N99" s="33" t="inlineStr">
        <is>
          <t>Yes</t>
        </is>
      </c>
      <c r="O99" s="33" t="inlineStr">
        <is>
          <t>Customer reported the missed McKesson data-breach incident. EventWatch captured the report on August 28, but human review assumed it was already covered; the event was re-evaluated, a WarRoom was created, and an NC was raised.</t>
        </is>
      </c>
      <c r="P99" s="33" t="n"/>
      <c r="Q99" s="33" t="inlineStr">
        <is>
          <t>Yes</t>
        </is>
      </c>
      <c r="R99" s="39" t="n">
        <v>8</v>
      </c>
      <c r="S99" s="39" t="n"/>
      <c r="T99" s="35" t="n">
        <v>46235</v>
      </c>
      <c r="U99" s="33" t="inlineStr">
        <is>
          <t>Medium</t>
        </is>
      </c>
      <c r="V99" s="33" t="inlineStr">
        <is>
          <t>WarRoom &amp; Decision Validation</t>
        </is>
      </c>
      <c r="X99" s="33" t="n"/>
      <c r="Y99" s="33" t="inlineStr">
        <is>
          <t>EventWatch Ops - Nitin Rindhe</t>
        </is>
      </c>
      <c r="Z99" s="37" t="n"/>
    </row>
    <row r="100">
      <c r="A100" s="35" t="n">
        <v>46235</v>
      </c>
      <c r="B100" s="37" t="n">
        <v>46265</v>
      </c>
      <c r="C100" s="33" t="inlineStr">
        <is>
          <t>Counterfeit</t>
        </is>
      </c>
      <c r="D100" s="33" t="inlineStr">
        <is>
          <t>Liberty Blume</t>
        </is>
      </c>
      <c r="E100" s="39" t="n">
        <v>1</v>
      </c>
      <c r="F100" s="33" t="inlineStr">
        <is>
          <t>Ciena 400G Optics Counterfeit Risk Intelligence Request (Liberty Blume)</t>
        </is>
      </c>
      <c r="G100" s="33" t="inlineStr">
        <is>
          <t>Inquiry</t>
        </is>
      </c>
      <c r="H100" s="33" t="inlineStr">
        <is>
          <t>Intelligence/Advisory Request</t>
        </is>
      </c>
      <c r="I100" s="33" t="inlineStr">
        <is>
          <t>Process</t>
        </is>
      </c>
      <c r="J100" s="33" t="inlineStr">
        <is>
          <t>Process Clarification</t>
        </is>
      </c>
      <c r="K100" s="33" t="inlineStr">
        <is>
          <t>Improvement</t>
        </is>
      </c>
      <c r="L100" s="33" t="inlineStr">
        <is>
          <t>Clarification Provided</t>
        </is>
      </c>
      <c r="M100" s="33" t="inlineStr">
        <is>
          <t>Counterfeit/grey-market component intelligence briefing capability</t>
        </is>
      </c>
      <c r="N100" s="33" t="inlineStr">
        <is>
          <t>No</t>
        </is>
      </c>
      <c r="O100" s="33" t="inlineStr">
        <is>
          <t>Staged from Jira EAO-32 (Open). Liberty Blume requested industry intelligence on counterfeit/grey-market Ciena 400G optical transceivers beyond the supplier scanning report already provided.</t>
        </is>
      </c>
      <c r="Q100" s="33" t="inlineStr">
        <is>
          <t>No</t>
        </is>
      </c>
      <c r="R100" s="39" t="n">
        <v>8</v>
      </c>
      <c r="T100" s="35" t="n">
        <v>46235</v>
      </c>
      <c r="U100" s="33" t="inlineStr">
        <is>
          <t>Low</t>
        </is>
      </c>
      <c r="V100" s="33" t="inlineStr">
        <is>
          <t>Other Control Automation</t>
        </is>
      </c>
      <c r="W100" s="33" t="inlineStr">
        <is>
          <t>EAO-32</t>
        </is>
      </c>
      <c r="X100" s="33" t="inlineStr">
        <is>
          <t>No RCA: an intelligence request, not a service miss. Liberty Blume asked for further detail on Ciena 400G optics counterfeit risk. EventWatch confirmed to the customer that no such reporting is available in the public domain and that the topic remains under active monitoring; the customer accepted that position, so the item is closed rather than open.</t>
        </is>
      </c>
      <c r="Y100" s="33" t="inlineStr">
        <is>
          <t>EventWatch Ops - Nitin Rindhe</t>
        </is>
      </c>
      <c r="Z100" s="37" t="n"/>
    </row>
    <row r="101">
      <c r="A101" s="35" t="n">
        <v>46266</v>
      </c>
      <c r="B101" s="37" t="n">
        <v>46267</v>
      </c>
      <c r="C101" s="33" t="inlineStr">
        <is>
          <t>Geopolitical</t>
        </is>
      </c>
      <c r="D101" s="33" t="inlineStr">
        <is>
          <t>Caterpillar</t>
        </is>
      </c>
      <c r="E101" s="39" t="n">
        <v>1</v>
      </c>
      <c r="F101" s="33" t="inlineStr">
        <is>
          <t>Taiwan Strait Conflict Risk Assessment – Missed EventWatch Notification</t>
        </is>
      </c>
      <c r="G101" s="33" t="inlineStr">
        <is>
          <t>Complaint</t>
        </is>
      </c>
      <c r="H101" s="33" t="inlineStr">
        <is>
          <t>Missed Event</t>
        </is>
      </c>
      <c r="I101" s="33" t="inlineStr">
        <is>
          <t>People</t>
        </is>
      </c>
      <c r="J101" s="33" t="inlineStr">
        <is>
          <t>Review</t>
        </is>
      </c>
      <c r="K101" s="33" t="inlineStr">
        <is>
          <t>Improvement</t>
        </is>
      </c>
      <c r="L101" s="33" t="inlineStr">
        <is>
          <t>RCA Shared</t>
        </is>
      </c>
      <c r="M101" s="33" t="inlineStr">
        <is>
          <t>Geopolitical conflict risk-assessment scenario monitoring and escalation</t>
        </is>
      </c>
      <c r="N101" s="33" t="inlineStr">
        <is>
          <t>Yes</t>
        </is>
      </c>
      <c r="O101" s="33" t="inlineStr">
        <is>
          <t>Staged from Jira EAO-33 (In Progress). Caterpillar reported no notification for “Taiwan Strait Conflict Risk Assessment and Potential Global Supply Chain Impact”; CS found no matching event in the backend.</t>
        </is>
      </c>
      <c r="Q101" s="33" t="inlineStr">
        <is>
          <t>Yes</t>
        </is>
      </c>
      <c r="R101" s="39" t="n">
        <v>9</v>
      </c>
      <c r="T101" s="35" t="n">
        <v>46266</v>
      </c>
      <c r="U101" s="33" t="inlineStr">
        <is>
          <t>Medium</t>
        </is>
      </c>
      <c r="V101" s="33" t="inlineStr">
        <is>
          <t>WarRoom &amp; Decision Validation</t>
        </is>
      </c>
      <c r="W101" s="33" t="inlineStr">
        <is>
          <t>EAO-33</t>
        </is>
      </c>
      <c r="X101" s="33" t="inlineStr">
        <is>
          <t>Human error. The analyst marked the event Not Impactful while clearing stories at pace, so it was never escalated for WarRoom consideration. The event was captured and available for review; ingestion, source coverage and mapping did not contribute.</t>
        </is>
      </c>
      <c r="Y101" s="33" t="inlineStr">
        <is>
          <t>EventWatch Ops - Nitin Rindhe</t>
        </is>
      </c>
      <c r="Z101" s="37" t="n"/>
    </row>
    <row r="102">
      <c r="A102" s="35" t="n">
        <v>46266</v>
      </c>
      <c r="B102" s="37" t="n">
        <v>46268</v>
      </c>
      <c r="C102" s="33" t="inlineStr">
        <is>
          <t>Protest/Riot</t>
        </is>
      </c>
      <c r="D102" s="33" t="inlineStr">
        <is>
          <t>Ford</t>
        </is>
      </c>
      <c r="E102" s="39" t="n">
        <v>1</v>
      </c>
      <c r="F102" s="33" t="inlineStr">
        <is>
          <t>Western Balkans Truck Driver/EU Border Blockade – August 31 Update Missed Alert (Ford)</t>
        </is>
      </c>
      <c r="G102" s="33" t="inlineStr">
        <is>
          <t>Complaint</t>
        </is>
      </c>
      <c r="H102" s="33" t="inlineStr">
        <is>
          <t>Missed Event</t>
        </is>
      </c>
      <c r="I102" s="33" t="inlineStr">
        <is>
          <t>People</t>
        </is>
      </c>
      <c r="J102" s="33" t="inlineStr">
        <is>
          <t>Review</t>
        </is>
      </c>
      <c r="K102" s="33" t="inlineStr">
        <is>
          <t>Improvement</t>
        </is>
      </c>
      <c r="L102" s="33" t="inlineStr">
        <is>
          <t>RCA Shared</t>
        </is>
      </c>
      <c r="M102" s="33" t="inlineStr">
        <is>
          <t>Recurring/evolving-event WarRoom update monitoring and re-escalation detection</t>
        </is>
      </c>
      <c r="N102" s="33" t="inlineStr">
        <is>
          <t>Yes</t>
        </is>
      </c>
      <c r="O102" s="33" t="inlineStr">
        <is>
          <t>Staged from Jira EAO-34 (Open). Ford reported a missed alert for the August 31 update to Western Balkans/Serbia-EU border blockade disruptions; CS found the original January 2026 event but needs to confirm whether it was updated to cover this development. Related to the January 2026 Eaton row above (same underlying WarRoom, different customer/date).</t>
        </is>
      </c>
      <c r="Q102" s="33" t="inlineStr">
        <is>
          <t>Yes</t>
        </is>
      </c>
      <c r="R102" s="39" t="n">
        <v>9</v>
      </c>
      <c r="T102" s="35" t="n">
        <v>46266</v>
      </c>
      <c r="U102" s="33" t="inlineStr">
        <is>
          <t>Medium</t>
        </is>
      </c>
      <c r="V102" s="33" t="inlineStr">
        <is>
          <t>WarRoom &amp; Decision Validation</t>
        </is>
      </c>
      <c r="W102" s="33" t="inlineStr">
        <is>
          <t>EAO-34</t>
        </is>
      </c>
      <c r="X102" s="33" t="inlineStr">
        <is>
          <t>Human error. The analyst marked the event Not Impactful while clearing stories at pace, so it was never escalated for WarRoom consideration. The event was captured and available for review; ingestion, source coverage and mapping did not contribute.</t>
        </is>
      </c>
      <c r="Y102" s="33" t="inlineStr">
        <is>
          <t>EventWatch Ops - Nitin Rindhe</t>
        </is>
      </c>
      <c r="Z102" s="37" t="n"/>
    </row>
    <row r="103">
      <c r="A103" s="35" t="n">
        <v>46266</v>
      </c>
      <c r="B103" s="37" t="n">
        <v>46272</v>
      </c>
      <c r="C103" s="33" t="inlineStr">
        <is>
          <t>Power Outage</t>
        </is>
      </c>
      <c r="D103" s="33" t="inlineStr">
        <is>
          <t>Eaton/Ford</t>
        </is>
      </c>
      <c r="E103" s="39" t="n">
        <v>2</v>
      </c>
      <c r="F103" s="33" t="inlineStr">
        <is>
          <t>Punjab Region Risk Event – Supplier Sites Outside the Impact Area Mapped for Impact Confirmation (Eaton/Ford)</t>
        </is>
      </c>
      <c r="G103" s="33" t="inlineStr">
        <is>
          <t>Complaint</t>
        </is>
      </c>
      <c r="H103" s="33" t="inlineStr">
        <is>
          <t>Geographic Misclassification</t>
        </is>
      </c>
      <c r="I103" s="33" t="inlineStr">
        <is>
          <t>Product</t>
        </is>
      </c>
      <c r="J103" s="33" t="inlineStr">
        <is>
          <t>Mapping</t>
        </is>
      </c>
      <c r="K103" s="33" t="inlineStr">
        <is>
          <t>Improvement</t>
        </is>
      </c>
      <c r="L103" s="33" t="inlineStr">
        <is>
          <t>RCA Shared</t>
        </is>
      </c>
      <c r="M103" s="33" t="inlineStr">
        <is>
          <t>Geographic validation of supplier site geocodes against the event impact polygon before impact-confirmation requests are issued, so sites outside the affected region cannot be attached to an event</t>
        </is>
      </c>
      <c r="N103" s="33" t="inlineStr">
        <is>
          <t>Yes</t>
        </is>
      </c>
      <c r="O103" s="33" t="inlineStr">
        <is>
          <t>One incident reported by two customers on consecutive days, merged from Jira EAO-35 (Eaton, 07-Sep, Open) and EAO-36 (Ford, 08-Sep, Open). Eaton queried why four Tier 1 suppliers including a logistics partner were mapped to a Punjab risk event when their CDIF lists only Kumar Exports in Punjab, with Bhavani Industries (Maharashtra) and MT Autocraft (Himachal Pradesh) also attached and Tier 2 mappings reaching LOROM Industrial (Taipei) and DB Schenker (Barcelona). Ford separately reported that a Punjab power-cut WarRoom sent an impact-confirmation request to SMI AMTEK CRANKSHAFT in Dharuhera, Haryana, and that SNAP shows no active direct Tier 1 suppliers in Punjab at all, generating wasted supplier outreach. The geofence polygon over the affected region was correct and supplier selection is system-driven, so the probable cause is incorrect geocoding of supplier site coordinates rather than an operator or polygon error. Ford requested RCA, immediate corrective action and preventive corrective action. Number of Customers is 2; see the customer exposure table for the per-customer split.</t>
        </is>
      </c>
      <c r="P103" s="33" t="n"/>
      <c r="Q103" s="33" t="inlineStr">
        <is>
          <t>No</t>
        </is>
      </c>
      <c r="R103" s="39" t="n">
        <v>9</v>
      </c>
      <c r="S103" s="39" t="n"/>
      <c r="T103" s="35" t="inlineStr">
        <is>
          <t>Sep 2026</t>
        </is>
      </c>
      <c r="U103" s="33" t="inlineStr">
        <is>
          <t>Medium</t>
        </is>
      </c>
      <c r="V103" s="33" t="inlineStr">
        <is>
          <t>AI-Assisted Geofencing</t>
        </is>
      </c>
      <c r="W103" s="33" t="inlineStr">
        <is>
          <t>EAO-35/EAO-36</t>
        </is>
      </c>
      <c r="X103" s="33" t="inlineStr">
        <is>
          <t>Supplier selection for this event was system-driven: a polygon was drawn around the affected region in Punjab, so no analyst chose the sites by hand and an incorrect manual selection is not possible. The probable cause is incorrect geocoding placing supplier sites inside the impact area. Reported to Eaton and Ford on that basis.</t>
        </is>
      </c>
      <c r="Y103" s="33" t="inlineStr">
        <is>
          <t>Product &amp; Platform</t>
        </is>
      </c>
      <c r="Z103" s="37" t="n"/>
    </row>
    <row r="104">
      <c r="A104" s="35" t="n">
        <v>46266</v>
      </c>
      <c r="B104" s="37" t="n">
        <v>46273</v>
      </c>
      <c r="C104" s="33" t="inlineStr">
        <is>
          <t>Extreme Weather</t>
        </is>
      </c>
      <c r="D104" s="33" t="inlineStr">
        <is>
          <t>Sandisk</t>
        </is>
      </c>
      <c r="E104" s="39" t="n">
        <v>1</v>
      </c>
      <c r="F104" s="33" t="inlineStr">
        <is>
          <t>Record Heavy Rain in Yokkaichi City, Japan – No EventWatch Notification (Sandisk)</t>
        </is>
      </c>
      <c r="G104" s="33" t="inlineStr">
        <is>
          <t>Complaint</t>
        </is>
      </c>
      <c r="H104" s="33" t="inlineStr">
        <is>
          <t>Delayed Event</t>
        </is>
      </c>
      <c r="I104" s="33" t="inlineStr">
        <is>
          <t>People</t>
        </is>
      </c>
      <c r="J104" s="33" t="inlineStr">
        <is>
          <t>Review</t>
        </is>
      </c>
      <c r="K104" s="33" t="inlineStr">
        <is>
          <t>Improvement</t>
        </is>
      </c>
      <c r="L104" s="33" t="inlineStr">
        <is>
          <t>RCA Shared</t>
        </is>
      </c>
      <c r="M104" s="33" t="inlineStr">
        <is>
          <t>Timeliness monitoring that flags a region already producing captured stories where a related event has not been published within the reporting window</t>
        </is>
      </c>
      <c r="N104" s="33" t="inlineStr">
        <is>
          <t>Yes</t>
        </is>
      </c>
      <c r="O104" s="33" t="inlineStr">
        <is>
          <t>Staged from Jira EAO-37 (Open). Sandisk was alerted internally to record heavy rain in Yokkaichi city, Japan and could find no news item or WarRoom for it, despite having loaded their own Yokkaichi sites as suppliers. The customer supplied no public source. CS verified the Sandisk org and then the database across all customer orgs and found no evidence the notification was ever generated, so the event did not enter the system at all rather than being filtered out. RCA requested.</t>
        </is>
      </c>
      <c r="P104" s="33" t="inlineStr">
        <is>
          <t>~1 day (customer query 08-Sep-2026 -&gt; EventWatch report 09-Sep-2026)</t>
        </is>
      </c>
      <c r="Q104" s="33" t="inlineStr">
        <is>
          <t>Yes</t>
        </is>
      </c>
      <c r="R104" s="39" t="n">
        <v>9</v>
      </c>
      <c r="S104" s="39" t="n"/>
      <c r="T104" s="35" t="inlineStr">
        <is>
          <t>Sep 2026</t>
        </is>
      </c>
      <c r="U104" s="33" t="inlineStr">
        <is>
          <t>Medium</t>
        </is>
      </c>
      <c r="V104" s="33" t="inlineStr">
        <is>
          <t>WarRoom &amp; Decision Validation</t>
        </is>
      </c>
      <c r="W104" s="33" t="inlineStr">
        <is>
          <t>EAO-37</t>
        </is>
      </c>
      <c r="X104" s="33" t="inlineStr">
        <is>
          <t>Not a coverage gap and not a Not Impactful call. The news was in the public domain and other Japan flooding stories were being captured on the analyst portal at the time; this one was delayed in reporting and only published on 09-Sep-2026, after the customer had raised the query on 08-Sep. Sandisk's complaint is that it never reached the notified section of their portal, which is the downstream effect of the reporting delay rather than a separate visibility defect.</t>
        </is>
      </c>
      <c r="Y104" s="33" t="inlineStr">
        <is>
          <t>EventWatch Ops - Nitin Rindhe</t>
        </is>
      </c>
      <c r="Z104" s="37" t="n"/>
    </row>
    <row r="105">
      <c r="A105" s="35" t="n">
        <v>46266</v>
      </c>
      <c r="B105" s="37" t="n">
        <v>46273</v>
      </c>
      <c r="C105" s="33" t="inlineStr">
        <is>
          <t>Merger &amp; Acquisition</t>
        </is>
      </c>
      <c r="D105" s="33" t="inlineStr">
        <is>
          <t>Eaton</t>
        </is>
      </c>
      <c r="E105" s="39" t="n">
        <v>1</v>
      </c>
      <c r="F105" s="33" t="inlineStr">
        <is>
          <t>Vertiv Acquires UtilityInnovation Group – Supplier Notification and Medium Risk Classification Queried (Eaton)</t>
        </is>
      </c>
      <c r="G105" s="33" t="inlineStr">
        <is>
          <t>Inquiry</t>
        </is>
      </c>
      <c r="H105" s="33" t="inlineStr">
        <is>
          <t>Severity / consolidation handling concern</t>
        </is>
      </c>
      <c r="I105" s="33" t="inlineStr">
        <is>
          <t>Process</t>
        </is>
      </c>
      <c r="J105" s="33" t="inlineStr">
        <is>
          <t>Policy/Logic</t>
        </is>
      </c>
      <c r="K105" s="33" t="inlineStr">
        <is>
          <t>Improvement</t>
        </is>
      </c>
      <c r="L105" s="33" t="inlineStr">
        <is>
          <t>Clarification Provided</t>
        </is>
      </c>
      <c r="M105" s="33" t="inlineStr">
        <is>
          <t>Automated enforcement of the M&amp;A notification threshold so acquiring-side suppliers are excluded from impact-confirmation requests, plus a documented basis for the risk classification</t>
        </is>
      </c>
      <c r="N105" s="33" t="inlineStr">
        <is>
          <t>No</t>
        </is>
      </c>
      <c r="O105" s="33" t="inlineStr">
        <is>
          <t>Staged from Jira EAO-38 (Open). Eaton queried WarRoom 37485945, 'Vertiv Acquires UtilityInnovation Group' (event date 08-Sep-2026, closed, severity Low). Two questions: why a Supplier Impact Confirmation Request was issued when the supplier is the acquiring party, which the latest Resilinc event-threshold guidance says does not require supplier notification; and why the event was classified Medium risk. The customer wants to know whether scenarios are being missed. A written explanation covering both was requested rather than an RCA.</t>
        </is>
      </c>
      <c r="P105" s="33" t="n"/>
      <c r="Q105" s="33" t="inlineStr">
        <is>
          <t>No</t>
        </is>
      </c>
      <c r="R105" s="39" t="n">
        <v>9</v>
      </c>
      <c r="S105" s="39" t="n"/>
      <c r="T105" s="35" t="inlineStr">
        <is>
          <t>Sep 2026</t>
        </is>
      </c>
      <c r="U105" s="33" t="inlineStr">
        <is>
          <t>Low</t>
        </is>
      </c>
      <c r="V105" s="33" t="inlineStr">
        <is>
          <t>WarRoom &amp; Decision Validation</t>
        </is>
      </c>
      <c r="W105" s="33" t="inlineStr">
        <is>
          <t>EAO-38</t>
        </is>
      </c>
      <c r="X105" s="33" t="inlineStr">
        <is>
          <t>Not a defect, and the rule has since changed. The Supplier Impact Confirmation was issued in line with one of the customers mapped to that supplier, whose settings called for it, so the request was correct for that account even though Eaton reads the M&amp;A threshold as excluding an acquiring supplier. Under the new process supplier impact is sent to all mapped customers regardless of which side of the transaction the supplier is on, and Eaton was given that explanation together with the basis for the risk grade.</t>
        </is>
      </c>
      <c r="Y105" s="33" t="inlineStr">
        <is>
          <t>EventWatch Ops - Nitin Rindhe</t>
        </is>
      </c>
      <c r="Z105" s="37" t="n"/>
    </row>
    <row r="106">
      <c r="A106" s="35" t="n">
        <v>46266</v>
      </c>
      <c r="B106" s="37" t="n">
        <v>46276</v>
      </c>
      <c r="C106" s="33" t="inlineStr">
        <is>
          <t>Supply Shortage</t>
        </is>
      </c>
      <c r="D106" s="33" t="inlineStr">
        <is>
          <t>Belden Inc</t>
        </is>
      </c>
      <c r="E106" s="39" t="n">
        <v>1</v>
      </c>
      <c r="F106" s="33" t="inlineStr">
        <is>
          <t>TSMC 28nm Production Capacity Reduction – No EventWatch Notification (Belden)</t>
        </is>
      </c>
      <c r="G106" s="33" t="inlineStr">
        <is>
          <t>Inquiry</t>
        </is>
      </c>
      <c r="H106" s="33" t="inlineStr">
        <is>
          <t>Coverage Verification Request</t>
        </is>
      </c>
      <c r="I106" s="33" t="inlineStr">
        <is>
          <t>Product</t>
        </is>
      </c>
      <c r="J106" s="33" t="inlineStr">
        <is>
          <t>Source Coverage</t>
        </is>
      </c>
      <c r="K106" s="33" t="inlineStr">
        <is>
          <t>Improvement</t>
        </is>
      </c>
      <c r="L106" s="33" t="inlineStr">
        <is>
          <t>Clarification Provided</t>
        </is>
      </c>
      <c r="M106" s="33" t="inlineStr">
        <is>
          <t>Reconciliation between what the vendor feeds deliver and what actually reaches the analyst portal, so a harvested item that never surfaces is caught rather than found by a customer; plus an evidence grade carried on the event itself - confirmed, credible but unconfirmed, disputed, unsubstantiated, demonstrably false - so a customer can see the basis of a report without asking, and name-collision detection on the mapping surface so a near-identical supplier name is flagged at mapping time</t>
        </is>
      </c>
      <c r="N106" s="33" t="inlineStr">
        <is>
          <t>Yes</t>
        </is>
      </c>
      <c r="O106" s="33" t="inlineStr">
        <is>
          <t>EAO-39: Belden asked why they received no EventWatch notification and saw no related news for TSMC's 28nm production capacity reduction. The query ran on through two follow-ups, both part of the same contact rather than separate records. First, on 18-Sep-2026 the customer cited a 22-Jun-2026 report that TSMC denied phasing out 28nm and asked how EventWatch separates real reporting from fake, what criteria establish that a notification is not fake, and whether the 28nm reduction is real; a written assessment was issued covering the source hierarchy, the five evidence grades and the TSMC timeline. Second, on 22-Sep-2026 the customer corrected their own position and confirmed TSMC is not mapped in their BOM - they source the wafer via Broadcom, and the Taiwan Semiconductor entity they had mapped covers resistors and MOSFETs - so no customer notification was owed. Reclassified on review from Complaint to Inquiry with Missed_Flag No, and logged under Source Coverage.</t>
        </is>
      </c>
      <c r="P106" s="33" t="n"/>
      <c r="Q106" s="33" t="inlineStr">
        <is>
          <t>No</t>
        </is>
      </c>
      <c r="R106" s="39" t="n">
        <v>9</v>
      </c>
      <c r="S106" s="39" t="n"/>
      <c r="T106" s="35" t="inlineStr">
        <is>
          <t>Sep 2026</t>
        </is>
      </c>
      <c r="U106" s="33" t="inlineStr">
        <is>
          <t>Medium</t>
        </is>
      </c>
      <c r="V106" s="33" t="inlineStr">
        <is>
          <t>Dynamic Source Discovery</t>
        </is>
      </c>
      <c r="W106" s="33" t="inlineStr">
        <is>
          <t>EAO-39</t>
        </is>
      </c>
      <c r="X106" s="33" t="inlineStr">
        <is>
          <t>Not a source-coverage gap in the ingestion sense. The news was captured by the vendor sources but never surfaced on the analyst portal, so it was never available for review and no coverage was created; the failure sits between ingestion and the analyst queue. The customer's exposure claim did not hold either: Belden confirmed on 22-Sep-2026 that TSMC is not mapped in their BOM, having mapped Taiwan Semiconductor Co., Ltd. (resistors and MOSFETs) rather than Taiwan Semiconductor Manufacturing Company. The two are different suppliers in different commodities and the near-identical name is what led the customer to expect coverage; nothing in the mapping surface flags that collision. On the authenticity question the report was assessed as credible but unconfirmed public reporting of a selective production and capacity shift at Fab 15A: Commercial Times (22-Jun-2026) reported monthly 28nm wafer starts falling from roughly 200,000 to 150,000 with migration toward 12nm and reallocation to silicon-interposer production, Economic Daily News (May 2026) reported Fab 15A converting toward 4nm, and TrendForce, SemiMedia, Tech in Asia and GuruFocus carried or analysed the same upstream reporting. TSMC stated on 22-Jun-2026 that its overall mature-node strategy was unchanged, which is not contradictory - an unchanged strategy is compatible with selective conversion at one fab. The specific 25 percent reduction came from supply-chain sources and was never confirmed by TSMC, so it is not classified as fake.</t>
        </is>
      </c>
      <c r="Y106" s="33" t="inlineStr">
        <is>
          <t>Product &amp; Platform</t>
        </is>
      </c>
      <c r="Z106" s="37" t="n"/>
    </row>
    <row r="107">
      <c r="A107" s="35" t="n">
        <v>46266</v>
      </c>
      <c r="B107" s="37" t="n">
        <v>46276</v>
      </c>
      <c r="C107" s="33" t="inlineStr">
        <is>
          <t>Supply Shortage</t>
        </is>
      </c>
      <c r="D107" s="33" t="inlineStr">
        <is>
          <t>Belden Inc</t>
        </is>
      </c>
      <c r="E107" s="39" t="n">
        <v>1</v>
      </c>
      <c r="F107" s="33" t="inlineStr">
        <is>
          <t>Murata MLCC Product Line Discontinuation – No EventWatch Notification (Belden)</t>
        </is>
      </c>
      <c r="G107" s="33" t="inlineStr">
        <is>
          <t>Complaint</t>
        </is>
      </c>
      <c r="H107" s="33" t="inlineStr">
        <is>
          <t>Missed Event</t>
        </is>
      </c>
      <c r="I107" s="33" t="inlineStr">
        <is>
          <t>People</t>
        </is>
      </c>
      <c r="J107" s="33" t="inlineStr">
        <is>
          <t>Review</t>
        </is>
      </c>
      <c r="K107" s="33" t="inlineStr">
        <is>
          <t>Improvement</t>
        </is>
      </c>
      <c r="L107" s="33" t="inlineStr">
        <is>
          <t>RCA Shared</t>
        </is>
      </c>
      <c r="M107" s="33" t="inlineStr">
        <is>
          <t>Validation step on high-impact component end-of-life and discontinuation notices before an analyst can clear them, so a major supplier's EOL announcement cannot be dismissed at review</t>
        </is>
      </c>
      <c r="N107" s="33" t="inlineStr">
        <is>
          <t>Yes</t>
        </is>
      </c>
      <c r="O107" s="33" t="inlineStr">
        <is>
          <t>Staged from Jira EAO-39 (Open). Belden reported receiving no EventWatch notification and seeing no related news for Murata Manufacturing's FY2026 product line optimization, which discontinues specific MLCC part numbers across the GRM, GRJ, GRT, GXM, GXT, GCM, GCJ, GCG and ZRA families; written responses are due by end 2027, final orders by end March 2028 and last shipment 31-Mar-2029. Cause established as an analyst miss at review, not a coverage gap.</t>
        </is>
      </c>
      <c r="P107" s="33" t="n"/>
      <c r="Q107" s="33" t="inlineStr">
        <is>
          <t>Yes</t>
        </is>
      </c>
      <c r="R107" s="39" t="n">
        <v>9</v>
      </c>
      <c r="S107" s="39" t="n"/>
      <c r="T107" s="35" t="inlineStr">
        <is>
          <t>Sep 2026</t>
        </is>
      </c>
      <c r="U107" s="33" t="inlineStr">
        <is>
          <t>Medium</t>
        </is>
      </c>
      <c r="V107" s="33" t="inlineStr">
        <is>
          <t>WarRoom &amp; Decision Validation</t>
        </is>
      </c>
      <c r="W107" s="33" t="inlineStr">
        <is>
          <t>EAO-39</t>
        </is>
      </c>
      <c r="X107" s="33" t="inlineStr">
        <is>
          <t>Analyst miss. The event was available for review and was not escalated into EventWatch coverage. Ingestion and source coverage did not contribute.</t>
        </is>
      </c>
      <c r="Y107" s="33" t="inlineStr">
        <is>
          <t>EventWatch Ops - Nitin Rindhe</t>
        </is>
      </c>
      <c r="Z107" s="37" t="n"/>
    </row>
    <row r="108">
      <c r="A108" s="35" t="n">
        <v>46266</v>
      </c>
      <c r="B108" s="37" t="n">
        <v>46276</v>
      </c>
      <c r="C108" s="33" t="inlineStr">
        <is>
          <t>Factory Fire</t>
        </is>
      </c>
      <c r="D108" s="33" t="inlineStr">
        <is>
          <t>Ford</t>
        </is>
      </c>
      <c r="E108" s="39" t="n">
        <v>1</v>
      </c>
      <c r="F108" s="33" t="inlineStr">
        <is>
          <t>Precision Resource Facility Fire, Mt. Sterling, Kentucky – Deep-Tier Supplier Event Not Captured (Ford)</t>
        </is>
      </c>
      <c r="G108" s="33" t="inlineStr">
        <is>
          <t>Complaint</t>
        </is>
      </c>
      <c r="H108" s="33" t="inlineStr">
        <is>
          <t>Missed Event</t>
        </is>
      </c>
      <c r="I108" s="33" t="inlineStr">
        <is>
          <t>Product</t>
        </is>
      </c>
      <c r="J108" s="33" t="inlineStr">
        <is>
          <t>Source Coverage</t>
        </is>
      </c>
      <c r="K108" s="33" t="inlineStr">
        <is>
          <t>Improvement</t>
        </is>
      </c>
      <c r="L108" s="33" t="inlineStr">
        <is>
          <t>RCA Shared</t>
        </is>
      </c>
      <c r="M108" s="33" t="inlineStr">
        <is>
          <t>Monitoring of local and regional outlets covering industrial incidents at deep-tier supplier sites, with event-to-supply-chain correlation so a sub-tier fire is linked to the OEMs exposed through it</t>
        </is>
      </c>
      <c r="N108" s="33" t="inlineStr">
        <is>
          <t>Yes</t>
        </is>
      </c>
      <c r="O108" s="33" t="inlineStr">
        <is>
          <t>Staged from Jira EAO-40 (Open). Hydraulic press fire at Precision Resource, Mt. Sterling, Kentucky on 08-Sep-2026, with smoke and water-suppression damage to the pressing and machining areas. The facility is a deep-tier supplier to Ford through two Tier-1s, producing fineblanked powertrain, transmission, seating and safety-critical parts. Reported by The Mt. Sterling Advocate; EventWatch neither detected nor broadcast it. The customer has formally requested an RCA, an Interim Corrective Action and a Permanent Corrective Action covering regional industrial incident detection and deep-tier site monitoring.</t>
        </is>
      </c>
      <c r="P108" s="33" t="n"/>
      <c r="Q108" s="33" t="inlineStr">
        <is>
          <t>Yes</t>
        </is>
      </c>
      <c r="R108" s="39" t="n">
        <v>9</v>
      </c>
      <c r="S108" s="39" t="n"/>
      <c r="T108" s="35" t="inlineStr">
        <is>
          <t>Sep 2026</t>
        </is>
      </c>
      <c r="U108" s="33" t="inlineStr">
        <is>
          <t>High</t>
        </is>
      </c>
      <c r="V108" s="33" t="inlineStr">
        <is>
          <t>Dynamic Source Discovery</t>
        </is>
      </c>
      <c r="W108" s="33" t="inlineStr">
        <is>
          <t>EAO-40</t>
        </is>
      </c>
      <c r="X108" s="33" t="inlineStr">
        <is>
          <t>Source coverage gap, confirmed by Engineering on 17-Sep-2026: the incident was carried by a single outlet, a local Kentucky news reporter that was not part of the vendor's source network, and the vendor was asked to add it. Ford then asked whether the vendor being onboarded next quarter would have covered the event; Engineering confirmed on 24-Sep-2026 that the incoming vendor already carries that source, so the same event would have been captured under the new network. The RCA was amended to carry that statement and posted on 24-Sep-2026; it is with the CSM for review before it goes to the customer, so the record stays Pending.</t>
        </is>
      </c>
      <c r="Y108" s="33" t="inlineStr">
        <is>
          <t>Product &amp; Platform</t>
        </is>
      </c>
      <c r="Z108" s="37" t="n"/>
    </row>
    <row r="109">
      <c r="A109" s="35" t="n">
        <v>46266</v>
      </c>
      <c r="B109" s="37" t="n">
        <v>46279</v>
      </c>
      <c r="C109" s="33" t="inlineStr">
        <is>
          <t>Bankruptcy</t>
        </is>
      </c>
      <c r="D109" s="33" t="inlineStr">
        <is>
          <t>Irving Oil</t>
        </is>
      </c>
      <c r="E109" s="39" t="n">
        <v>1</v>
      </c>
      <c r="F109" s="33" t="inlineStr">
        <is>
          <t>Paystone CCAA Filing – No EventWatch Notification (Irving Oil)</t>
        </is>
      </c>
      <c r="G109" s="33" t="inlineStr">
        <is>
          <t>Complaint</t>
        </is>
      </c>
      <c r="H109" s="33" t="inlineStr">
        <is>
          <t>Missed insolvency alert</t>
        </is>
      </c>
      <c r="I109" s="33" t="inlineStr">
        <is>
          <t>Product</t>
        </is>
      </c>
      <c r="J109" s="33" t="inlineStr">
        <is>
          <t>Keyword Update</t>
        </is>
      </c>
      <c r="K109" s="33" t="inlineStr">
        <is>
          <t>Improvement</t>
        </is>
      </c>
      <c r="L109" s="33" t="inlineStr">
        <is>
          <t>RCA Shared</t>
        </is>
      </c>
      <c r="M109" s="33" t="inlineStr">
        <is>
          <t>Keyword coverage for insolvency and restructuring terminology in the bankruptcy algorithm, with a regression check when a filing type such as CCAA is added, so the same class of filing is not missed twice</t>
        </is>
      </c>
      <c r="N109" s="33" t="inlineStr">
        <is>
          <t>Yes</t>
        </is>
      </c>
      <c r="O109" s="33" t="inlineStr">
        <is>
          <t>EAO-41: Irving Oil asked why Paystone's CCAA filing was missed, raised to them by their own senior leadership rather than by EventWatch. Customer Support verified the Irving Oil org and found no corresponding notification, and found no evidence across any customer org that the event notification was generated or sent. Source was insolvencyinsider.ca. Cause established as a keyword miss in the bankruptcy algorithm, fixed by adding new keywords. RCA prepared and reviewed; the CSM closed the ticket on 23-Sep-2026 with no further customer questions outstanding. Logged as an Inquiry on review: the customer raised it as a question and the product connection to Paystone is weak. Missed_Flag stays Yes because the keyword gap and its fix are established, independent of how the contact is classified.</t>
        </is>
      </c>
      <c r="P109" s="33" t="n"/>
      <c r="Q109" s="33" t="inlineStr">
        <is>
          <t>Yes</t>
        </is>
      </c>
      <c r="R109" s="39" t="n">
        <v>9</v>
      </c>
      <c r="S109" s="39" t="n"/>
      <c r="T109" s="35" t="inlineStr">
        <is>
          <t>Sep 2026</t>
        </is>
      </c>
      <c r="U109" s="33" t="inlineStr">
        <is>
          <t>Medium</t>
        </is>
      </c>
      <c r="V109" s="33" t="inlineStr">
        <is>
          <t>Dynamic Source Discovery</t>
        </is>
      </c>
      <c r="W109" s="33" t="inlineStr">
        <is>
          <t>EAO-41</t>
        </is>
      </c>
      <c r="X109" s="33" t="inlineStr">
        <is>
          <t>Keyword miss in the bankruptcy algorithm: the filing was not matched because the algorithm's keyword set did not cover this filing's terminology. Fixed by adding new keywords. Not a source-coverage gap - the row was staged as one before the investigation reported, and is corrected here. RCA was issued as a PDF attachment whose text is not in Jira.</t>
        </is>
      </c>
      <c r="Y109" s="33" t="inlineStr">
        <is>
          <t>Product &amp; Platform</t>
        </is>
      </c>
      <c r="Z109" s="37" t="n">
        <v>46288</v>
      </c>
    </row>
    <row r="110">
      <c r="A110" s="35" t="n">
        <v>46266</v>
      </c>
      <c r="B110" s="37" t="n">
        <v>46281</v>
      </c>
      <c r="C110" s="33" t="inlineStr">
        <is>
          <t>Bankruptcy</t>
        </is>
      </c>
      <c r="D110" s="33" t="inlineStr">
        <is>
          <t>Eaton</t>
        </is>
      </c>
      <c r="E110" s="39" t="n">
        <v>1</v>
      </c>
      <c r="F110" s="33" t="inlineStr">
        <is>
          <t>Pollmann Austria GmbH Insolvency – No EventWatch Notification (Eaton)</t>
        </is>
      </c>
      <c r="G110" s="33" t="inlineStr">
        <is>
          <t>Complaint</t>
        </is>
      </c>
      <c r="H110" s="33" t="inlineStr">
        <is>
          <t>Missed insolvency alert</t>
        </is>
      </c>
      <c r="I110" s="33" t="inlineStr">
        <is>
          <t>Product</t>
        </is>
      </c>
      <c r="J110" s="33" t="inlineStr">
        <is>
          <t>Keyword Update</t>
        </is>
      </c>
      <c r="K110" s="33" t="inlineStr">
        <is>
          <t>Improvement</t>
        </is>
      </c>
      <c r="L110" s="33" t="inlineStr">
        <is>
          <t>RCA Shared</t>
        </is>
      </c>
      <c r="M110" s="33" t="inlineStr">
        <is>
          <t>Keyword coverage for insolvency and restructuring terminology in the bankruptcy algorithm, with a regression check when a filing type is added, so the same class of filing is not missed twice</t>
        </is>
      </c>
      <c r="N110" s="33" t="inlineStr">
        <is>
          <t>Yes</t>
        </is>
      </c>
      <c r="O110" s="33" t="inlineStr">
        <is>
          <t>EAO-42: Eaton reported that Pollmann Austria GmbH entered insolvency/restructuring proceedings on 01-Sep-2026, found through their own supplier engagement rather than EventWatch. No alert had been generated as of 15-Sep, a 15-day awareness delay. Publicly reported by KSV1870, the Austrian credit protection registry, and by ORF. Cause established as a keyword miss in the bankruptcy algorithm, fixed by adding a new keyword. RCA reviewed and approved internally on 20-Sep-2026 and shared with the customer; ticket closed 23-Sep-2026 with no follow-up received.</t>
        </is>
      </c>
      <c r="P110" s="33" t="inlineStr">
        <is>
          <t>15 days (01-Sep proceedings - 15-Sep escalation, never published)</t>
        </is>
      </c>
      <c r="Q110" s="33" t="inlineStr">
        <is>
          <t>Yes</t>
        </is>
      </c>
      <c r="R110" s="39" t="n">
        <v>9</v>
      </c>
      <c r="S110" s="39" t="n"/>
      <c r="T110" s="35" t="inlineStr">
        <is>
          <t>Sep 2026</t>
        </is>
      </c>
      <c r="U110" s="33" t="inlineStr">
        <is>
          <t>Medium</t>
        </is>
      </c>
      <c r="V110" s="33" t="inlineStr">
        <is>
          <t>Dynamic Source Discovery</t>
        </is>
      </c>
      <c r="W110" s="33" t="inlineStr">
        <is>
          <t>EAO-42</t>
        </is>
      </c>
      <c r="X110" s="33" t="inlineStr">
        <is>
          <t>Keyword miss in the bankruptcy algorithm: the filing was not matched because the algorithm's keyword set did not cover this filing's terminology. Fixed by adding a new keyword. Not a registry or source-coverage gap - the row was staged as one before the investigation reported, and is corrected here. This is the second keyword miss in the same bankruptcy algorithm in a week, after EAO-41. RCA was issued as a PDF attachment whose text is not in Jira.</t>
        </is>
      </c>
      <c r="Y110" s="33" t="inlineStr">
        <is>
          <t>Product &amp; Platform</t>
        </is>
      </c>
      <c r="Z110" s="37" t="n">
        <v>46288</v>
      </c>
    </row>
    <row r="111">
      <c r="A111" s="35" t="n">
        <v>46266</v>
      </c>
      <c r="B111" s="37" t="n">
        <v>46281</v>
      </c>
      <c r="C111" s="33" t="inlineStr">
        <is>
          <t>Cyber Attack</t>
        </is>
      </c>
      <c r="D111" s="33" t="inlineStr">
        <is>
          <t>General Mills</t>
        </is>
      </c>
      <c r="E111" s="39" t="n">
        <v>1</v>
      </c>
      <c r="F111" s="33" t="inlineStr">
        <is>
          <t>ADM Data Breach Exposes Personal Data - No WarRoom Created (General Mills)</t>
        </is>
      </c>
      <c r="G111" s="33" t="inlineStr">
        <is>
          <t>Complaint</t>
        </is>
      </c>
      <c r="H111" s="33" t="inlineStr">
        <is>
          <t>Missed Event</t>
        </is>
      </c>
      <c r="I111" s="33" t="inlineStr">
        <is>
          <t>People</t>
        </is>
      </c>
      <c r="J111" s="33" t="inlineStr">
        <is>
          <t>Review</t>
        </is>
      </c>
      <c r="K111" s="33" t="inlineStr">
        <is>
          <t>Improvement</t>
        </is>
      </c>
      <c r="L111" s="33" t="inlineStr">
        <is>
          <t>RCA Shared</t>
        </is>
      </c>
      <c r="M111" s="33" t="inlineStr">
        <is>
          <t>A Not-Impactful decision check on clusters naming a mapped customer supplier, so a breach claim that is clustered and then dismissed is re-examined before it is dropped</t>
        </is>
      </c>
      <c r="N111" s="33" t="inlineStr">
        <is>
          <t>Yes</t>
        </is>
      </c>
      <c r="O111" s="33" t="inlineStr">
        <is>
          <t>General Mills asked why no WarRoom was created for the ADM data breach, which reached them on 16-Sep-2026 through their own internal cross-functional threat teams rather than through EventWatch. ADM is reported to be targeted by the Qilin ransomware group, which claims to have infiltrated ADM's network; potentially exposed information includes employee records and contact details, financial and internal business information, login credentials and possibly Social Security numbers. Scope and timeline are unconfirmed - ADM has not publicly disclosed the number of affected individuals, the discovery date, the duration of unauthorised access, investigation details or regulatory notifications. Follow-on risks the customer names are phishing, credential compromise, identity theft and exposure of sensitive corporate information. Internal investigation found the event was not captured on the portal and identifies it as a source coverage issue, and that finding has been shared with the customer. The CSM first raised this by email rather than by opening a ticket; EAO-51 was opened on 08-Oct-2026 for the same incident and this row carries that key. The open question there is why the event was not notified on 15-Sep: a WarRoom titled 'Archer-Daniels-Midland Company Named in Qilin Ransomware Data Theft Claim' was created on 29-Sep-2026, so the event was captured late rather than never, and the monitoring team has been asked why four named news articles were not picked up by the portal at the time.</t>
        </is>
      </c>
      <c r="P111" s="33" t="n"/>
      <c r="Q111" s="33" t="inlineStr">
        <is>
          <t>Yes</t>
        </is>
      </c>
      <c r="R111" s="39" t="n">
        <v>9</v>
      </c>
      <c r="S111" s="39" t="n"/>
      <c r="T111" s="35" t="inlineStr">
        <is>
          <t>Sep 2026</t>
        </is>
      </c>
      <c r="U111" s="33" t="inlineStr">
        <is>
          <t>Medium</t>
        </is>
      </c>
      <c r="V111" s="33" t="inlineStr">
        <is>
          <t>WarRoom &amp; Decision Validation</t>
        </is>
      </c>
      <c r="W111" s="33" t="inlineStr">
        <is>
          <t>EAO-51</t>
        </is>
      </c>
      <c r="X111" s="33" t="inlineStr">
        <is>
          <t>Engineering confirmed on the ticket that the article was captured by the portal and linked to an existing cluster (cyber_attack_dt_20260915155539357_not.impactful._) which was later marked as not impactful. The event was therefore captured on 15-Sep and dismissed, not missed by coverage; the WarRoom was published on 29-Sep, fourteen days after the first report. The ticket does not say whether an analyst or automated logic marked the cluster, which is what separates People / Review from Product / Review.</t>
        </is>
      </c>
      <c r="Y111" s="33" t="inlineStr">
        <is>
          <t>EventWatch Ops - Nitin Rindhe</t>
        </is>
      </c>
      <c r="Z111" s="37" t="n"/>
    </row>
    <row r="112">
      <c r="A112" s="35" t="n">
        <v>46266</v>
      </c>
      <c r="B112" s="37" t="n">
        <v>46283</v>
      </c>
      <c r="C112" s="33" t="inlineStr">
        <is>
          <t>Merger &amp; Acquisition</t>
        </is>
      </c>
      <c r="D112" s="33" t="inlineStr">
        <is>
          <t>Eaton</t>
        </is>
      </c>
      <c r="E112" s="39" t="n">
        <v>1</v>
      </c>
      <c r="F112" s="33" t="inlineStr">
        <is>
          <t>Clarification on Impact Confirmation Requests for Supplier Acquisitions (Eaton)</t>
        </is>
      </c>
      <c r="G112" s="33" t="inlineStr">
        <is>
          <t>Inquiry</t>
        </is>
      </c>
      <c r="H112" s="33" t="inlineStr">
        <is>
          <t>Monitoring Strategy RFI</t>
        </is>
      </c>
      <c r="I112" s="33" t="inlineStr">
        <is>
          <t>Process</t>
        </is>
      </c>
      <c r="J112" s="33" t="inlineStr">
        <is>
          <t>Process Clarification</t>
        </is>
      </c>
      <c r="K112" s="33" t="inlineStr">
        <is>
          <t>Improvement</t>
        </is>
      </c>
      <c r="L112" s="33" t="inlineStr">
        <is>
          <t>Clarification Provided</t>
        </is>
      </c>
      <c r="M112" s="33" t="inlineStr">
        <is>
          <t>Publish the M&amp;A impact-confirmation trigger criteria in-product, so the rationale for an acquiring-side outreach is visible on the request itself instead of being explained per account after the fact</t>
        </is>
      </c>
      <c r="N112" s="33" t="inlineStr">
        <is>
          <t>No</t>
        </is>
      </c>
      <c r="O112" s="33" t="inlineStr">
        <is>
          <t>Staged from Jira EAO-43 (In Progress). Eaton asked why Supplier Impact Confirmation requests are issued to a Tier-1 supplier when that supplier is the acquiring party, as distinct from a merger or business sale where integration impact is understandable. Three questions: what specific risks or impacts the notification assesses, which supply chain disruption scenarios are commonly associated with acquisitions, and what criteria Resilinc uses to decide an acquisition event warrants supplier outreach. No event or WarRoom was named and no service failure is alleged. Follows EAO-38, the same account's query on the Vertiv acquisition. A written explanation was issued on 23-Sep-2026.</t>
        </is>
      </c>
      <c r="P112" s="33" t="n"/>
      <c r="Q112" s="33" t="inlineStr">
        <is>
          <t>No</t>
        </is>
      </c>
      <c r="R112" s="39" t="n">
        <v>9</v>
      </c>
      <c r="S112" s="39" t="n"/>
      <c r="T112" s="35" t="inlineStr">
        <is>
          <t>Sep 2026</t>
        </is>
      </c>
      <c r="U112" s="33" t="inlineStr">
        <is>
          <t>Low</t>
        </is>
      </c>
      <c r="V112" s="33" t="inlineStr">
        <is>
          <t>WarRoom &amp; Decision Validation</t>
        </is>
      </c>
      <c r="W112" s="33" t="inlineStr">
        <is>
          <t>EAO-43</t>
        </is>
      </c>
      <c r="X112" s="33" t="inlineStr">
        <is>
          <t>Not a defect. Under the updated EventWatch Supplier Impact Confirmation methodology the outreach criteria were widened across event types in response to customer requests for greater visibility. For a Merger &amp; Acquisition the confirmation request validates whether the transaction has created operational or supply-chain impact that is not yet publicly known; a 'no impact' reply is itself useful because it confirms continuity of supply, and disruption is not assumed. The trigger ladder given to the customer: Low, neither company mapped and the transaction is an informational industry development, so no confirmation is sent; Medium, a mapped Tier-1 acquires a non-mapped company with no confirmed disruption, so outreach may be initiated to validate impact; High, a mapped company or site has confirmed operational or supply-chain disruption. Where the company being acquired or sold is itself mapped, the event is handled under Business Sale criteria.</t>
        </is>
      </c>
      <c r="Y112" s="33" t="inlineStr">
        <is>
          <t>EventWatch Ops - Nitin Rindhe</t>
        </is>
      </c>
      <c r="Z112" s="37" t="n"/>
    </row>
    <row r="113">
      <c r="A113" s="35" t="n">
        <v>46266</v>
      </c>
      <c r="B113" s="37" t="n">
        <v>46289</v>
      </c>
      <c r="C113" s="33" t="inlineStr">
        <is>
          <t>Bankruptcy</t>
        </is>
      </c>
      <c r="D113" s="33" t="inlineStr">
        <is>
          <t>Eaton</t>
        </is>
      </c>
      <c r="E113" s="39" t="n">
        <v>1</v>
      </c>
      <c r="F113" s="33" t="inlineStr">
        <is>
          <t>UPG Enterprises Chapter 11 Mapped to Mapes &amp; Sprowl - Mapping and Severity Queried (Eaton)</t>
        </is>
      </c>
      <c r="G113" s="33" t="inlineStr">
        <is>
          <t>Inquiry</t>
        </is>
      </c>
      <c r="H113" s="33" t="inlineStr">
        <is>
          <t>Wrong Relevancy</t>
        </is>
      </c>
      <c r="I113" s="33" t="inlineStr">
        <is>
          <t>Product</t>
        </is>
      </c>
      <c r="J113" s="33" t="inlineStr">
        <is>
          <t>Mapping</t>
        </is>
      </c>
      <c r="K113" s="33" t="inlineStr">
        <is>
          <t>Improvement</t>
        </is>
      </c>
      <c r="L113" s="33" t="inlineStr">
        <is>
          <t>Clarification Provided</t>
        </is>
      </c>
      <c r="M113" s="33" t="inlineStr">
        <is>
          <t>Scope check on parent-subsidiary linkage for insolvency filings, so a WarRoom is not raised against a subsidiary the filing text explicitly excludes, plus a recorded basis for the severity grade</t>
        </is>
      </c>
      <c r="N113" s="33" t="inlineStr">
        <is>
          <t>No</t>
        </is>
      </c>
      <c r="O113" s="33" t="inlineStr">
        <is>
          <t>Staged from Jira EAO-44 (In Progress). Eaton queried the WarRoom 'UPG Enterprises Files for Chapter 11 Bankruptcy in the USA' (event date 23-Sep-2026) created against Mapes &amp; Sprowl. The customer read the source article and points out that although UPG Enterprises and Mapes &amp; Sprowl are corporately linked, the article states the filing is not related to Mapes &amp; Sprowl. Two questions: the rationale for creating the WarRoom against that supplier, and the basis for classifying the event as High severity. Findings and a response were requested rather than a formal RCA. Nitin answered both on the ticket on 24-Sep-2026.</t>
        </is>
      </c>
      <c r="P113" s="33" t="n"/>
      <c r="Q113" s="33" t="inlineStr">
        <is>
          <t>No</t>
        </is>
      </c>
      <c r="R113" s="39" t="n">
        <v>9</v>
      </c>
      <c r="S113" s="39" t="n"/>
      <c r="T113" s="35" t="inlineStr">
        <is>
          <t>Sep 2026</t>
        </is>
      </c>
      <c r="U113" s="33" t="inlineStr">
        <is>
          <t>Medium</t>
        </is>
      </c>
      <c r="V113" s="33" t="inlineStr">
        <is>
          <t>Entity &amp; Supplier Resolution</t>
        </is>
      </c>
      <c r="W113" s="33" t="inlineStr">
        <is>
          <t>EAO-44</t>
        </is>
      </c>
      <c r="X113" s="33" t="inlineStr">
        <is>
          <t>Deliberate precautionary scoping, explained to the customer on 24-Sep-2026. Mapes &amp; Sprowl is an affiliate operating within the UPG family of companies, and the official press release stated that UPG Enterprises LLC filed for Chapter 11 together with certain of its affiliates. That announcement did name UPG's international operations and UPG Electrical and its subsidiaries as outside the filing, but Mapes &amp; Sprowl was not among the entities explicitly excluded. Given the complex corporate hierarchies typical of industrial holding groups and the broad umbrella language of the initial disclosure, connected entities were included in the WarRoom as a precautionary early-warning measure to minimise visibility gaps. Inclusion was not a statement that Mapes &amp; Sprowl had itself filed: the WarRoom gives supply chain and procurement teams a workspace to begin supplier outreach, establish which operating entities fall inside the filing scope, and assess upstream or downstream impact from the parent's restructuring. On severity, the Bankruptcy-specific reporting guideline in the EventWatch Thresholds and Guidelines states that a mapped company is reported with High severity, and Mapes &amp; Sprowl was identified as mapped during the initial assessment, so High followed from that rule.</t>
        </is>
      </c>
      <c r="Y113" s="33" t="inlineStr">
        <is>
          <t>Product &amp; Platform</t>
        </is>
      </c>
      <c r="Z113" s="37" t="n"/>
    </row>
    <row r="114">
      <c r="A114" s="35" t="n">
        <v>46266</v>
      </c>
      <c r="B114" s="37" t="n">
        <v>46289</v>
      </c>
      <c r="C114" s="33" t="inlineStr">
        <is>
          <t>Factory Fire</t>
        </is>
      </c>
      <c r="D114" s="33" t="inlineStr">
        <is>
          <t>Ford</t>
        </is>
      </c>
      <c r="E114" s="39" t="n">
        <v>1</v>
      </c>
      <c r="F114" s="33" t="inlineStr">
        <is>
          <t>Purflux Group Filter Systems Maroc Facility Fire - 10-11 Day Alert Delay (Ford)</t>
        </is>
      </c>
      <c r="G114" s="33" t="inlineStr">
        <is>
          <t>Complaint</t>
        </is>
      </c>
      <c r="H114" s="33" t="inlineStr">
        <is>
          <t>Delayed Event</t>
        </is>
      </c>
      <c r="I114" s="33" t="inlineStr">
        <is>
          <t>Product</t>
        </is>
      </c>
      <c r="J114" s="33" t="inlineStr">
        <is>
          <t>Source Coverage</t>
        </is>
      </c>
      <c r="K114" s="33" t="inlineStr">
        <is>
          <t>Improvement</t>
        </is>
      </c>
      <c r="L114" s="33" t="inlineStr">
        <is>
          <t>RCA Shared</t>
        </is>
      </c>
      <c r="M114" s="33" t="inlineStr">
        <is>
          <t>Latency monitoring on the gap between an incident's first public report and EventWatch publication, so a multi-day lag on a Tier-1 manufacturing site raises an internal alarm instead of waiting for the customer to notice</t>
        </is>
      </c>
      <c r="N114" s="33" t="inlineStr">
        <is>
          <t>Yes</t>
        </is>
      </c>
      <c r="O114" s="33" t="inlineStr">
        <is>
          <t>EAO-45: Ford reported a fire at Purflux Group's Filter Systems Maroc plant in Morocco on 11/12-Sep-2026 that Resilinc published only on 22-Sep-2026, a 10 to 11 day lag. Purflux supplies oil, fuel, air and cabin filtration to automotive powertrain and vehicle assembly lines, and the company issued its own official statement at the time. Ford has requested a formal RCA plus interim and permanent corrective actions covering regional event detection across North African and European manufacturing hubs. EventWatch review established that no article carrying the company name was captured on the portal on 11-Sep-2026, so nothing was available to publish on that date. Logged as a Complaint under Source Coverage on that basis: the gap is in what the sources delivered, not in how quickly a captured item was handled. The remainder of the interval to the 22-Sep publication is still under investigation.</t>
        </is>
      </c>
      <c r="P114" s="33" t="inlineStr">
        <is>
          <t>~10-11 days (event 11/12-Sep-2026 -&gt; published 22-Sep-2026)</t>
        </is>
      </c>
      <c r="Q114" s="33" t="inlineStr">
        <is>
          <t>Yes</t>
        </is>
      </c>
      <c r="R114" s="39" t="n">
        <v>9</v>
      </c>
      <c r="S114" s="39" t="n">
        <v>252</v>
      </c>
      <c r="T114" s="35" t="inlineStr">
        <is>
          <t>Sep 2026</t>
        </is>
      </c>
      <c r="U114" s="33" t="inlineStr">
        <is>
          <t>High</t>
        </is>
      </c>
      <c r="V114" s="33" t="inlineStr">
        <is>
          <t>Dynamic Source Discovery</t>
        </is>
      </c>
      <c r="W114" s="33" t="inlineStr">
        <is>
          <t>EAO-45</t>
        </is>
      </c>
      <c r="X114" s="33" t="inlineStr">
        <is>
          <t>No news article carrying the company name was captured on the EventWatch portal on 11-Sep-2026, the date Ford gives for the incident, so there was no item available to publish on that date. The remainder of the interval to the 22-Sep-2026 publication is still under investigation, so Root Cause, Sub-type and Standard Automation Focus on this record remain provisional.</t>
        </is>
      </c>
      <c r="Y114" s="33" t="inlineStr">
        <is>
          <t>Product &amp; Platform</t>
        </is>
      </c>
      <c r="Z114" s="37" t="n"/>
    </row>
    <row r="115">
      <c r="A115" s="35" t="n">
        <v>46266</v>
      </c>
      <c r="B115" s="37" t="n">
        <v>46293</v>
      </c>
      <c r="C115" s="33" t="inlineStr">
        <is>
          <t>Legal Action</t>
        </is>
      </c>
      <c r="D115" s="33" t="inlineStr">
        <is>
          <t>Eaton</t>
        </is>
      </c>
      <c r="E115" s="39" t="n">
        <v>1</v>
      </c>
      <c r="F115" s="33" t="inlineStr">
        <is>
          <t>USITC DRAM Patent Investigation - Duplicate WarRooms Published for One Event (Eaton)</t>
        </is>
      </c>
      <c r="G115" s="33" t="inlineStr">
        <is>
          <t>Complaint</t>
        </is>
      </c>
      <c r="H115" s="33" t="inlineStr">
        <is>
          <t>Duplicate WarRooms</t>
        </is>
      </c>
      <c r="I115" s="33" t="inlineStr">
        <is>
          <t>People</t>
        </is>
      </c>
      <c r="J115" s="33" t="inlineStr">
        <is>
          <t>Duplication</t>
        </is>
      </c>
      <c r="K115" s="33" t="inlineStr">
        <is>
          <t>Improvement</t>
        </is>
      </c>
      <c r="L115" s="33" t="inlineStr">
        <is>
          <t>Fixed</t>
        </is>
      </c>
      <c r="M115" s="33" t="inlineStr">
        <is>
          <t>Near-duplicate detection at publication that matches on the underlying event rather than the bulletin title - entities, location, date and source article - so a second WarRoom for an event already covered is blocked at creation rather than found by the customer</t>
        </is>
      </c>
      <c r="N115" s="33" t="inlineStr">
        <is>
          <t>Yes</t>
        </is>
      </c>
      <c r="O115" s="33" t="inlineStr">
        <is>
          <t>EAO-46: Eaton reported two WarRooms published for one event: 'USITC Opens DRAM Patent Investigation' and 'U.S. ITC Launches Patent Investigation into Micron, Supermicro, HPE, and Lenovo'. Customer Support reviewed both and confirmed they cover the same underlying news, and that they were created by two different EventWatch analysts, Deepika Rao and Namrata Kar. Cause is human error: the analyst failed to check for an existing bulletin before publishing the second WarRoom. The fix is deleting the duplicate WarRoom only. This is the same failure as the 25-Feb-2026 Eaton duplicate-WarRoom complaint on the Xometry CEO succession event.</t>
        </is>
      </c>
      <c r="P115" s="33" t="n"/>
      <c r="Q115" s="33" t="inlineStr">
        <is>
          <t>No</t>
        </is>
      </c>
      <c r="R115" s="39" t="n">
        <v>9</v>
      </c>
      <c r="S115" s="39" t="n"/>
      <c r="T115" s="35" t="inlineStr">
        <is>
          <t>Sep 2026</t>
        </is>
      </c>
      <c r="U115" s="33" t="inlineStr">
        <is>
          <t>Medium</t>
        </is>
      </c>
      <c r="V115" s="33" t="inlineStr">
        <is>
          <t>Cluster Integrity &amp; Duplicate Prevention</t>
        </is>
      </c>
      <c r="W115" s="33" t="inlineStr">
        <is>
          <t>EAO-46</t>
        </is>
      </c>
      <c r="X115" s="33" t="inlineStr">
        <is>
          <t>Human error. The analyst did not check for an existing bulletin before creating a second WarRoom for the USITC DRAM patent investigation, so one event was published twice under differently worded titles by two different analysts. The corrective action is to delete the duplicate WarRoom, leaving a single bulletin for the event. No product or detection change is claimed here.</t>
        </is>
      </c>
      <c r="Y115" s="33" t="inlineStr">
        <is>
          <t>EventWatch Ops - Nitin Rindhe</t>
        </is>
      </c>
      <c r="Z115" s="37" t="n"/>
    </row>
    <row r="116">
      <c r="A116" s="35" t="n">
        <v>46266</v>
      </c>
      <c r="B116" s="37" t="n">
        <v>46293</v>
      </c>
      <c r="C116" s="33" t="inlineStr">
        <is>
          <t>Financial Distress</t>
        </is>
      </c>
      <c r="D116" s="33" t="inlineStr">
        <is>
          <t>Western Digital</t>
        </is>
      </c>
      <c r="E116" s="39" t="n">
        <v>1</v>
      </c>
      <c r="F116" s="33" t="inlineStr">
        <is>
          <t>Nidec Reported 1tn Yen Impairment and CEO Dismissal - No EventWatch Event Created (Western Digital)</t>
        </is>
      </c>
      <c r="G116" s="33" t="inlineStr">
        <is>
          <t>Inquiry</t>
        </is>
      </c>
      <c r="H116" s="33" t="inlineStr">
        <is>
          <t>Wrong Relevancy</t>
        </is>
      </c>
      <c r="I116" s="33" t="inlineStr">
        <is>
          <t>People</t>
        </is>
      </c>
      <c r="J116" s="33" t="inlineStr">
        <is>
          <t>Review</t>
        </is>
      </c>
      <c r="K116" s="33" t="inlineStr">
        <is>
          <t>Improvement</t>
        </is>
      </c>
      <c r="L116" s="33" t="inlineStr">
        <is>
          <t>Clarification Provided</t>
        </is>
      </c>
      <c r="M116" s="33" t="inlineStr">
        <is>
          <t>A mapped-partner check at the point an analyst marks an event Not Impactful, so an event touching a customer's own mapped supplier cannot be closed out of their feed without that being surfaced to the reviewer</t>
        </is>
      </c>
      <c r="N116" s="33" t="inlineStr">
        <is>
          <t>Yes</t>
        </is>
      </c>
      <c r="O116" s="33" t="inlineStr">
        <is>
          <t>EAO-47: Western Digital reported that a Nidec Corporation (6594.T) event was absent from EventWatch. Per a Goldman Sachs First Take dated 28-Sep-2026 citing Diamond Online, Nidec is reported to be planning impairment losses of approximately 1 trillion yen, around 300 billion tied to correcting accounting irregularities and around 600 billion largely in the appliance business, with an extraordinary board meeting on 25-Sep-2026 reportedly dismissing CEO Mitsuya Kishida. Investigation found the event had in fact been captured and created: the analyst overlooked it, did not check whether Nidec is a mapped partner of Western Digital, and classified it Not Impactful, which kept it out of their feed. The customer was informed that the event was reported, so this is not counted as a missed event; the failure is analyst review and impact classification.</t>
        </is>
      </c>
      <c r="P116" s="33" t="n"/>
      <c r="Q116" s="33" t="inlineStr">
        <is>
          <t>No</t>
        </is>
      </c>
      <c r="R116" s="39" t="n">
        <v>9</v>
      </c>
      <c r="S116" s="39" t="n"/>
      <c r="T116" s="35" t="inlineStr">
        <is>
          <t>Sep 2026</t>
        </is>
      </c>
      <c r="U116" s="33" t="inlineStr">
        <is>
          <t>Medium</t>
        </is>
      </c>
      <c r="V116" s="33" t="inlineStr">
        <is>
          <t>WarRoom &amp; Decision Validation</t>
        </is>
      </c>
      <c r="W116" s="33" t="inlineStr">
        <is>
          <t>EAO-47</t>
        </is>
      </c>
      <c r="X116" s="33" t="inlineStr">
        <is>
          <t>Not a source-coverage gap and not a missed event. The Nidec reporting was captured and an event was created; the analyst then classified it Not Impactful without checking whether Nidec is a mapped partner of Western Digital, so it never reached them. Western Digital was told the event had been reported. The failure is the impact classification, not coverage.</t>
        </is>
      </c>
      <c r="Y116" s="33" t="inlineStr">
        <is>
          <t>EventWatch Ops - Nitin Rindhe</t>
        </is>
      </c>
      <c r="Z116" s="37" t="n"/>
    </row>
    <row r="117">
      <c r="A117" s="35" t="n">
        <v>46266</v>
      </c>
      <c r="B117" s="37" t="n">
        <v>46293</v>
      </c>
      <c r="C117" s="33" t="inlineStr">
        <is>
          <t>Port Disruption</t>
        </is>
      </c>
      <c r="D117" s="33" t="inlineStr">
        <is>
          <t>Ford</t>
        </is>
      </c>
      <c r="E117" s="39" t="n">
        <v>1</v>
      </c>
      <c r="F117" s="33" t="inlineStr">
        <is>
          <t>South Africa Port and Corridor Congestion - EWC Cargo Movement Update Not Flagged (Ford)</t>
        </is>
      </c>
      <c r="G117" s="33" t="inlineStr">
        <is>
          <t>Complaint</t>
        </is>
      </c>
      <c r="H117" s="33" t="inlineStr">
        <is>
          <t>Missed Event</t>
        </is>
      </c>
      <c r="I117" s="33" t="inlineStr">
        <is>
          <t>People</t>
        </is>
      </c>
      <c r="J117" s="33" t="inlineStr">
        <is>
          <t>Review</t>
        </is>
      </c>
      <c r="K117" s="33" t="inlineStr">
        <is>
          <t>Improvement</t>
        </is>
      </c>
      <c r="L117" s="33" t="inlineStr">
        <is>
          <t>RCA Shared</t>
        </is>
      </c>
      <c r="M117" s="33" t="inlineStr">
        <is>
          <t>Not Impactful decision validation for port and corridor congestion, so a multi-day vessel waiting or berthing delay reported by a regional logistics body is escalated for a second review rather than closed at editorial review</t>
        </is>
      </c>
      <c r="N117" s="33" t="inlineStr">
        <is>
          <t>Yes</t>
        </is>
      </c>
      <c r="O117" s="33" t="inlineStr">
        <is>
          <t>Staged from Jira EAO-48 (Open). Ford reported that Resilinc did not flag the South African logistics and port disruption set out in the Exporters Western Cape Cargo Movement Update of 20-Sep-2026. Cause per EventWatch Ops: the story did reach the analyst portal and an analyst overlooked it. An analyst error, not a source-coverage gap.</t>
        </is>
      </c>
      <c r="P117" s="33" t="n"/>
      <c r="Q117" s="33" t="inlineStr">
        <is>
          <t>Yes</t>
        </is>
      </c>
      <c r="R117" s="39" t="n">
        <v>9</v>
      </c>
      <c r="S117" s="39" t="n"/>
      <c r="T117" s="35" t="inlineStr">
        <is>
          <t>Sep 2026</t>
        </is>
      </c>
      <c r="U117" s="33" t="inlineStr">
        <is>
          <t>High</t>
        </is>
      </c>
      <c r="V117" s="33" t="inlineStr">
        <is>
          <t>WarRoom &amp; Decision Validation</t>
        </is>
      </c>
      <c r="W117" s="33" t="inlineStr">
        <is>
          <t>EAO-48</t>
        </is>
      </c>
      <c r="X117" s="33" t="inlineStr">
        <is>
          <t>RCA reviewed internally on 05-Oct-2026 and shared with the customer as a PDF attached to EAO-48; the document text is not in the ticket. Closed 07-Oct-2026 with no follow-up received.</t>
        </is>
      </c>
      <c r="Y117" s="33" t="inlineStr">
        <is>
          <t>EventWatch Ops - Nitin Rindhe</t>
        </is>
      </c>
      <c r="Z117" s="37" t="n">
        <v>46302</v>
      </c>
    </row>
    <row r="118">
      <c r="A118" s="35" t="n">
        <v>46266</v>
      </c>
      <c r="B118" s="37" t="n">
        <v>46295</v>
      </c>
      <c r="C118" s="33" t="inlineStr">
        <is>
          <t>Extreme Weather</t>
        </is>
      </c>
      <c r="D118" s="33" t="inlineStr">
        <is>
          <t>META</t>
        </is>
      </c>
      <c r="E118" s="39" t="n">
        <v>1</v>
      </c>
      <c r="F118" s="33" t="inlineStr">
        <is>
          <t>Disaster Zone Declared in Bangkok, Thailand, Following Widespread Flooding</t>
        </is>
      </c>
      <c r="G118" s="33" t="inlineStr">
        <is>
          <t>Complaint</t>
        </is>
      </c>
      <c r="H118" s="33" t="inlineStr">
        <is>
          <t>Impacted Supplier Missing</t>
        </is>
      </c>
      <c r="I118" s="33" t="inlineStr">
        <is>
          <t>People</t>
        </is>
      </c>
      <c r="J118" s="33" t="inlineStr">
        <is>
          <t>Mapping</t>
        </is>
      </c>
      <c r="K118" s="33" t="inlineStr">
        <is>
          <t>Improvement</t>
        </is>
      </c>
      <c r="L118" s="33" t="inlineStr">
        <is>
          <t>Pending</t>
        </is>
      </c>
      <c r="M118" s="33" t="inlineStr">
        <is>
          <t>Geographic completeness prompt at WarRoom creation, so an analyst scoping a flood or other area event is shown the impacted region beyond the named city before the initial impacted-site list is fixed, and a site added by a later update is flagged as a creation-time gap rather than found by the customer</t>
        </is>
      </c>
      <c r="N118" s="33" t="inlineStr">
        <is>
          <t>Yes</t>
        </is>
      </c>
      <c r="O118" s="33" t="inlineStr">
        <is>
          <t>Staged from Jira EAO-49 (Open). META reported that supplier DELTA ELECTRONICS and its Samut Prakan / Bangpoo site were not in the WarRoom at initial creation. TS confirmed the site is present now, added through a later WarRoom update, with the Activity Grid showing the subsequent addition. Cause per EventWatch Ops: the analyst did not research the region beyond Bangkok when scoping the initial impacted-site list.</t>
        </is>
      </c>
      <c r="P118" s="33" t="n"/>
      <c r="Q118" s="33" t="inlineStr">
        <is>
          <t>No</t>
        </is>
      </c>
      <c r="R118" s="39" t="n">
        <v>9</v>
      </c>
      <c r="S118" s="39" t="n"/>
      <c r="T118" s="35" t="inlineStr">
        <is>
          <t>Sep 2026</t>
        </is>
      </c>
      <c r="U118" s="33" t="inlineStr">
        <is>
          <t>Medium</t>
        </is>
      </c>
      <c r="V118" s="33" t="inlineStr">
        <is>
          <t>Entity &amp; Supplier Resolution</t>
        </is>
      </c>
      <c r="W118" s="33" t="inlineStr">
        <is>
          <t>EAO-49</t>
        </is>
      </c>
      <c r="X118" s="33" t="n"/>
      <c r="Y118" s="33" t="inlineStr">
        <is>
          <t>EventWatch Ops - Nitin Rindhe</t>
        </is>
      </c>
      <c r="Z118" s="37" t="n"/>
    </row>
    <row r="119">
      <c r="A119" s="35" t="n">
        <v>46296</v>
      </c>
      <c r="B119" s="37" t="n">
        <v>46296</v>
      </c>
      <c r="C119" s="33" t="inlineStr">
        <is>
          <t>Labor Disruption</t>
        </is>
      </c>
      <c r="D119" s="33" t="inlineStr">
        <is>
          <t>Ford</t>
        </is>
      </c>
      <c r="E119" s="39" t="n">
        <v>1</v>
      </c>
      <c r="F119" s="33" t="inlineStr">
        <is>
          <t>Planned Strike at AGC Display Glass, Yunlin County, Taiwan (5 Oct 2026) Not Reported (Ford)</t>
        </is>
      </c>
      <c r="G119" s="33" t="inlineStr">
        <is>
          <t>Complaint</t>
        </is>
      </c>
      <c r="H119" s="33" t="inlineStr">
        <is>
          <t>Missed Event</t>
        </is>
      </c>
      <c r="I119" s="33" t="inlineStr">
        <is>
          <t>People</t>
        </is>
      </c>
      <c r="J119" s="33" t="inlineStr">
        <is>
          <t>Review</t>
        </is>
      </c>
      <c r="K119" s="33" t="inlineStr">
        <is>
          <t>Improvement</t>
        </is>
      </c>
      <c r="L119" s="33" t="inlineStr">
        <is>
          <t>Pending</t>
        </is>
      </c>
      <c r="M119" s="33" t="inlineStr">
        <is>
          <t>Not Impactful decision validation for planned labour actions, so a strike carrying a published start date is escalated for a second review rather than closed at editorial review</t>
        </is>
      </c>
      <c r="N119" s="33" t="inlineStr">
        <is>
          <t>Yes</t>
        </is>
      </c>
      <c r="O119" s="33" t="inlineStr">
        <is>
          <t>Staged from Jira EAO-50 (Open). Ford reported a missed alert for a planned strike at AGC Display Glass, Yunlin County, Taiwan on 05-Oct-2026. Monitoring did pick up the 30-Sep-2026 report, but the story was classified Not Impactful at editorial review, so no EventWatch alert or WarRoom was published and nothing reached Ford. Cause per EventWatch Ops: an analyst, not automated logic. The story reached the analyst portal and the analyst moved it to Not Impactful without assessing it carefully.</t>
        </is>
      </c>
      <c r="P119" s="33" t="n"/>
      <c r="Q119" s="33" t="inlineStr">
        <is>
          <t>Yes</t>
        </is>
      </c>
      <c r="R119" s="39" t="n">
        <v>10</v>
      </c>
      <c r="S119" s="39" t="n"/>
      <c r="T119" s="35" t="inlineStr">
        <is>
          <t>Oct 2026</t>
        </is>
      </c>
      <c r="U119" s="33" t="inlineStr">
        <is>
          <t>Medium</t>
        </is>
      </c>
      <c r="V119" s="33" t="inlineStr">
        <is>
          <t>WarRoom &amp; Decision Validation</t>
        </is>
      </c>
      <c r="W119" s="33" t="inlineStr">
        <is>
          <t>EAO-50</t>
        </is>
      </c>
      <c r="X119" s="33" t="inlineStr">
        <is>
          <t>Engineering confirmed on the ticket that the feed was received by the application and processed successfully, that a cluster was created for it, and that the cluster was later marked Not Impactful by an analyst. The written RCA was approved internally on 11-Oct-2026 and Customer Success was asked on 12-Oct-2026 to share the PDF with the customer; the ticket is still open and the document text is not in the ticket.</t>
        </is>
      </c>
      <c r="Y119" s="33" t="inlineStr">
        <is>
          <t>EventWatch Ops - Nitin Rindhe</t>
        </is>
      </c>
      <c r="Z119" s="37" t="n"/>
    </row>
    <row r="120">
      <c r="A120" s="35" t="n">
        <v>46296</v>
      </c>
      <c r="B120" s="37" t="n">
        <v>46303</v>
      </c>
      <c r="C120" s="33" t="inlineStr">
        <is>
          <t>Power Outage</t>
        </is>
      </c>
      <c r="D120" s="33" t="inlineStr">
        <is>
          <t>General Mills</t>
        </is>
      </c>
      <c r="E120" s="39" t="n">
        <v>1</v>
      </c>
      <c r="F120" s="33" t="inlineStr">
        <is>
          <t>Carlisle, Iowa Municipal Water Disruption – No WarRoom Created (General Mills)</t>
        </is>
      </c>
      <c r="G120" s="33" t="inlineStr">
        <is>
          <t>Complaint</t>
        </is>
      </c>
      <c r="H120" s="33" t="inlineStr">
        <is>
          <t>Missed WarRoom</t>
        </is>
      </c>
      <c r="I120" s="33" t="inlineStr">
        <is>
          <t>Product</t>
        </is>
      </c>
      <c r="J120" s="33" t="inlineStr">
        <is>
          <t>Keyword Update</t>
        </is>
      </c>
      <c r="K120" s="33" t="inlineStr">
        <is>
          <t>Improvement</t>
        </is>
      </c>
      <c r="L120" s="33" t="inlineStr">
        <is>
          <t>Pending</t>
        </is>
      </c>
      <c r="M120" s="33" t="inlineStr">
        <is>
          <t>Keyword coverage for municipal utility disruptions and do-not-use-water orders, so a named-locality utility failure is matched against mapped customer sites rather than passing the algorithm unrecognised</t>
        </is>
      </c>
      <c r="N120" s="33" t="inlineStr">
        <is>
          <t>Yes</t>
        </is>
      </c>
      <c r="O120" s="33" t="inlineStr">
        <is>
          <t>Staged from Jira EAO-52 (Open). General Mills reported that a complete municipal water supply disruption and a citywide do-not-use-water order hit their Carlisle, Iowa flour mill on 30-Sep-2026, temporarily disrupting milling operations and requiring 2,500-gallon water tankers as mitigation, and that no WarRoom notification was generated. The customer confirms the Carlisle facility has been in their CDIF/site data since inception, including site ID, address, city and state, and that news coverage named Carlisle, Iowa explicitly. The ticket asks whether the event was captured by monitoring at all, why it was not associated with the facility if it was, and why no WarRoom followed. Under investigation: no RCA yet, and the Sub-type is a staging guess - source coverage, geofencing and WarRoom creation are all still open.</t>
        </is>
      </c>
      <c r="P120" s="33" t="n"/>
      <c r="Q120" s="33" t="inlineStr">
        <is>
          <t>Yes</t>
        </is>
      </c>
      <c r="R120" s="39" t="n">
        <v>10</v>
      </c>
      <c r="S120" s="39" t="n"/>
      <c r="T120" s="35" t="inlineStr">
        <is>
          <t>Oct 2026</t>
        </is>
      </c>
      <c r="U120" s="33" t="inlineStr">
        <is>
          <t>Medium</t>
        </is>
      </c>
      <c r="V120" s="33" t="inlineStr">
        <is>
          <t>Dynamic Source Discovery</t>
        </is>
      </c>
      <c r="W120" s="33" t="inlineStr">
        <is>
          <t>EAO-52</t>
        </is>
      </c>
      <c r="X120" s="33" t="inlineStr">
        <is>
          <t>Monitoring checked the Not Impacted tab and found no relevant article, then established the cause as a keyword miss: the Carlisle coverage was not matched by the algorithm's keyword set. The keyword is being added. Not a source-coverage gap - the row was staged as one before the investigation reported, and is corrected here.</t>
        </is>
      </c>
      <c r="Y120" s="33" t="inlineStr">
        <is>
          <t>Product &amp; Platform</t>
        </is>
      </c>
      <c r="Z120" s="37" t="n"/>
    </row>
    <row r="121">
      <c r="A121" s="35" t="n">
        <v>46296</v>
      </c>
      <c r="B121" s="37" t="n">
        <v>46307</v>
      </c>
      <c r="C121" s="33" t="inlineStr">
        <is>
          <t>Bankruptcy</t>
        </is>
      </c>
      <c r="D121" s="33" t="inlineStr">
        <is>
          <t>Ford</t>
        </is>
      </c>
      <c r="E121" s="39" t="n">
        <v>1</v>
      </c>
      <c r="F121" s="33" t="inlineStr">
        <is>
          <t>BER Automotive Bankruptcy, Bursa Türkiye – No EventWatch Alert (Ford)</t>
        </is>
      </c>
      <c r="G121" s="33" t="inlineStr">
        <is>
          <t>Complaint</t>
        </is>
      </c>
      <c r="H121" s="33" t="inlineStr">
        <is>
          <t>Missed insolvency alert</t>
        </is>
      </c>
      <c r="I121" s="33" t="inlineStr">
        <is>
          <t>Product</t>
        </is>
      </c>
      <c r="J121" s="33" t="inlineStr">
        <is>
          <t>Source Coverage</t>
        </is>
      </c>
      <c r="K121" s="33" t="inlineStr">
        <is>
          <t>Improvement</t>
        </is>
      </c>
      <c r="L121" s="33" t="inlineStr">
        <is>
          <t>Pending</t>
        </is>
      </c>
      <c r="M121" s="33" t="inlineStr">
        <is>
          <t>Detection of bankruptcy, insolvency and fraud proceedings in Türkiye's automotive manufacturing cluster, so a filing at a sub-tier supplier is captured when it is published rather than when the customer raises it</t>
        </is>
      </c>
      <c r="N121" s="33" t="inlineStr">
        <is>
          <t>Yes</t>
        </is>
      </c>
      <c r="O121" s="33" t="inlineStr">
        <is>
          <t>Staged from Jira EAO-53 (Open). Ford reported that no alert was broadcast for the official bankruptcy declaration and reported operational distress at BER Automotive, Bursa, Türkiye, and asked for a manual event and WarRoom to be created immediately. Ford's own mapping links the supplier to its production network through Tier 1 AUO-connected suppliers, with line-stoppage risk once buffer stock is exhausted; they are running BOM mapping, Tier 1 stock audits and alternative sourcing in parallel. The only cited source is a Turkish-language report of alleged billion-lira fraud in the Bursa automotive sector, offered as customer evidence rather than verified fact. The ticket asks for an RCA plus interim and permanent corrective actions. Under investigation: no RCA yet, and the Sub-type is a staging guess - source coverage and a keyword gap are both open, as EAO-52 has just shown.</t>
        </is>
      </c>
      <c r="P121" s="33" t="n"/>
      <c r="Q121" s="33" t="inlineStr">
        <is>
          <t>Yes</t>
        </is>
      </c>
      <c r="R121" s="39" t="n">
        <v>10</v>
      </c>
      <c r="S121" s="39" t="n"/>
      <c r="T121" s="35" t="inlineStr">
        <is>
          <t>Oct 2026</t>
        </is>
      </c>
      <c r="U121" s="33" t="inlineStr">
        <is>
          <t>High</t>
        </is>
      </c>
      <c r="V121" s="33" t="inlineStr">
        <is>
          <t>Dynamic Source Discovery</t>
        </is>
      </c>
      <c r="W121" s="33" t="inlineStr">
        <is>
          <t>EAO-53</t>
        </is>
      </c>
      <c r="X121" s="33" t="n"/>
      <c r="Y121" s="33" t="inlineStr">
        <is>
          <t>Product &amp; Platform</t>
        </is>
      </c>
      <c r="Z121" s="37" t="n"/>
    </row>
  </sheetData>
  <conditionalFormatting sqref="U2:U81">
    <cfRule type="expression" priority="1" dxfId="34">
      <formula>$U2="Critical"</formula>
    </cfRule>
  </conditionalFormatting>
  <conditionalFormatting sqref="L2:L81">
    <cfRule type="expression" priority="2" dxfId="33">
      <formula>$L2="Under Investigation"</formula>
    </cfRule>
  </conditionalFormatting>
  <conditionalFormatting sqref="B2:B81">
    <cfRule type="expression" priority="3" dxfId="32">
      <formula>ISTEXT($B2)</formula>
    </cfRule>
  </conditionalFormatting>
  <conditionalFormatting sqref="P2:P81">
    <cfRule type="expression" priority="4" dxfId="31">
      <formula>OR($P2="Yes",$P2="No")</formula>
    </cfRule>
  </conditionalFormatting>
  <hyperlinks>
    <hyperlink xmlns:r="http://schemas.openxmlformats.org/officeDocument/2006/relationships" ref="O66" display="https://outlook.office365.com/owa/?ItemID=AQMkAGJkNmYzMmFjLWMyNjMtNGQ1My05YzBkLTg3NWU1YzlkNTI0MgBGAAADkLVKwdD4v0SBqlGypTcIwwcAnZv%2fZxHZ70aBAH87L4lQGQAAAgEMAAAAnZv%2fZxHZ70aBAH87L4lQGQAMXG6nQgAAAA%3d%3d&amp;exvsurl=1&amp;viewmodel=ReadMessageItem" r:id="rId1"/>
  </hyperlinks>
  <pageMargins left="0.7" right="0.7" top="0.75" bottom="0.75" header="0.3" footer="0.3"/>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R113"/>
  <sheetViews>
    <sheetView showGridLines="0" workbookViewId="0">
      <pane ySplit="2" topLeftCell="E72" activePane="bottomLeft" state="frozen"/>
      <selection pane="bottomLeft" activeCell="I62" sqref="I62:M83"/>
    </sheetView>
  </sheetViews>
  <sheetFormatPr baseColWidth="8" defaultRowHeight="15"/>
  <cols>
    <col width="22.85546875" customWidth="1" min="1" max="1"/>
    <col width="14.140625" customWidth="1" min="2" max="4"/>
    <col width="31.42578125" customWidth="1" min="5" max="5"/>
    <col width="14.140625" customWidth="1" min="6" max="8"/>
    <col width="27.5703125" customWidth="1" min="9" max="9"/>
    <col width="14.140625" customWidth="1" min="10" max="12"/>
    <col width="21" customWidth="1" min="13" max="13"/>
    <col width="14.140625" customWidth="1" min="14" max="18"/>
  </cols>
  <sheetData>
    <row r="1" ht="33.75" customHeight="1">
      <c r="A1" s="79" t="inlineStr">
        <is>
          <t>EVENTWATCH OPERATIONS CONTROL CENTER</t>
        </is>
      </c>
    </row>
    <row r="2" ht="24" customHeight="1">
      <c r="A2" s="81">
        <f>TEXT(MIN(ComplaintTracker[Reporting Month]),"mmm")&amp;"–"&amp;TEXT(MAX(ComplaintTracker[Reporting Month]),"mmm yyyy")&amp;" · "&amp;ROWS(ComplaintTracker[Issue Type])&amp;" records ("&amp;COUNTIF(ComplaintTracker[Issue Type],"Complaint")&amp;" complaints, "&amp;COUNTIF(ComplaintTracker[Issue Type],"Inquiry")&amp;" inquiries) · Updates automatically from Data"</f>
        <v/>
      </c>
      <c r="B2" s="93" t="n"/>
      <c r="C2" s="93" t="n"/>
      <c r="D2" s="93" t="n"/>
      <c r="E2" s="93" t="n"/>
      <c r="F2" s="93" t="n"/>
      <c r="G2" s="93" t="n"/>
      <c r="H2" s="93" t="n"/>
      <c r="I2" s="93" t="n"/>
      <c r="J2" s="93" t="n"/>
      <c r="K2" s="93" t="n"/>
      <c r="L2" s="93" t="n"/>
      <c r="M2" s="93" t="n"/>
      <c r="N2" s="93" t="n"/>
      <c r="O2" s="93" t="n"/>
      <c r="P2" s="93" t="n"/>
      <c r="Q2" s="93" t="n"/>
      <c r="R2" s="93" t="n"/>
    </row>
    <row r="3" ht="18" customHeight="1">
      <c r="A3" s="3" t="n"/>
      <c r="B3" s="3" t="n"/>
      <c r="C3" s="3" t="n"/>
      <c r="D3" s="3" t="n"/>
      <c r="E3" s="3" t="n"/>
      <c r="F3" s="3" t="n"/>
      <c r="G3" s="3" t="n"/>
      <c r="H3" s="3" t="n"/>
      <c r="I3" s="3" t="n"/>
      <c r="J3" s="3" t="n"/>
      <c r="K3" s="3" t="n"/>
      <c r="L3" s="3" t="n"/>
      <c r="M3" s="3" t="n"/>
      <c r="N3" s="3" t="n"/>
      <c r="O3" s="3" t="n"/>
      <c r="P3" s="3" t="n"/>
      <c r="Q3" s="3" t="n"/>
      <c r="R3" s="3" t="n"/>
    </row>
    <row r="4" ht="18" customHeight="1">
      <c r="A4" s="45" t="inlineStr">
        <is>
          <t>TOTAL RECORDS</t>
        </is>
      </c>
      <c r="B4" s="94" t="n"/>
      <c r="C4" s="94" t="n"/>
      <c r="D4" s="45" t="inlineStr">
        <is>
          <t>COMPLAINTS</t>
        </is>
      </c>
      <c r="E4" s="94" t="n"/>
      <c r="F4" s="94" t="n"/>
      <c r="G4" s="66" t="inlineStr">
        <is>
          <t>MEDIUM RECORDS</t>
        </is>
      </c>
      <c r="H4" s="94" t="n"/>
      <c r="I4" s="94" t="n"/>
      <c r="J4" s="45" t="inlineStr">
        <is>
          <t>RCA REQUESTED (ALL)</t>
        </is>
      </c>
      <c r="K4" s="94" t="n"/>
      <c r="L4" s="94" t="n"/>
      <c r="M4" s="52" t="inlineStr">
        <is>
          <t>CLARIFICATION PROVIDED (ALL)</t>
        </is>
      </c>
      <c r="N4" s="94" t="n"/>
      <c r="O4" s="94" t="n"/>
      <c r="P4" s="95" t="inlineStr">
        <is>
          <t>MEDIAN DELAY (HRS)</t>
        </is>
      </c>
      <c r="Q4" s="94" t="n"/>
      <c r="R4" s="96" t="n"/>
    </row>
    <row r="5" ht="18" customHeight="1">
      <c r="A5" s="97">
        <f>ROWS(ComplaintTracker[Issue Type])</f>
        <v/>
      </c>
      <c r="D5" s="97">
        <f>COUNTIF(ComplaintTracker[Issue Type],"Complaint")</f>
        <v/>
      </c>
      <c r="G5" s="98">
        <f>COUNTIF(ComplaintTracker[Severity],"Medium")</f>
        <v/>
      </c>
      <c r="J5" s="99">
        <f>COUNTIF(ComplaintTracker[RCA Requested],"Yes")</f>
        <v/>
      </c>
      <c r="M5" s="100">
        <f>COUNTIF(ComplaintTracker[Short Term Fix Status],"Clarification Provided")</f>
        <v/>
      </c>
      <c r="P5" s="101">
        <f>MEDIAN(ComplaintTracker[Delay (Hours)])</f>
        <v/>
      </c>
      <c r="R5" s="102" t="n"/>
    </row>
    <row r="6" ht="18" customHeight="1">
      <c r="A6" s="103" t="n"/>
      <c r="D6" s="103" t="n"/>
      <c r="G6" s="103" t="n"/>
      <c r="J6" s="103" t="n"/>
      <c r="M6" s="103" t="n"/>
      <c r="P6" s="103" t="n"/>
      <c r="R6" s="102" t="n"/>
    </row>
    <row r="7" ht="18" customHeight="1">
      <c r="A7" s="104" t="n"/>
      <c r="B7" s="105" t="n"/>
      <c r="C7" s="105" t="n"/>
      <c r="D7" s="104" t="n"/>
      <c r="E7" s="105" t="n"/>
      <c r="F7" s="105" t="n"/>
      <c r="G7" s="106" t="n"/>
      <c r="H7" s="107" t="n"/>
      <c r="I7" s="107" t="n"/>
      <c r="J7" s="108" t="n"/>
      <c r="K7" s="109" t="n"/>
      <c r="L7" s="109" t="n"/>
      <c r="M7" s="110" t="n"/>
      <c r="N7" s="111" t="n"/>
      <c r="O7" s="111" t="n"/>
      <c r="P7" s="112" t="n"/>
      <c r="Q7" s="113" t="n"/>
      <c r="R7" s="114" t="n"/>
    </row>
    <row r="8" ht="18" customHeight="1">
      <c r="A8" s="9" t="inlineStr">
        <is>
          <t>All tracker rows</t>
        </is>
      </c>
      <c r="B8" s="4" t="n"/>
      <c r="C8" s="4" t="n"/>
      <c r="D8" s="9">
        <f>TEXT(D5/A5,"0%")&amp;" of records"</f>
        <v/>
      </c>
      <c r="E8" s="4" t="n"/>
      <c r="F8" s="4" t="n"/>
      <c r="G8" s="11">
        <f>TEXT(G5/A5,"0%")&amp;" of records"</f>
        <v/>
      </c>
      <c r="H8" s="12" t="n"/>
      <c r="I8" s="12" t="n"/>
      <c r="J8" s="9">
        <f>TEXT(J5/A5,"0%")&amp;" of records"</f>
        <v/>
      </c>
      <c r="K8" s="4" t="n"/>
      <c r="L8" s="4" t="n"/>
      <c r="M8" s="13">
        <f>TEXT(M5/A5,"0%")&amp;" of records"</f>
        <v/>
      </c>
      <c r="N8" s="14" t="n"/>
      <c r="O8" s="14" t="n"/>
      <c r="P8" s="9">
        <f>COUNT(ComplaintTracker[Delay (Hours)])&amp;" measured records"</f>
        <v/>
      </c>
      <c r="Q8" s="4" t="n"/>
      <c r="R8" s="10" t="n"/>
    </row>
    <row r="9" ht="24.75" customHeight="1">
      <c r="A9" s="83" t="inlineStr">
        <is>
          <t>01 · MONTHLY COMPLAINT TREND</t>
        </is>
      </c>
      <c r="B9" s="115" t="n"/>
      <c r="C9" s="115" t="n"/>
      <c r="D9" s="115" t="n"/>
      <c r="E9" s="115" t="n"/>
      <c r="F9" s="115" t="n"/>
      <c r="G9" s="83" t="inlineStr">
        <is>
          <t>02 · FIX STATUS</t>
        </is>
      </c>
      <c r="H9" s="115" t="n"/>
      <c r="I9" s="115" t="n"/>
      <c r="J9" s="115" t="n"/>
      <c r="K9" s="115" t="n"/>
      <c r="L9" s="115" t="n"/>
      <c r="M9" s="116" t="inlineStr">
        <is>
          <t>03 · SEVERITY PROFILE</t>
        </is>
      </c>
      <c r="N9" s="115" t="n"/>
      <c r="O9" s="115" t="n"/>
      <c r="P9" s="115" t="n"/>
      <c r="Q9" s="115" t="n"/>
      <c r="R9" s="117" t="n"/>
    </row>
    <row r="10" ht="18" customHeight="1">
      <c r="A10" s="8" t="n"/>
      <c r="B10" s="4" t="n"/>
      <c r="C10" s="4" t="n"/>
      <c r="D10" s="4" t="n"/>
      <c r="E10" s="4" t="n"/>
      <c r="F10" s="4" t="n"/>
      <c r="G10" s="8" t="n"/>
      <c r="H10" s="4" t="n"/>
      <c r="I10" s="4" t="n"/>
      <c r="J10" s="4" t="n"/>
      <c r="K10" s="4" t="n"/>
      <c r="L10" s="4" t="n"/>
      <c r="M10" s="8" t="n"/>
      <c r="N10" s="4" t="n"/>
      <c r="O10" s="4" t="n"/>
      <c r="P10" s="4" t="n"/>
      <c r="Q10" s="4" t="n"/>
      <c r="R10" s="10" t="n"/>
    </row>
    <row r="11" ht="18" customHeight="1">
      <c r="A11" s="8" t="n"/>
      <c r="B11" s="4" t="n"/>
      <c r="C11" s="4" t="n"/>
      <c r="D11" s="4" t="n"/>
      <c r="E11" s="4" t="n"/>
      <c r="F11" s="4" t="n"/>
      <c r="G11" s="8" t="n"/>
      <c r="H11" s="4" t="n"/>
      <c r="I11" s="4" t="n"/>
      <c r="J11" s="4" t="n"/>
      <c r="K11" s="4" t="n"/>
      <c r="L11" s="4" t="n"/>
      <c r="M11" s="8" t="n"/>
      <c r="N11" s="4" t="n"/>
      <c r="O11" s="4" t="n"/>
      <c r="P11" s="4" t="n"/>
      <c r="Q11" s="4" t="n"/>
      <c r="R11" s="10" t="n"/>
    </row>
    <row r="12" ht="18" customHeight="1">
      <c r="A12" s="8" t="n"/>
      <c r="B12" s="4" t="n"/>
      <c r="C12" s="4" t="n"/>
      <c r="D12" s="4" t="n"/>
      <c r="E12" s="4" t="n"/>
      <c r="F12" s="4" t="n"/>
      <c r="G12" s="8" t="n"/>
      <c r="H12" s="4" t="n"/>
      <c r="I12" s="4" t="n"/>
      <c r="J12" s="4" t="n"/>
      <c r="K12" s="4" t="n"/>
      <c r="L12" s="4" t="n"/>
      <c r="M12" s="8" t="n"/>
      <c r="N12" s="4" t="n"/>
      <c r="O12" s="4" t="n"/>
      <c r="P12" s="4" t="n"/>
      <c r="Q12" s="4" t="n"/>
      <c r="R12" s="10" t="n"/>
    </row>
    <row r="13" ht="18" customHeight="1">
      <c r="A13" s="8" t="n"/>
      <c r="B13" s="4" t="n"/>
      <c r="C13" s="4" t="n"/>
      <c r="D13" s="4" t="n"/>
      <c r="E13" s="4" t="n"/>
      <c r="F13" s="4" t="n"/>
      <c r="G13" s="8" t="n"/>
      <c r="H13" s="4" t="n"/>
      <c r="I13" s="4" t="n"/>
      <c r="J13" s="4" t="n"/>
      <c r="K13" s="4" t="n"/>
      <c r="L13" s="4" t="n"/>
      <c r="M13" s="8" t="n"/>
      <c r="N13" s="4" t="n"/>
      <c r="O13" s="4" t="n"/>
      <c r="P13" s="4" t="n"/>
      <c r="Q13" s="4" t="n"/>
      <c r="R13" s="10" t="n"/>
    </row>
    <row r="14" ht="18" customHeight="1">
      <c r="A14" s="8" t="n"/>
      <c r="B14" s="4" t="n"/>
      <c r="C14" s="4" t="n"/>
      <c r="D14" s="4" t="n"/>
      <c r="E14" s="4" t="n"/>
      <c r="F14" s="4" t="n"/>
      <c r="G14" s="8" t="n"/>
      <c r="H14" s="4" t="n"/>
      <c r="I14" s="4" t="n"/>
      <c r="J14" s="4" t="n"/>
      <c r="K14" s="4" t="n"/>
      <c r="L14" s="4" t="n"/>
      <c r="M14" s="8" t="n"/>
      <c r="N14" s="4" t="n"/>
      <c r="O14" s="4" t="n"/>
      <c r="P14" s="4" t="n"/>
      <c r="Q14" s="4" t="n"/>
      <c r="R14" s="10" t="n"/>
    </row>
    <row r="15" ht="18" customHeight="1">
      <c r="A15" s="8" t="n"/>
      <c r="B15" s="4" t="n"/>
      <c r="C15" s="4" t="n"/>
      <c r="D15" s="4" t="n"/>
      <c r="E15" s="4" t="n"/>
      <c r="F15" s="4" t="n"/>
      <c r="G15" s="8" t="n"/>
      <c r="H15" s="4" t="n"/>
      <c r="I15" s="4" t="n"/>
      <c r="J15" s="4" t="n"/>
      <c r="K15" s="4" t="n"/>
      <c r="L15" s="4" t="n"/>
      <c r="M15" s="8" t="n"/>
      <c r="N15" s="4" t="n"/>
      <c r="O15" s="4" t="n"/>
      <c r="P15" s="4" t="n"/>
      <c r="Q15" s="4" t="n"/>
      <c r="R15" s="10" t="n"/>
    </row>
    <row r="16" ht="18" customHeight="1">
      <c r="A16" s="8" t="n"/>
      <c r="B16" s="4" t="n"/>
      <c r="C16" s="4" t="n"/>
      <c r="D16" s="4" t="n"/>
      <c r="E16" s="4" t="n"/>
      <c r="F16" s="4" t="n"/>
      <c r="G16" s="8" t="n"/>
      <c r="H16" s="4" t="n"/>
      <c r="I16" s="4" t="n"/>
      <c r="J16" s="4" t="n"/>
      <c r="K16" s="4" t="n"/>
      <c r="L16" s="4" t="n"/>
      <c r="M16" s="8" t="n"/>
      <c r="N16" s="4" t="n"/>
      <c r="O16" s="4" t="n"/>
      <c r="P16" s="4" t="n"/>
      <c r="Q16" s="4" t="n"/>
      <c r="R16" s="10" t="n"/>
    </row>
    <row r="17" ht="18" customHeight="1">
      <c r="A17" s="8" t="n"/>
      <c r="B17" s="4" t="n"/>
      <c r="C17" s="4" t="n"/>
      <c r="D17" s="4" t="n"/>
      <c r="E17" s="4" t="n"/>
      <c r="F17" s="4" t="n"/>
      <c r="G17" s="8" t="n"/>
      <c r="H17" s="4" t="n"/>
      <c r="I17" s="4" t="n"/>
      <c r="J17" s="4" t="n"/>
      <c r="K17" s="4" t="n"/>
      <c r="L17" s="4" t="n"/>
      <c r="M17" s="8" t="n"/>
      <c r="N17" s="4" t="n"/>
      <c r="O17" s="4" t="n"/>
      <c r="P17" s="4" t="n"/>
      <c r="Q17" s="4" t="n"/>
      <c r="R17" s="10" t="n"/>
    </row>
    <row r="18" ht="18" customHeight="1">
      <c r="A18" s="8" t="n"/>
      <c r="B18" s="4" t="n"/>
      <c r="C18" s="4" t="n"/>
      <c r="D18" s="4" t="n"/>
      <c r="E18" s="4" t="n"/>
      <c r="F18" s="4" t="n"/>
      <c r="G18" s="8" t="n"/>
      <c r="H18" s="4" t="n"/>
      <c r="I18" s="4" t="n"/>
      <c r="J18" s="4" t="n"/>
      <c r="K18" s="4" t="n"/>
      <c r="L18" s="4" t="n"/>
      <c r="M18" s="8" t="n"/>
      <c r="N18" s="4" t="n"/>
      <c r="O18" s="4" t="n"/>
      <c r="P18" s="4" t="n"/>
      <c r="Q18" s="4" t="n"/>
      <c r="R18" s="10" t="n"/>
    </row>
    <row r="19" ht="18" customHeight="1">
      <c r="A19" s="8" t="n"/>
      <c r="B19" s="4" t="n"/>
      <c r="C19" s="4" t="n"/>
      <c r="D19" s="4" t="n"/>
      <c r="E19" s="4" t="n"/>
      <c r="F19" s="4" t="n"/>
      <c r="G19" s="8" t="n"/>
      <c r="H19" s="4" t="n"/>
      <c r="I19" s="4" t="n"/>
      <c r="J19" s="4" t="n"/>
      <c r="K19" s="4" t="n"/>
      <c r="L19" s="4" t="n"/>
      <c r="M19" s="8" t="n"/>
      <c r="N19" s="4" t="n"/>
      <c r="O19" s="4" t="n"/>
      <c r="P19" s="4" t="n"/>
      <c r="Q19" s="4" t="n"/>
      <c r="R19" s="10" t="n"/>
    </row>
    <row r="20" ht="18" customHeight="1">
      <c r="A20" s="8" t="n"/>
      <c r="B20" s="4" t="n"/>
      <c r="C20" s="4" t="n"/>
      <c r="D20" s="4" t="n"/>
      <c r="E20" s="4" t="n"/>
      <c r="F20" s="4" t="n"/>
      <c r="G20" s="8" t="n"/>
      <c r="H20" s="4" t="n"/>
      <c r="I20" s="4" t="n"/>
      <c r="J20" s="4" t="n"/>
      <c r="K20" s="4" t="n"/>
      <c r="L20" s="4" t="n"/>
      <c r="M20" s="8" t="n"/>
      <c r="N20" s="4" t="n"/>
      <c r="O20" s="4" t="n"/>
      <c r="P20" s="4" t="n"/>
      <c r="Q20" s="4" t="n"/>
      <c r="R20" s="10" t="n"/>
    </row>
    <row r="21" ht="18" customHeight="1">
      <c r="A21" s="8" t="n"/>
      <c r="B21" s="4" t="n"/>
      <c r="C21" s="4" t="n"/>
      <c r="D21" s="4" t="n"/>
      <c r="E21" s="4" t="n"/>
      <c r="F21" s="4" t="n"/>
      <c r="G21" s="8" t="n"/>
      <c r="H21" s="4" t="n"/>
      <c r="I21" s="4" t="n"/>
      <c r="J21" s="4" t="n"/>
      <c r="K21" s="4" t="n"/>
      <c r="L21" s="4" t="n"/>
      <c r="M21" s="8" t="n"/>
      <c r="N21" s="4" t="n"/>
      <c r="O21" s="4" t="n"/>
      <c r="P21" s="4" t="n"/>
      <c r="Q21" s="4" t="n"/>
      <c r="R21" s="10" t="n"/>
    </row>
    <row r="22" ht="18" customHeight="1">
      <c r="A22" s="8" t="n"/>
      <c r="B22" s="4" t="n"/>
      <c r="C22" s="4" t="n"/>
      <c r="D22" s="4" t="n"/>
      <c r="E22" s="4" t="n"/>
      <c r="F22" s="4" t="n"/>
      <c r="G22" s="8" t="n"/>
      <c r="H22" s="4" t="n"/>
      <c r="I22" s="4" t="n"/>
      <c r="J22" s="4" t="n"/>
      <c r="K22" s="4" t="n"/>
      <c r="L22" s="4" t="n"/>
      <c r="M22" s="8" t="n"/>
      <c r="N22" s="4" t="n"/>
      <c r="O22" s="4" t="n"/>
      <c r="P22" s="4" t="n"/>
      <c r="Q22" s="4" t="n"/>
      <c r="R22" s="10" t="n"/>
    </row>
    <row r="23" ht="18" customHeight="1">
      <c r="A23" s="8" t="n"/>
      <c r="B23" s="4" t="n"/>
      <c r="C23" s="4" t="n"/>
      <c r="D23" s="4" t="n"/>
      <c r="E23" s="4" t="n"/>
      <c r="F23" s="4" t="n"/>
      <c r="G23" s="8" t="n"/>
      <c r="H23" s="4" t="n"/>
      <c r="I23" s="4" t="n"/>
      <c r="J23" s="4" t="n"/>
      <c r="K23" s="4" t="n"/>
      <c r="L23" s="4" t="n"/>
      <c r="M23" s="8" t="n"/>
      <c r="N23" s="4" t="n"/>
      <c r="O23" s="4" t="n"/>
      <c r="P23" s="4" t="n"/>
      <c r="Q23" s="4" t="n"/>
      <c r="R23" s="10" t="n"/>
    </row>
    <row r="24" ht="18" customHeight="1">
      <c r="A24" s="8" t="n"/>
      <c r="B24" s="4" t="n"/>
      <c r="C24" s="4" t="n"/>
      <c r="D24" s="4" t="n"/>
      <c r="E24" s="4" t="n"/>
      <c r="F24" s="4" t="n"/>
      <c r="G24" s="8" t="n"/>
      <c r="H24" s="4" t="n"/>
      <c r="I24" s="4" t="n"/>
      <c r="J24" s="4" t="n"/>
      <c r="K24" s="4" t="n"/>
      <c r="L24" s="4" t="n"/>
      <c r="M24" s="8" t="n"/>
      <c r="N24" s="4" t="n"/>
      <c r="O24" s="4" t="n"/>
      <c r="P24" s="4" t="n"/>
      <c r="Q24" s="4" t="n"/>
      <c r="R24" s="10" t="n"/>
    </row>
    <row r="25" ht="18" customHeight="1">
      <c r="A25" s="6" t="n"/>
      <c r="B25" s="5" t="n"/>
      <c r="C25" s="5" t="n"/>
      <c r="D25" s="5" t="n"/>
      <c r="E25" s="5" t="n"/>
      <c r="F25" s="5" t="n"/>
      <c r="G25" s="6" t="n"/>
      <c r="H25" s="5" t="n"/>
      <c r="I25" s="5" t="n"/>
      <c r="J25" s="5" t="n"/>
      <c r="K25" s="5" t="n"/>
      <c r="L25" s="5" t="n"/>
      <c r="M25" s="6" t="n"/>
      <c r="N25" s="5" t="n"/>
      <c r="O25" s="5" t="n"/>
      <c r="P25" s="5" t="n"/>
      <c r="Q25" s="5" t="n"/>
      <c r="R25" s="7" t="n"/>
    </row>
    <row r="26" ht="18" customHeight="1">
      <c r="A26" s="3" t="n"/>
      <c r="B26" s="3" t="n"/>
      <c r="C26" s="3" t="n"/>
      <c r="D26" s="3" t="n"/>
      <c r="E26" s="3" t="n"/>
      <c r="F26" s="3" t="n"/>
      <c r="G26" s="3" t="n"/>
      <c r="H26" s="3" t="n"/>
      <c r="I26" s="3" t="n"/>
      <c r="J26" s="3" t="n"/>
      <c r="K26" s="3" t="n"/>
      <c r="L26" s="3" t="n"/>
      <c r="M26" s="3" t="n"/>
      <c r="N26" s="3" t="n"/>
      <c r="O26" s="3" t="n"/>
      <c r="P26" s="3" t="n"/>
      <c r="Q26" s="3" t="n"/>
      <c r="R26" s="3" t="n"/>
    </row>
    <row r="27" ht="24.75" customHeight="1">
      <c r="A27" s="83" t="inlineStr">
        <is>
          <t>04 · ROOT CAUSE MIX</t>
        </is>
      </c>
      <c r="B27" s="115" t="n"/>
      <c r="C27" s="115" t="n"/>
      <c r="D27" s="115" t="n"/>
      <c r="E27" s="115" t="n"/>
      <c r="F27" s="115" t="n"/>
      <c r="G27" s="83" t="inlineStr">
        <is>
          <t>05 · TOP COMPLAINING CUSTOMERS</t>
        </is>
      </c>
      <c r="H27" s="115" t="n"/>
      <c r="I27" s="115" t="n"/>
      <c r="J27" s="115" t="n"/>
      <c r="K27" s="115" t="n"/>
      <c r="L27" s="115" t="n"/>
      <c r="M27" s="116" t="inlineStr">
        <is>
          <t>06 · AUTOMATION FOCUS</t>
        </is>
      </c>
      <c r="N27" s="115" t="n"/>
      <c r="O27" s="115" t="n"/>
      <c r="P27" s="115" t="n"/>
      <c r="Q27" s="115" t="n"/>
      <c r="R27" s="117" t="n"/>
    </row>
    <row r="28" ht="18" customHeight="1">
      <c r="A28" s="8" t="n"/>
      <c r="B28" s="4" t="n"/>
      <c r="C28" s="4" t="n"/>
      <c r="D28" s="4" t="n"/>
      <c r="E28" s="4" t="n"/>
      <c r="F28" s="4" t="n"/>
      <c r="G28" s="8" t="n"/>
      <c r="H28" s="4" t="n"/>
      <c r="I28" s="4" t="n"/>
      <c r="J28" s="4" t="n"/>
      <c r="K28" s="4" t="n"/>
      <c r="L28" s="4" t="n"/>
      <c r="M28" s="8" t="n"/>
      <c r="N28" s="4" t="n"/>
      <c r="O28" s="4" t="n"/>
      <c r="P28" s="4" t="n"/>
      <c r="Q28" s="4" t="n"/>
      <c r="R28" s="10" t="n"/>
    </row>
    <row r="29" ht="18" customHeight="1">
      <c r="A29" s="8" t="n"/>
      <c r="B29" s="4" t="n"/>
      <c r="C29" s="4" t="n"/>
      <c r="D29" s="4" t="n"/>
      <c r="E29" s="4" t="n"/>
      <c r="F29" s="4" t="n"/>
      <c r="G29" s="8" t="n"/>
      <c r="H29" s="4" t="n"/>
      <c r="I29" s="4" t="n"/>
      <c r="J29" s="4" t="n"/>
      <c r="K29" s="4" t="n"/>
      <c r="L29" s="4" t="n"/>
      <c r="M29" s="8" t="n"/>
      <c r="N29" s="4" t="n"/>
      <c r="O29" s="4" t="n"/>
      <c r="P29" s="4" t="n"/>
      <c r="Q29" s="4" t="n"/>
      <c r="R29" s="10" t="n"/>
    </row>
    <row r="30" ht="18" customHeight="1">
      <c r="A30" s="8" t="n"/>
      <c r="B30" s="4" t="n"/>
      <c r="C30" s="4" t="n"/>
      <c r="D30" s="4" t="n"/>
      <c r="E30" s="4" t="n"/>
      <c r="F30" s="4" t="n"/>
      <c r="G30" s="8" t="n"/>
      <c r="H30" s="4" t="n"/>
      <c r="I30" s="4" t="n"/>
      <c r="J30" s="4" t="n"/>
      <c r="K30" s="4" t="n"/>
      <c r="L30" s="4" t="n"/>
      <c r="M30" s="8" t="n"/>
      <c r="N30" s="4" t="n"/>
      <c r="O30" s="4" t="n"/>
      <c r="P30" s="4" t="n"/>
      <c r="Q30" s="4" t="n"/>
      <c r="R30" s="10" t="n"/>
    </row>
    <row r="31" ht="18" customHeight="1">
      <c r="A31" s="8" t="n"/>
      <c r="B31" s="4" t="n"/>
      <c r="C31" s="4" t="n"/>
      <c r="D31" s="4" t="n"/>
      <c r="E31" s="4" t="n"/>
      <c r="F31" s="4" t="n"/>
      <c r="G31" s="8" t="n"/>
      <c r="H31" s="4" t="n"/>
      <c r="I31" s="4" t="n"/>
      <c r="J31" s="4" t="n"/>
      <c r="K31" s="4" t="n"/>
      <c r="L31" s="4" t="n"/>
      <c r="M31" s="8" t="n"/>
      <c r="N31" s="4" t="n"/>
      <c r="O31" s="4" t="n"/>
      <c r="P31" s="4" t="n"/>
      <c r="Q31" s="4" t="n"/>
      <c r="R31" s="10" t="n"/>
    </row>
    <row r="32" ht="18" customHeight="1">
      <c r="A32" s="8" t="n"/>
      <c r="B32" s="4" t="n"/>
      <c r="C32" s="4" t="n"/>
      <c r="D32" s="4" t="n"/>
      <c r="E32" s="4" t="n"/>
      <c r="F32" s="4" t="n"/>
      <c r="G32" s="8" t="n"/>
      <c r="H32" s="4" t="n"/>
      <c r="I32" s="4" t="n"/>
      <c r="J32" s="4" t="n"/>
      <c r="K32" s="4" t="n"/>
      <c r="L32" s="4" t="n"/>
      <c r="M32" s="8" t="n"/>
      <c r="N32" s="4" t="n"/>
      <c r="O32" s="4" t="n"/>
      <c r="P32" s="4" t="n"/>
      <c r="Q32" s="4" t="n"/>
      <c r="R32" s="10" t="n"/>
    </row>
    <row r="33" ht="18" customHeight="1">
      <c r="A33" s="8" t="n"/>
      <c r="B33" s="4" t="n"/>
      <c r="C33" s="4" t="n"/>
      <c r="D33" s="4" t="n"/>
      <c r="E33" s="4" t="n"/>
      <c r="F33" s="4" t="n"/>
      <c r="G33" s="8" t="n"/>
      <c r="H33" s="4" t="n"/>
      <c r="I33" s="4" t="n"/>
      <c r="J33" s="4" t="n"/>
      <c r="K33" s="4" t="n"/>
      <c r="L33" s="4" t="n"/>
      <c r="M33" s="8" t="n"/>
      <c r="N33" s="4" t="n"/>
      <c r="O33" s="4" t="n"/>
      <c r="P33" s="4" t="n"/>
      <c r="Q33" s="4" t="n"/>
      <c r="R33" s="10" t="n"/>
    </row>
    <row r="34" ht="18" customHeight="1">
      <c r="A34" s="8" t="n"/>
      <c r="B34" s="4" t="n"/>
      <c r="C34" s="4" t="n"/>
      <c r="D34" s="4" t="n"/>
      <c r="E34" s="4" t="n"/>
      <c r="F34" s="4" t="n"/>
      <c r="G34" s="8" t="n"/>
      <c r="H34" s="4" t="n"/>
      <c r="I34" s="4" t="n"/>
      <c r="J34" s="4" t="n"/>
      <c r="K34" s="4" t="n"/>
      <c r="L34" s="4" t="n"/>
      <c r="M34" s="8" t="n"/>
      <c r="N34" s="4" t="n"/>
      <c r="O34" s="4" t="n"/>
      <c r="P34" s="4" t="n"/>
      <c r="Q34" s="4" t="n"/>
      <c r="R34" s="10" t="n"/>
    </row>
    <row r="35" ht="18" customHeight="1">
      <c r="A35" s="8" t="n"/>
      <c r="B35" s="4" t="n"/>
      <c r="C35" s="4" t="n"/>
      <c r="D35" s="4" t="n"/>
      <c r="E35" s="4" t="n"/>
      <c r="F35" s="4" t="n"/>
      <c r="G35" s="8" t="n"/>
      <c r="H35" s="4" t="n"/>
      <c r="I35" s="4" t="n"/>
      <c r="J35" s="4" t="n"/>
      <c r="K35" s="4" t="n"/>
      <c r="L35" s="4" t="n"/>
      <c r="M35" s="8" t="n"/>
      <c r="N35" s="4" t="n"/>
      <c r="O35" s="4" t="n"/>
      <c r="P35" s="4" t="n"/>
      <c r="Q35" s="4" t="n"/>
      <c r="R35" s="10" t="n"/>
    </row>
    <row r="36" ht="18" customHeight="1">
      <c r="A36" s="8" t="n"/>
      <c r="B36" s="4" t="n"/>
      <c r="C36" s="4" t="n"/>
      <c r="D36" s="4" t="n"/>
      <c r="E36" s="4" t="n"/>
      <c r="F36" s="4" t="n"/>
      <c r="G36" s="8" t="n"/>
      <c r="H36" s="4" t="n"/>
      <c r="I36" s="4" t="n"/>
      <c r="J36" s="4" t="n"/>
      <c r="K36" s="4" t="n"/>
      <c r="L36" s="4" t="n"/>
      <c r="M36" s="8" t="n"/>
      <c r="N36" s="4" t="n"/>
      <c r="O36" s="4" t="n"/>
      <c r="P36" s="4" t="n"/>
      <c r="Q36" s="4" t="n"/>
      <c r="R36" s="10" t="n"/>
    </row>
    <row r="37" ht="18" customHeight="1">
      <c r="A37" s="8" t="n"/>
      <c r="B37" s="4" t="n"/>
      <c r="C37" s="4" t="n"/>
      <c r="D37" s="4" t="n"/>
      <c r="E37" s="4" t="n"/>
      <c r="F37" s="4" t="n"/>
      <c r="G37" s="8" t="n"/>
      <c r="H37" s="4" t="n"/>
      <c r="I37" s="4" t="n"/>
      <c r="J37" s="4" t="n"/>
      <c r="K37" s="4" t="n"/>
      <c r="L37" s="4" t="n"/>
      <c r="M37" s="8" t="n"/>
      <c r="N37" s="4" t="n"/>
      <c r="O37" s="4" t="n"/>
      <c r="P37" s="4" t="n"/>
      <c r="Q37" s="4" t="n"/>
      <c r="R37" s="10" t="n"/>
    </row>
    <row r="38" ht="18" customHeight="1">
      <c r="A38" s="8" t="n"/>
      <c r="B38" s="4" t="n"/>
      <c r="C38" s="4" t="n"/>
      <c r="D38" s="4" t="n"/>
      <c r="E38" s="4" t="n"/>
      <c r="F38" s="4" t="n"/>
      <c r="G38" s="8" t="n"/>
      <c r="H38" s="4" t="n"/>
      <c r="I38" s="4" t="n"/>
      <c r="J38" s="4" t="n"/>
      <c r="K38" s="4" t="n"/>
      <c r="L38" s="4" t="n"/>
      <c r="M38" s="8" t="n"/>
      <c r="N38" s="4" t="n"/>
      <c r="O38" s="4" t="n"/>
      <c r="P38" s="4" t="n"/>
      <c r="Q38" s="4" t="n"/>
      <c r="R38" s="10" t="n"/>
    </row>
    <row r="39" ht="18" customHeight="1">
      <c r="A39" s="8" t="n"/>
      <c r="B39" s="4" t="n"/>
      <c r="C39" s="4" t="n"/>
      <c r="D39" s="4" t="n"/>
      <c r="E39" s="4" t="n"/>
      <c r="F39" s="4" t="n"/>
      <c r="G39" s="8" t="n"/>
      <c r="H39" s="4" t="n"/>
      <c r="I39" s="4" t="n"/>
      <c r="J39" s="4" t="n"/>
      <c r="K39" s="4" t="n"/>
      <c r="L39" s="4" t="n"/>
      <c r="M39" s="8" t="n"/>
      <c r="N39" s="4" t="n"/>
      <c r="O39" s="4" t="n"/>
      <c r="P39" s="4" t="n"/>
      <c r="Q39" s="4" t="n"/>
      <c r="R39" s="10" t="n"/>
    </row>
    <row r="40" ht="18" customHeight="1">
      <c r="A40" s="8" t="n"/>
      <c r="B40" s="4" t="n"/>
      <c r="C40" s="4" t="n"/>
      <c r="D40" s="4" t="n"/>
      <c r="E40" s="4" t="n"/>
      <c r="F40" s="4" t="n"/>
      <c r="G40" s="8" t="n"/>
      <c r="H40" s="4" t="n"/>
      <c r="I40" s="4" t="n"/>
      <c r="J40" s="4" t="n"/>
      <c r="K40" s="4" t="n"/>
      <c r="L40" s="4" t="n"/>
      <c r="M40" s="8" t="n"/>
      <c r="N40" s="4" t="n"/>
      <c r="O40" s="4" t="n"/>
      <c r="P40" s="4" t="n"/>
      <c r="Q40" s="4" t="n"/>
      <c r="R40" s="10" t="n"/>
    </row>
    <row r="41" ht="18" customHeight="1">
      <c r="A41" s="8" t="n"/>
      <c r="B41" s="4" t="n"/>
      <c r="C41" s="4" t="n"/>
      <c r="D41" s="4" t="n"/>
      <c r="E41" s="4" t="n"/>
      <c r="F41" s="4" t="n"/>
      <c r="G41" s="8" t="n"/>
      <c r="H41" s="4" t="n"/>
      <c r="I41" s="4" t="n"/>
      <c r="J41" s="4" t="n"/>
      <c r="K41" s="4" t="n"/>
      <c r="L41" s="4" t="n"/>
      <c r="M41" s="8" t="n"/>
      <c r="N41" s="4" t="n"/>
      <c r="O41" s="4" t="n"/>
      <c r="P41" s="4" t="n"/>
      <c r="Q41" s="4" t="n"/>
      <c r="R41" s="10" t="n"/>
    </row>
    <row r="42" ht="18" customHeight="1">
      <c r="A42" s="8" t="n"/>
      <c r="B42" s="4" t="n"/>
      <c r="C42" s="4" t="n"/>
      <c r="D42" s="4" t="n"/>
      <c r="E42" s="4" t="n"/>
      <c r="F42" s="4" t="n"/>
      <c r="G42" s="8" t="n"/>
      <c r="H42" s="4" t="n"/>
      <c r="I42" s="4" t="n"/>
      <c r="J42" s="4" t="n"/>
      <c r="K42" s="4" t="n"/>
      <c r="L42" s="4" t="n"/>
      <c r="M42" s="8" t="n"/>
      <c r="N42" s="4" t="n"/>
      <c r="O42" s="4" t="n"/>
      <c r="P42" s="4" t="n"/>
      <c r="Q42" s="4" t="n"/>
      <c r="R42" s="10" t="n"/>
    </row>
    <row r="43" ht="18" customHeight="1">
      <c r="A43" s="6" t="n"/>
      <c r="B43" s="5" t="n"/>
      <c r="C43" s="5" t="n"/>
      <c r="D43" s="5" t="n"/>
      <c r="E43" s="5" t="n"/>
      <c r="F43" s="5" t="n"/>
      <c r="G43" s="6" t="n"/>
      <c r="H43" s="5" t="n"/>
      <c r="I43" s="5" t="n"/>
      <c r="J43" s="5" t="n"/>
      <c r="K43" s="5" t="n"/>
      <c r="L43" s="5" t="n"/>
      <c r="M43" s="6" t="n"/>
      <c r="N43" s="5" t="n"/>
      <c r="O43" s="5" t="n"/>
      <c r="P43" s="5" t="n"/>
      <c r="Q43" s="5" t="n"/>
      <c r="R43" s="7" t="n"/>
    </row>
    <row r="44" ht="18" customHeight="1">
      <c r="A44" s="3" t="n"/>
      <c r="B44" s="3" t="n"/>
      <c r="C44" s="3" t="n"/>
      <c r="D44" s="3" t="n"/>
      <c r="E44" s="3" t="n"/>
      <c r="F44" s="3" t="n"/>
      <c r="G44" s="3" t="n"/>
      <c r="H44" s="3" t="n"/>
      <c r="I44" s="3" t="n"/>
      <c r="J44" s="3" t="n"/>
      <c r="K44" s="3" t="n"/>
      <c r="L44" s="3" t="n"/>
      <c r="M44" s="3" t="n"/>
      <c r="N44" s="3" t="n"/>
      <c r="O44" s="3" t="n"/>
      <c r="P44" s="3" t="n"/>
      <c r="Q44" s="3" t="n"/>
      <c r="R44" s="3" t="n"/>
    </row>
    <row r="45" ht="18" customHeight="1">
      <c r="A45" s="3" t="n"/>
      <c r="B45" s="3" t="n"/>
      <c r="C45" s="3" t="n"/>
      <c r="D45" s="3" t="n"/>
      <c r="E45" s="3" t="n"/>
      <c r="F45" s="3" t="n"/>
      <c r="G45" s="3" t="n"/>
      <c r="H45" s="3" t="n"/>
      <c r="I45" s="3" t="n"/>
      <c r="J45" s="3" t="n"/>
      <c r="K45" s="3" t="n"/>
      <c r="L45" s="3" t="n"/>
      <c r="M45" s="3" t="n"/>
      <c r="N45" s="3" t="n"/>
      <c r="O45" s="3" t="n"/>
      <c r="P45" s="3" t="n"/>
      <c r="Q45" s="3" t="n"/>
      <c r="R45" s="3" t="n"/>
    </row>
    <row r="46" ht="24" customHeight="1">
      <c r="A46" s="86" t="inlineStr">
        <is>
          <t>AUDITABLE CHART SOURCE TABLES · Each numbered table feeds the matching chart above</t>
        </is>
      </c>
    </row>
    <row r="47" ht="18" customHeight="1">
      <c r="A47" s="3" t="n"/>
      <c r="B47" s="3" t="n"/>
      <c r="C47" s="3" t="n"/>
      <c r="D47" s="3" t="n"/>
      <c r="E47" s="3" t="n"/>
      <c r="F47" s="3" t="n"/>
      <c r="G47" s="3" t="n"/>
      <c r="H47" s="3" t="n"/>
      <c r="I47" s="3" t="n"/>
      <c r="J47" s="3" t="n"/>
      <c r="K47" s="3" t="n"/>
      <c r="L47" s="3" t="n"/>
      <c r="M47" s="3" t="n"/>
      <c r="N47" s="3" t="n"/>
      <c r="O47" s="3" t="n"/>
      <c r="P47" s="3" t="n"/>
      <c r="Q47" s="3" t="n"/>
      <c r="R47" s="3" t="n"/>
    </row>
    <row r="48" ht="23.25" customHeight="1">
      <c r="A48" s="88" t="inlineStr">
        <is>
          <t>SOURCE 01 · Monthly trend</t>
        </is>
      </c>
      <c r="D48" s="3" t="n"/>
      <c r="E48" s="88" t="inlineStr">
        <is>
          <t>SOURCE 04 · Root cause</t>
        </is>
      </c>
      <c r="H48" s="3" t="n"/>
      <c r="I48" s="88" t="inlineStr">
        <is>
          <t>SOURCE 02 · Fix status</t>
        </is>
      </c>
      <c r="L48" s="3" t="n"/>
      <c r="M48" s="88" t="inlineStr">
        <is>
          <t>SOURCE 03 · Severity</t>
        </is>
      </c>
      <c r="P48" s="3" t="n"/>
      <c r="Q48" s="3" t="n"/>
      <c r="R48" s="3" t="n"/>
    </row>
    <row r="49" ht="18" customHeight="1">
      <c r="A49" s="15" t="inlineStr">
        <is>
          <t>Month</t>
        </is>
      </c>
      <c r="B49" s="15" t="inlineStr">
        <is>
          <t>Complaints</t>
        </is>
      </c>
      <c r="C49" s="15" t="inlineStr">
        <is>
          <t>Inquiries</t>
        </is>
      </c>
      <c r="D49" s="3" t="n"/>
      <c r="E49" s="15" t="inlineStr">
        <is>
          <t>Root Cause</t>
        </is>
      </c>
      <c r="F49" s="15" t="inlineStr">
        <is>
          <t>Complaints</t>
        </is>
      </c>
      <c r="G49" s="15" t="inlineStr">
        <is>
          <t>% of Complaints</t>
        </is>
      </c>
      <c r="H49" s="3" t="n"/>
      <c r="I49" s="15" t="inlineStr">
        <is>
          <t>Fix Status</t>
        </is>
      </c>
      <c r="J49" s="15" t="inlineStr">
        <is>
          <t>Complaints</t>
        </is>
      </c>
      <c r="K49" s="15" t="inlineStr">
        <is>
          <t>% of Complaints</t>
        </is>
      </c>
      <c r="L49" s="3" t="n"/>
      <c r="M49" s="15" t="inlineStr">
        <is>
          <t>Severity</t>
        </is>
      </c>
      <c r="N49" s="15" t="inlineStr">
        <is>
          <t>Records</t>
        </is>
      </c>
      <c r="O49" s="15" t="inlineStr">
        <is>
          <t>% of Records</t>
        </is>
      </c>
      <c r="P49" s="3" t="n"/>
      <c r="Q49" s="3" t="n"/>
      <c r="R49" s="3" t="n"/>
    </row>
    <row r="50" ht="18" customHeight="1">
      <c r="A50" s="17" t="n">
        <v>46023</v>
      </c>
      <c r="B50" s="21">
        <f>COUNTIFS(ComplaintTracker[Issue Type],"Complaint",ComplaintTracker[Month_Sort],ROW()-49)</f>
        <v/>
      </c>
      <c r="C50" s="21">
        <f>COUNTIFS(ComplaintTracker[Issue Type],"Inquiry",ComplaintTracker[Month_Sort],ROW()-49)</f>
        <v/>
      </c>
      <c r="D50" s="3" t="n"/>
      <c r="E50" s="18" t="inlineStr">
        <is>
          <t>Product</t>
        </is>
      </c>
      <c r="F50" s="21">
        <f>COUNTIFS(ComplaintTracker[Issue Type],"Complaint",ComplaintTracker[Root Cause],E50)</f>
        <v/>
      </c>
      <c r="G50" s="23">
        <f>F50/COUNTIF(ComplaintTracker[Issue Type],"Complaint")</f>
        <v/>
      </c>
      <c r="H50" s="3" t="n"/>
      <c r="I50" s="18" t="inlineStr">
        <is>
          <t>Fixed</t>
        </is>
      </c>
      <c r="J50" s="21">
        <f>COUNTIFS(ComplaintTracker[Issue Type],"Complaint",ComplaintTracker[Short Term Fix Status],I50)</f>
        <v/>
      </c>
      <c r="K50" s="23">
        <f>J50/COUNTIF(ComplaintTracker[Issue Type],"Complaint")</f>
        <v/>
      </c>
      <c r="L50" s="3" t="n"/>
      <c r="M50" s="18" t="inlineStr">
        <is>
          <t>Critical</t>
        </is>
      </c>
      <c r="N50" s="21">
        <f>COUNTIF(ComplaintTracker[Severity],M50)</f>
        <v/>
      </c>
      <c r="O50" s="23">
        <f>N50/ROWS(ComplaintTracker[Severity])</f>
        <v/>
      </c>
      <c r="P50" s="3" t="n"/>
      <c r="Q50" s="3" t="n"/>
      <c r="R50" s="3" t="n"/>
    </row>
    <row r="51" ht="18" customHeight="1">
      <c r="A51" s="19" t="n">
        <v>46054</v>
      </c>
      <c r="B51" s="22">
        <f>COUNTIFS(ComplaintTracker[Issue Type],"Complaint",ComplaintTracker[Month_Sort],ROW()-49)</f>
        <v/>
      </c>
      <c r="C51" s="22">
        <f>COUNTIFS(ComplaintTracker[Issue Type],"Inquiry",ComplaintTracker[Month_Sort],ROW()-49)</f>
        <v/>
      </c>
      <c r="D51" s="3" t="n"/>
      <c r="E51" s="20" t="inlineStr">
        <is>
          <t>People</t>
        </is>
      </c>
      <c r="F51" s="22">
        <f>COUNTIFS(ComplaintTracker[Issue Type],"Complaint",ComplaintTracker[Root Cause],E51)</f>
        <v/>
      </c>
      <c r="G51" s="24">
        <f>F51/COUNTIF(ComplaintTracker[Issue Type],"Complaint")</f>
        <v/>
      </c>
      <c r="H51" s="3" t="n"/>
      <c r="I51" s="20" t="inlineStr">
        <is>
          <t>RCA Shared</t>
        </is>
      </c>
      <c r="J51" s="22">
        <f>COUNTIFS(ComplaintTracker[Issue Type],"Complaint",ComplaintTracker[Short Term Fix Status],I51)</f>
        <v/>
      </c>
      <c r="K51" s="24">
        <f>J51/COUNTIF(ComplaintTracker[Issue Type],"Complaint")</f>
        <v/>
      </c>
      <c r="L51" s="3" t="n"/>
      <c r="M51" s="20" t="inlineStr">
        <is>
          <t>High</t>
        </is>
      </c>
      <c r="N51" s="22">
        <f>COUNTIF(ComplaintTracker[Severity],M51)</f>
        <v/>
      </c>
      <c r="O51" s="24">
        <f>N51/ROWS(ComplaintTracker[Severity])</f>
        <v/>
      </c>
      <c r="P51" s="3" t="n"/>
      <c r="Q51" s="3" t="n"/>
      <c r="R51" s="3" t="n"/>
    </row>
    <row r="52" ht="18" customHeight="1">
      <c r="A52" s="19" t="n">
        <v>46082</v>
      </c>
      <c r="B52" s="22">
        <f>COUNTIFS(ComplaintTracker[Issue Type],"Complaint",ComplaintTracker[Month_Sort],ROW()-49)</f>
        <v/>
      </c>
      <c r="C52" s="22">
        <f>COUNTIFS(ComplaintTracker[Issue Type],"Inquiry",ComplaintTracker[Month_Sort],ROW()-49)</f>
        <v/>
      </c>
      <c r="D52" s="3" t="n"/>
      <c r="E52" s="20" t="inlineStr">
        <is>
          <t>Process</t>
        </is>
      </c>
      <c r="F52" s="22">
        <f>COUNTIFS(ComplaintTracker[Issue Type],"Complaint",ComplaintTracker[Root Cause],E52)</f>
        <v/>
      </c>
      <c r="G52" s="24">
        <f>F52/COUNTIF(ComplaintTracker[Issue Type],"Complaint")</f>
        <v/>
      </c>
      <c r="H52" s="3" t="n"/>
      <c r="I52" s="20" t="inlineStr">
        <is>
          <t>Clarification Provided</t>
        </is>
      </c>
      <c r="J52" s="22">
        <f>COUNTIFS(ComplaintTracker[Issue Type],"Complaint",ComplaintTracker[Short Term Fix Status],I52)</f>
        <v/>
      </c>
      <c r="K52" s="24">
        <f>J52/COUNTIF(ComplaintTracker[Issue Type],"Complaint")</f>
        <v/>
      </c>
      <c r="L52" s="3" t="n"/>
      <c r="M52" s="20" t="inlineStr">
        <is>
          <t>Medium</t>
        </is>
      </c>
      <c r="N52" s="22">
        <f>COUNTIF(ComplaintTracker[Severity],M52)</f>
        <v/>
      </c>
      <c r="O52" s="24">
        <f>N52/ROWS(ComplaintTracker[Severity])</f>
        <v/>
      </c>
      <c r="P52" s="3" t="n"/>
      <c r="Q52" s="3" t="n"/>
      <c r="R52" s="3" t="n"/>
    </row>
    <row r="53" ht="18" customHeight="1">
      <c r="A53" s="19" t="n">
        <v>46113</v>
      </c>
      <c r="B53" s="22">
        <f>COUNTIFS(ComplaintTracker[Issue Type],"Complaint",ComplaintTracker[Month_Sort],ROW()-49)</f>
        <v/>
      </c>
      <c r="C53" s="22">
        <f>COUNTIFS(ComplaintTracker[Issue Type],"Inquiry",ComplaintTracker[Month_Sort],ROW()-49)</f>
        <v/>
      </c>
      <c r="D53" s="3" t="n"/>
      <c r="E53" s="25" t="inlineStr">
        <is>
          <t>Total</t>
        </is>
      </c>
      <c r="F53" s="26">
        <f>SUM(F50:F52)</f>
        <v/>
      </c>
      <c r="G53" s="27">
        <f>SUM(G50:G52)</f>
        <v/>
      </c>
      <c r="H53" s="3" t="n"/>
      <c r="I53" s="20" t="inlineStr">
        <is>
          <t>Pending</t>
        </is>
      </c>
      <c r="J53" s="22">
        <f>COUNTIFS(ComplaintTracker[Issue Type],"Complaint",ComplaintTracker[Short Term Fix Status],I53)</f>
        <v/>
      </c>
      <c r="K53" s="24">
        <f>J53/COUNTIF(ComplaintTracker[Issue Type],"Complaint")</f>
        <v/>
      </c>
      <c r="L53" s="3" t="n"/>
      <c r="M53" s="20" t="inlineStr">
        <is>
          <t>Low</t>
        </is>
      </c>
      <c r="N53" s="22">
        <f>COUNTIF(ComplaintTracker[Severity],M53)</f>
        <v/>
      </c>
      <c r="O53" s="24">
        <f>N53/ROWS(ComplaintTracker[Severity])</f>
        <v/>
      </c>
      <c r="P53" s="3" t="n"/>
      <c r="Q53" s="3" t="n"/>
      <c r="R53" s="3" t="n"/>
    </row>
    <row r="54" ht="18" customHeight="1">
      <c r="A54" s="19" t="n">
        <v>46143</v>
      </c>
      <c r="B54" s="22">
        <f>COUNTIFS(ComplaintTracker[Issue Type],"Complaint",ComplaintTracker[Month_Sort],ROW()-49)</f>
        <v/>
      </c>
      <c r="C54" s="22">
        <f>COUNTIFS(ComplaintTracker[Issue Type],"Inquiry",ComplaintTracker[Month_Sort],ROW()-49)</f>
        <v/>
      </c>
      <c r="D54" s="3" t="n"/>
      <c r="E54" s="3" t="n"/>
      <c r="F54" s="3" t="n"/>
      <c r="G54" s="3" t="n"/>
      <c r="H54" s="3" t="n"/>
      <c r="I54" s="25" t="inlineStr">
        <is>
          <t>Total</t>
        </is>
      </c>
      <c r="J54" s="26">
        <f>SUM(J50:J53)</f>
        <v/>
      </c>
      <c r="K54" s="27">
        <f>SUM(K50:K53)</f>
        <v/>
      </c>
      <c r="L54" s="3" t="n"/>
      <c r="M54" s="25" t="inlineStr">
        <is>
          <t>Total</t>
        </is>
      </c>
      <c r="N54" s="26">
        <f>SUM(N50:N53)</f>
        <v/>
      </c>
      <c r="O54" s="27">
        <f>SUM(O50:O53)</f>
        <v/>
      </c>
      <c r="P54" s="3" t="n"/>
      <c r="Q54" s="3" t="n"/>
      <c r="R54" s="3" t="n"/>
    </row>
    <row r="55" ht="18" customHeight="1">
      <c r="A55" s="19" t="n">
        <v>46174</v>
      </c>
      <c r="B55" s="22">
        <f>COUNTIFS(ComplaintTracker[Issue Type],"Complaint",ComplaintTracker[Month_Sort],ROW()-49)</f>
        <v/>
      </c>
      <c r="C55" s="22">
        <f>COUNTIFS(ComplaintTracker[Issue Type],"Inquiry",ComplaintTracker[Month_Sort],ROW()-49)</f>
        <v/>
      </c>
      <c r="D55" s="3" t="n"/>
      <c r="E55" s="3" t="n"/>
      <c r="F55" s="3" t="n"/>
      <c r="G55" s="3" t="n"/>
      <c r="H55" s="3" t="n"/>
      <c r="I55" s="3" t="n"/>
      <c r="J55" s="3" t="n"/>
      <c r="K55" s="3" t="n"/>
      <c r="L55" s="3" t="n"/>
      <c r="M55" s="3" t="n"/>
      <c r="N55" s="3" t="n"/>
      <c r="O55" s="3" t="n"/>
      <c r="P55" s="3" t="n"/>
      <c r="Q55" s="3" t="n"/>
      <c r="R55" s="3" t="n"/>
    </row>
    <row r="56" ht="18" customHeight="1">
      <c r="A56" s="19" t="n">
        <v>46204</v>
      </c>
      <c r="B56" s="22">
        <f>COUNTIFS(ComplaintTracker[Issue Type],"Complaint",ComplaintTracker[Month_Sort],ROW()-49)</f>
        <v/>
      </c>
      <c r="C56" s="22">
        <f>COUNTIFS(ComplaintTracker[Issue Type],"Inquiry",ComplaintTracker[Month_Sort],ROW()-49)</f>
        <v/>
      </c>
      <c r="D56" s="3" t="n"/>
      <c r="E56" s="3" t="n"/>
      <c r="F56" s="3" t="n"/>
      <c r="G56" s="3" t="n"/>
      <c r="H56" s="3" t="n"/>
      <c r="I56" s="3" t="n"/>
      <c r="J56" s="3" t="n"/>
      <c r="K56" s="3" t="n"/>
      <c r="L56" s="3" t="n"/>
      <c r="M56" s="3" t="n"/>
      <c r="N56" s="3" t="n"/>
      <c r="O56" s="3" t="n"/>
      <c r="P56" s="3" t="n"/>
      <c r="Q56" s="3" t="n"/>
      <c r="R56" s="3" t="n"/>
    </row>
    <row r="57" ht="18" customHeight="1">
      <c r="A57" s="19" t="n">
        <v>46235</v>
      </c>
      <c r="B57" s="22">
        <f>COUNTIFS(ComplaintTracker[Issue Type],"Complaint",ComplaintTracker[Month_Sort],ROW()-49)</f>
        <v/>
      </c>
      <c r="C57" s="22">
        <f>COUNTIFS(ComplaintTracker[Issue Type],"Inquiry",ComplaintTracker[Month_Sort],ROW()-49)</f>
        <v/>
      </c>
      <c r="D57" s="3" t="n"/>
      <c r="E57" s="3" t="n"/>
      <c r="F57" s="3" t="n"/>
      <c r="G57" s="3" t="n"/>
      <c r="H57" s="3" t="n"/>
      <c r="I57" s="3" t="n"/>
      <c r="J57" s="3" t="n"/>
      <c r="K57" s="3" t="n"/>
      <c r="L57" s="3" t="n"/>
      <c r="M57" s="3" t="n"/>
      <c r="N57" s="3" t="n"/>
      <c r="O57" s="3" t="n"/>
      <c r="P57" s="3" t="n"/>
      <c r="Q57" s="3" t="n"/>
      <c r="R57" s="3" t="n"/>
    </row>
    <row r="58" ht="18" customHeight="1">
      <c r="A58" s="19" t="n">
        <v>46266</v>
      </c>
      <c r="B58" s="22">
        <f>COUNTIFS(ComplaintTracker[Issue Type],"Complaint",ComplaintTracker[Month_Sort],ROW()-49)</f>
        <v/>
      </c>
      <c r="C58" s="22">
        <f>COUNTIFS(ComplaintTracker[Issue Type],"Inquiry",ComplaintTracker[Month_Sort],ROW()-49)</f>
        <v/>
      </c>
      <c r="D58" s="3" t="n"/>
      <c r="E58" s="3" t="n"/>
      <c r="F58" s="3" t="n"/>
      <c r="G58" s="3" t="n"/>
      <c r="H58" s="3" t="n"/>
      <c r="I58" s="3" t="n"/>
      <c r="J58" s="3" t="n"/>
      <c r="K58" s="3" t="n"/>
      <c r="L58" s="3" t="n"/>
      <c r="M58" s="3" t="n"/>
      <c r="N58" s="3" t="n"/>
      <c r="O58" s="3" t="n"/>
      <c r="P58" s="3" t="n"/>
      <c r="Q58" s="3" t="n"/>
      <c r="R58" s="3" t="n"/>
    </row>
    <row r="59" ht="18" customHeight="1">
      <c r="A59" s="19" t="n">
        <v>46296</v>
      </c>
      <c r="B59" s="22">
        <f>COUNTIFS(ComplaintTracker[Issue Type],"Complaint",ComplaintTracker[Month_Sort],ROW()-49)</f>
        <v/>
      </c>
      <c r="C59" s="22">
        <f>COUNTIFS(ComplaintTracker[Issue Type],"Inquiry",ComplaintTracker[Month_Sort],ROW()-49)</f>
        <v/>
      </c>
      <c r="D59" s="3" t="n"/>
      <c r="E59" s="3" t="n"/>
      <c r="F59" s="3" t="n"/>
      <c r="G59" s="3" t="n"/>
      <c r="H59" s="3" t="n"/>
      <c r="I59" s="3" t="n"/>
      <c r="J59" s="3" t="n"/>
      <c r="K59" s="3" t="n"/>
      <c r="L59" s="3" t="n"/>
      <c r="M59" s="3" t="n"/>
      <c r="N59" s="3" t="n"/>
      <c r="O59" s="3" t="n"/>
      <c r="P59" s="3" t="n"/>
      <c r="Q59" s="3" t="n"/>
      <c r="R59" s="3" t="n"/>
    </row>
    <row r="60" ht="18" customHeight="1">
      <c r="A60" s="19" t="n">
        <v>46327</v>
      </c>
      <c r="B60" s="22">
        <f>COUNTIFS(ComplaintTracker[Issue Type],"Complaint",ComplaintTracker[Month_Sort],ROW()-49)</f>
        <v/>
      </c>
      <c r="C60" s="22">
        <f>COUNTIFS(ComplaintTracker[Issue Type],"Inquiry",ComplaintTracker[Month_Sort],ROW()-49)</f>
        <v/>
      </c>
      <c r="D60" s="3" t="n"/>
      <c r="E60" s="3" t="n"/>
      <c r="F60" s="3" t="n"/>
      <c r="G60" s="3" t="n"/>
      <c r="H60" s="3" t="n"/>
      <c r="I60" s="3" t="n"/>
      <c r="J60" s="3" t="n"/>
      <c r="K60" s="3" t="n"/>
      <c r="L60" s="3" t="n"/>
      <c r="M60" s="3" t="n"/>
      <c r="N60" s="3" t="n"/>
      <c r="O60" s="3" t="n"/>
      <c r="P60" s="3" t="n"/>
      <c r="Q60" s="3" t="n"/>
      <c r="R60" s="3" t="n"/>
    </row>
    <row r="60" ht="18" customHeight="1">
      <c r="A60" s="3" t="n"/>
      <c r="B60" s="3" t="n"/>
      <c r="C60" s="3" t="n"/>
      <c r="D60" s="3" t="n"/>
      <c r="E60" s="3" t="n"/>
      <c r="F60" s="3" t="n"/>
      <c r="G60" s="3" t="n"/>
      <c r="H60" s="3" t="n"/>
      <c r="I60" s="3" t="n"/>
      <c r="J60" s="3" t="n"/>
      <c r="K60" s="3" t="n"/>
      <c r="L60" s="3" t="n"/>
      <c r="M60" s="3" t="n"/>
      <c r="N60" s="3" t="n"/>
      <c r="O60" s="3" t="n"/>
      <c r="P60" s="3" t="n"/>
      <c r="Q60" s="3" t="n"/>
      <c r="R60" s="3" t="n"/>
    </row>
    <row r="61" ht="18" customHeight="1">
      <c r="A61" s="19" t="n">
        <v>46357</v>
      </c>
      <c r="B61" s="22">
        <f>COUNTIFS(ComplaintTracker[Issue Type],"Complaint",ComplaintTracker[Month_Sort],ROW()-49)</f>
        <v/>
      </c>
      <c r="C61" s="22">
        <f>COUNTIFS(ComplaintTracker[Issue Type],"Inquiry",ComplaintTracker[Month_Sort],ROW()-49)</f>
        <v/>
      </c>
      <c r="D61" s="3" t="n"/>
      <c r="E61" s="3" t="n"/>
      <c r="F61" s="3" t="n"/>
      <c r="G61" s="3" t="n"/>
      <c r="H61" s="3" t="n"/>
      <c r="I61" s="3" t="n"/>
      <c r="J61" s="3" t="n"/>
      <c r="K61" s="3" t="n"/>
      <c r="L61" s="3" t="n"/>
      <c r="M61" s="3" t="n"/>
      <c r="N61" s="3" t="n"/>
      <c r="O61" s="3" t="n"/>
      <c r="P61" s="3" t="n"/>
      <c r="Q61" s="3" t="n"/>
      <c r="R61" s="3" t="n"/>
    </row>
    <row r="61" ht="18" customHeight="1">
      <c r="A61" s="3" t="n"/>
      <c r="B61" s="3" t="n"/>
      <c r="C61" s="3" t="n"/>
      <c r="D61" s="3" t="n"/>
      <c r="E61" s="3" t="n"/>
      <c r="F61" s="3" t="n"/>
      <c r="G61" s="3" t="n"/>
      <c r="H61" s="3" t="n"/>
      <c r="I61" s="3" t="n"/>
      <c r="J61" s="3" t="n"/>
      <c r="K61" s="3" t="n"/>
      <c r="L61" s="3" t="n"/>
      <c r="M61" s="3" t="n"/>
      <c r="N61" s="3" t="n"/>
      <c r="O61" s="3" t="n"/>
      <c r="P61" s="3" t="n"/>
      <c r="Q61" s="3" t="n"/>
      <c r="R61" s="3" t="n"/>
    </row>
    <row r="62" ht="18" customHeight="1">
      <c r="A62" s="25" t="inlineStr">
        <is>
          <t>Total</t>
        </is>
      </c>
      <c r="B62" s="26">
        <f>SUM(B50:B61)</f>
        <v/>
      </c>
      <c r="C62" s="26">
        <f>SUM(C50:C61)</f>
        <v/>
      </c>
      <c r="D62" s="3" t="n"/>
      <c r="E62" s="3" t="n"/>
      <c r="F62" s="3" t="n"/>
      <c r="G62" s="3" t="n"/>
      <c r="H62" s="3" t="n"/>
      <c r="I62" s="3" t="n"/>
      <c r="J62" s="3" t="n"/>
      <c r="K62" s="3" t="n"/>
      <c r="L62" s="3" t="n"/>
      <c r="M62" s="3" t="n"/>
      <c r="N62" s="3" t="n"/>
      <c r="O62" s="3" t="n"/>
      <c r="P62" s="3" t="n"/>
      <c r="Q62" s="3" t="n"/>
      <c r="R62" s="3" t="n"/>
    </row>
    <row r="65" ht="23.25" customHeight="1">
      <c r="A65" s="88" t="inlineStr">
        <is>
          <t>SOURCE 05 · Top customers</t>
        </is>
      </c>
      <c r="D65" s="3" t="n"/>
      <c r="E65" s="88" t="inlineStr">
        <is>
          <t>SOURCE 06 · Automation focus</t>
        </is>
      </c>
      <c r="H65" s="3" t="n"/>
      <c r="I65" s="88" t="inlineStr">
        <is>
          <t>DETAIL · Event type workload</t>
        </is>
      </c>
    </row>
    <row r="66" ht="18" customHeight="1">
      <c r="A66" s="15" t="inlineStr">
        <is>
          <t>Customer</t>
        </is>
      </c>
      <c r="B66" s="15" t="inlineStr">
        <is>
          <t>Complaints</t>
        </is>
      </c>
      <c r="C66" s="15" t="inlineStr">
        <is>
          <t>% of Complaints</t>
        </is>
      </c>
      <c r="D66" s="3" t="n"/>
      <c r="E66" s="15" t="inlineStr">
        <is>
          <t>Automation Focus</t>
        </is>
      </c>
      <c r="F66" s="15" t="inlineStr">
        <is>
          <t>Complaints</t>
        </is>
      </c>
      <c r="G66" s="15" t="inlineStr">
        <is>
          <t>% of Complaints</t>
        </is>
      </c>
      <c r="H66" s="3" t="n"/>
      <c r="I66" s="15" t="inlineStr">
        <is>
          <t>Event Type</t>
        </is>
      </c>
      <c r="J66" s="15" t="inlineStr">
        <is>
          <t>Complaints</t>
        </is>
      </c>
      <c r="K66" s="15" t="inlineStr">
        <is>
          <t>Inquiries</t>
        </is>
      </c>
      <c r="L66" s="16" t="inlineStr">
        <is>
          <t>Total</t>
        </is>
      </c>
    </row>
    <row r="67" ht="23.25" customHeight="1">
      <c r="A67" s="18" t="str" cm="1">
        <f t="array" ref="A67:A76">_xlfn.LET(_xlpm.u,_xlfn.UNIQUE(_xlfn._xlws.FILTER(ComplaintTracker[Customer],ComplaintTracker[Issue Type]="Complaint")),_xlfn.TAKE(_xlfn.SORTBY(_xlpm.u,COUNTIFS(ComplaintTracker[Issue Type],"Complaint",ComplaintTracker[Customer],_xlpm.u),-1,_xlpm.u,1),10))</f>
        <v>Ford</v>
      </c>
      <c r="B67" s="21" t="n" cm="1">
        <f t="array" ref="B67:B76">COUNTIFS(ComplaintTracker[Issue Type],"Complaint",ComplaintTracker[Customer],_xlfn.ANCHORARRAY(A67))</f>
        <v>36</v>
      </c>
      <c r="C67" s="23" t="n" cm="1">
        <f t="array" ref="C67:C76">_xlfn.ANCHORARRAY(B67)/COUNTIF(ComplaintTracker[Issue Type],"Complaint")</f>
        <v>0.36</v>
      </c>
      <c r="D67" s="3" t="n"/>
      <c r="E67" s="18" t="inlineStr">
        <is>
          <t>WarRoom &amp; Decision Validation</t>
        </is>
      </c>
      <c r="F67" s="21">
        <f>COUNTIFS(ComplaintTracker[Issue Type],"Complaint",ComplaintTracker[Standard Automation Focus],E67)</f>
        <v/>
      </c>
      <c r="G67" s="23">
        <f>F67/COUNTIF(ComplaintTracker[Issue Type],"Complaint")</f>
        <v/>
      </c>
      <c r="H67" s="3" t="n"/>
      <c r="I67" s="18" t="str" cm="1">
        <f t="array" ref="I67:L91">_xlfn.LET(_xlpm.e,_xlfn._xlws.SORT(_xlfn.UNIQUE(_xlfn._xlws.FILTER(ComplaintTracker[Event type],ComplaintTracker[Event type]&lt;&gt;""))),_xlpm.c,COUNTIFS(ComplaintTracker[Event type],_xlpm.e,ComplaintTracker[Issue Type],"Complaint"),_xlpm.q,COUNTIFS(ComplaintTracker[Event type],_xlpm.e,ComplaintTracker[Issue Type],"Inquiry"),_xlfn.VSTACK(_xlfn.HSTACK(_xlpm.e,_xlpm.c,_xlpm.q,_xlpm.c+_xlpm.q),_xlfn.HSTACK("Total",SUM(_xlpm.c),SUM(_xlpm.q),SUM(_xlpm.c+_xlpm.q))))</f>
        <v>Bankruptcy</v>
      </c>
      <c r="J67" s="75" t="n">
        <v>14</v>
      </c>
      <c r="K67" s="75" t="n">
        <v>1</v>
      </c>
      <c r="L67" s="75" t="n">
        <v>15</v>
      </c>
    </row>
    <row r="68" ht="23.25" customHeight="1">
      <c r="A68" s="20" t="inlineStr">
        <is>
          <t>Eaton</t>
        </is>
      </c>
      <c r="B68" s="22" t="n">
        <v>13</v>
      </c>
      <c r="C68" s="24" t="n">
        <v>0.13</v>
      </c>
      <c r="D68" s="3" t="n"/>
      <c r="E68" s="20" t="inlineStr">
        <is>
          <t>Dynamic Source Discovery</t>
        </is>
      </c>
      <c r="F68" s="22">
        <f>COUNTIFS(ComplaintTracker[Issue Type],"Complaint",ComplaintTracker[Standard Automation Focus],E68)</f>
        <v/>
      </c>
      <c r="G68" s="24">
        <f>F68/COUNTIF(ComplaintTracker[Issue Type],"Complaint")</f>
        <v/>
      </c>
      <c r="H68" s="3" t="n"/>
      <c r="I68" s="20" t="inlineStr">
        <is>
          <t>Chemical Spill</t>
        </is>
      </c>
      <c r="J68" s="76" t="n">
        <v>1</v>
      </c>
      <c r="K68" s="76" t="n">
        <v>0</v>
      </c>
      <c r="L68" s="76" t="n">
        <v>1</v>
      </c>
    </row>
    <row r="69" ht="18" customHeight="1">
      <c r="A69" s="20" t="inlineStr">
        <is>
          <t>Caterpillar</t>
        </is>
      </c>
      <c r="B69" s="22" t="n">
        <v>7</v>
      </c>
      <c r="C69" s="24" t="n">
        <v>0.07</v>
      </c>
      <c r="D69" s="3" t="n"/>
      <c r="E69" s="20" t="inlineStr">
        <is>
          <t>Multilingual Keyword Expansion</t>
        </is>
      </c>
      <c r="F69" s="22">
        <f>COUNTIFS(ComplaintTracker[Issue Type],"Complaint",ComplaintTracker[Standard Automation Focus],E69)</f>
        <v/>
      </c>
      <c r="G69" s="24">
        <f>F69/COUNTIF(ComplaintTracker[Issue Type],"Complaint")</f>
        <v/>
      </c>
      <c r="H69" s="3" t="n"/>
      <c r="I69" s="20" t="inlineStr">
        <is>
          <t>Counterfeit</t>
        </is>
      </c>
      <c r="J69" s="76" t="n">
        <v>0</v>
      </c>
      <c r="K69" s="76" t="n">
        <v>1</v>
      </c>
      <c r="L69" s="76" t="n">
        <v>1</v>
      </c>
    </row>
    <row r="70" ht="23.25" customHeight="1">
      <c r="A70" s="20" t="inlineStr">
        <is>
          <t>Collins Aerospace</t>
        </is>
      </c>
      <c r="B70" s="22" t="n">
        <v>4</v>
      </c>
      <c r="C70" s="24" t="n">
        <v>0.04</v>
      </c>
      <c r="D70" s="3" t="n"/>
      <c r="E70" s="20" t="inlineStr">
        <is>
          <t>Other Control Automation</t>
        </is>
      </c>
      <c r="F70" s="22">
        <f>COUNTIFS(ComplaintTracker[Issue Type],"Complaint",ComplaintTracker[Standard Automation Focus],E70)</f>
        <v/>
      </c>
      <c r="G70" s="24">
        <f>F70/COUNTIF(ComplaintTracker[Issue Type],"Complaint")</f>
        <v/>
      </c>
      <c r="H70" s="3" t="n"/>
      <c r="I70" s="20" t="inlineStr">
        <is>
          <t>Cyber Attack</t>
        </is>
      </c>
      <c r="J70" s="76" t="n">
        <v>14</v>
      </c>
      <c r="K70" s="76" t="n">
        <v>1</v>
      </c>
      <c r="L70" s="76" t="n">
        <v>15</v>
      </c>
    </row>
    <row r="71" ht="23.25" customHeight="1">
      <c r="A71" s="20" t="inlineStr">
        <is>
          <t>GM</t>
        </is>
      </c>
      <c r="B71" s="22" t="n">
        <v>4</v>
      </c>
      <c r="C71" s="24" t="n">
        <v>0.04</v>
      </c>
      <c r="D71" s="3" t="n"/>
      <c r="E71" s="20" t="inlineStr">
        <is>
          <t>Entity &amp; Supplier Resolution</t>
        </is>
      </c>
      <c r="F71" s="22">
        <f>COUNTIFS(ComplaintTracker[Issue Type],"Complaint",ComplaintTracker[Standard Automation Focus],E71)</f>
        <v/>
      </c>
      <c r="G71" s="24">
        <f>F71/COUNTIF(ComplaintTracker[Issue Type],"Complaint")</f>
        <v/>
      </c>
      <c r="H71" s="3" t="n"/>
      <c r="I71" s="20" t="inlineStr">
        <is>
          <t>Earthquake</t>
        </is>
      </c>
      <c r="J71" s="76" t="n">
        <v>1</v>
      </c>
      <c r="K71" s="76" t="n">
        <v>2</v>
      </c>
      <c r="L71" s="76" t="n">
        <v>3</v>
      </c>
    </row>
    <row r="72" ht="18" customHeight="1">
      <c r="A72" s="20" t="inlineStr">
        <is>
          <t>Ford/GM</t>
        </is>
      </c>
      <c r="B72" s="22" t="n">
        <v>3</v>
      </c>
      <c r="C72" s="24" t="n">
        <v>0.03</v>
      </c>
      <c r="D72" s="3" t="n"/>
      <c r="E72" s="20" t="inlineStr">
        <is>
          <t>AI-Assisted Geofencing</t>
        </is>
      </c>
      <c r="F72" s="22">
        <f>COUNTIFS(ComplaintTracker[Issue Type],"Complaint",ComplaintTracker[Standard Automation Focus],E72)</f>
        <v/>
      </c>
      <c r="G72" s="24">
        <f>F72/COUNTIF(ComplaintTracker[Issue Type],"Complaint")</f>
        <v/>
      </c>
      <c r="H72" s="3" t="n"/>
      <c r="I72" s="20" t="inlineStr">
        <is>
          <t>Extreme Weather</t>
        </is>
      </c>
      <c r="J72" s="76" t="n">
        <v>8</v>
      </c>
      <c r="K72" s="76" t="n">
        <v>0</v>
      </c>
      <c r="L72" s="76" t="n">
        <v>8</v>
      </c>
    </row>
    <row r="73" ht="23.25" customHeight="1">
      <c r="A73" s="20" t="inlineStr">
        <is>
          <t>General Mills</t>
        </is>
      </c>
      <c r="B73" s="22" t="n">
        <v>2</v>
      </c>
      <c r="C73" s="24" t="n">
        <v>0.02</v>
      </c>
      <c r="D73" s="3" t="n"/>
      <c r="E73" s="20" t="inlineStr">
        <is>
          <t>Cluster Integrity &amp; Duplicate Prevention</t>
        </is>
      </c>
      <c r="F73" s="22">
        <f>COUNTIFS(ComplaintTracker[Issue Type],"Complaint",ComplaintTracker[Standard Automation Focus],E73)</f>
        <v/>
      </c>
      <c r="G73" s="24">
        <f>F73/COUNTIF(ComplaintTracker[Issue Type],"Complaint")</f>
        <v/>
      </c>
      <c r="H73" s="3" t="n"/>
      <c r="I73" s="20" t="inlineStr">
        <is>
          <t>Factory Closure</t>
        </is>
      </c>
      <c r="J73" s="76" t="n">
        <v>1</v>
      </c>
      <c r="K73" s="76" t="n">
        <v>0</v>
      </c>
      <c r="L73" s="76" t="n">
        <v>1</v>
      </c>
    </row>
    <row r="74" ht="23.25" customHeight="1">
      <c r="A74" s="20" t="inlineStr">
        <is>
          <t>META</t>
        </is>
      </c>
      <c r="B74" s="22" t="n">
        <v>2</v>
      </c>
      <c r="C74" s="24" t="n">
        <v>0.02</v>
      </c>
      <c r="D74" s="3" t="n"/>
      <c r="E74" s="20" t="inlineStr">
        <is>
          <t>Automated Industry Tagging</t>
        </is>
      </c>
      <c r="F74" s="22">
        <f>COUNTIFS(ComplaintTracker[Issue Type],"Complaint",ComplaintTracker[Standard Automation Focus],E74)</f>
        <v/>
      </c>
      <c r="G74" s="24">
        <f>F74/COUNTIF(ComplaintTracker[Issue Type],"Complaint")</f>
        <v/>
      </c>
      <c r="H74" s="3" t="n"/>
      <c r="I74" s="20" t="inlineStr">
        <is>
          <t>Factory Disruption</t>
        </is>
      </c>
      <c r="J74" s="76" t="n">
        <v>1</v>
      </c>
      <c r="K74" s="76" t="n">
        <v>0</v>
      </c>
      <c r="L74" s="76" t="n">
        <v>1</v>
      </c>
    </row>
    <row r="75" ht="18" customHeight="1">
      <c r="A75" s="20" t="inlineStr">
        <is>
          <t>Merck</t>
        </is>
      </c>
      <c r="B75" s="22" t="n">
        <v>2</v>
      </c>
      <c r="C75" s="24" t="n">
        <v>0.02</v>
      </c>
      <c r="D75" s="3" t="n"/>
      <c r="E75" s="20" t="inlineStr">
        <is>
          <t>Notification Visibility Monitoring</t>
        </is>
      </c>
      <c r="F75" s="22">
        <f>COUNTIFS(ComplaintTracker[Issue Type],"Complaint",ComplaintTracker[Standard Automation Focus],E75)</f>
        <v/>
      </c>
      <c r="G75" s="24">
        <f>F75/COUNTIF(ComplaintTracker[Issue Type],"Complaint")</f>
        <v/>
      </c>
      <c r="H75" s="3" t="n"/>
      <c r="I75" s="20" t="inlineStr">
        <is>
          <t>Factory Fire</t>
        </is>
      </c>
      <c r="J75" s="76" t="n">
        <v>14</v>
      </c>
      <c r="K75" s="76" t="n">
        <v>2</v>
      </c>
      <c r="L75" s="76" t="n">
        <v>16</v>
      </c>
    </row>
    <row r="76" ht="23.25" customHeight="1">
      <c r="A76" s="20" t="inlineStr">
        <is>
          <t>Schneider Electric</t>
        </is>
      </c>
      <c r="B76" s="22" t="n">
        <v>2</v>
      </c>
      <c r="C76" s="24" t="n">
        <v>0.02</v>
      </c>
      <c r="D76" s="3" t="n"/>
      <c r="E76" s="25" t="inlineStr">
        <is>
          <t>Total</t>
        </is>
      </c>
      <c r="F76" s="26">
        <f>SUM(F67:F75)</f>
        <v/>
      </c>
      <c r="G76" s="27">
        <f>SUM(G67:G75)</f>
        <v/>
      </c>
      <c r="H76" s="3" t="n"/>
      <c r="I76" s="20" t="inlineStr">
        <is>
          <t>Financial Distress</t>
        </is>
      </c>
      <c r="J76" s="76" t="n">
        <v>1</v>
      </c>
      <c r="K76" s="76" t="n">
        <v>1</v>
      </c>
      <c r="L76" s="76" t="n">
        <v>2</v>
      </c>
    </row>
    <row r="77" ht="23.25" customHeight="1">
      <c r="A77" s="20" t="inlineStr">
        <is>
          <t>Other customers</t>
        </is>
      </c>
      <c r="B77" s="22">
        <f>COUNTIF(ComplaintTracker[Issue Type],"Complaint")-SUM(B67:B76)</f>
        <v/>
      </c>
      <c r="C77" s="24">
        <f>B77/COUNTIF(ComplaintTracker[Issue Type],"Complaint")</f>
        <v/>
      </c>
      <c r="D77" s="3" t="n"/>
      <c r="E77" s="3" t="n"/>
      <c r="F77" s="3" t="n"/>
      <c r="G77" s="3" t="n"/>
      <c r="H77" s="3" t="n"/>
      <c r="I77" s="20" t="inlineStr">
        <is>
          <t>Geopolitical</t>
        </is>
      </c>
      <c r="J77" s="76" t="n">
        <v>5</v>
      </c>
      <c r="K77" s="76" t="n">
        <v>2</v>
      </c>
      <c r="L77" s="76" t="n">
        <v>7</v>
      </c>
    </row>
    <row r="78" ht="18" customHeight="1">
      <c r="A78" s="25" t="inlineStr">
        <is>
          <t>Total</t>
        </is>
      </c>
      <c r="B78" s="26">
        <f>SUM(B67:B77)</f>
        <v/>
      </c>
      <c r="C78" s="27">
        <f>SUM(C67:C77)</f>
        <v/>
      </c>
      <c r="D78" s="3" t="n"/>
      <c r="E78" s="3" t="n"/>
      <c r="F78" s="3" t="n"/>
      <c r="G78" s="3" t="n"/>
      <c r="H78" s="3" t="n"/>
      <c r="I78" s="20" t="inlineStr">
        <is>
          <t>Hurricane/Typhoon</t>
        </is>
      </c>
      <c r="J78" s="76" t="n">
        <v>0</v>
      </c>
      <c r="K78" s="76" t="n">
        <v>2</v>
      </c>
      <c r="L78" s="76" t="n">
        <v>2</v>
      </c>
    </row>
    <row r="79" ht="23.25" customHeight="1">
      <c r="A79" s="3" t="n"/>
      <c r="B79" s="3" t="n"/>
      <c r="C79" s="3" t="n"/>
      <c r="D79" s="3" t="n"/>
      <c r="E79" s="3" t="n"/>
      <c r="F79" s="3" t="n"/>
      <c r="G79" s="3" t="n"/>
      <c r="H79" s="3" t="n"/>
      <c r="I79" s="20" t="inlineStr">
        <is>
          <t>Labor Disruption</t>
        </is>
      </c>
      <c r="J79" s="76" t="n">
        <v>6</v>
      </c>
      <c r="K79" s="76" t="n">
        <v>0</v>
      </c>
      <c r="L79" s="76" t="n">
        <v>6</v>
      </c>
    </row>
    <row r="80" ht="23.25" customHeight="1">
      <c r="A80" s="3" t="n"/>
      <c r="B80" s="3" t="n"/>
      <c r="C80" s="3" t="n"/>
      <c r="D80" s="3" t="n"/>
      <c r="E80" s="3" t="n"/>
      <c r="F80" s="3" t="n"/>
      <c r="G80" s="3" t="n"/>
      <c r="H80" s="3" t="n"/>
      <c r="I80" s="20" t="inlineStr">
        <is>
          <t>Leadership Transition</t>
        </is>
      </c>
      <c r="J80" s="76" t="n">
        <v>1</v>
      </c>
      <c r="K80" s="76" t="n">
        <v>0</v>
      </c>
      <c r="L80" s="76" t="n">
        <v>1</v>
      </c>
    </row>
    <row r="81" ht="18" customHeight="1">
      <c r="A81" s="3" t="n"/>
      <c r="B81" s="3" t="n"/>
      <c r="C81" s="3" t="n"/>
      <c r="D81" s="3" t="n"/>
      <c r="E81" s="3" t="n"/>
      <c r="F81" s="3" t="n"/>
      <c r="G81" s="3" t="n"/>
      <c r="H81" s="3" t="n"/>
      <c r="I81" s="20" t="inlineStr">
        <is>
          <t>Legal Action</t>
        </is>
      </c>
      <c r="J81" s="76" t="n">
        <v>2</v>
      </c>
      <c r="K81" s="76" t="n">
        <v>0</v>
      </c>
      <c r="L81" s="76" t="n">
        <v>2</v>
      </c>
    </row>
    <row r="82" ht="23.25" customHeight="1">
      <c r="A82" s="3" t="n"/>
      <c r="B82" s="3" t="n"/>
      <c r="C82" s="3" t="n"/>
      <c r="D82" s="3" t="n"/>
      <c r="E82" s="3" t="n"/>
      <c r="F82" s="3" t="n"/>
      <c r="G82" s="3" t="n"/>
      <c r="H82" s="3" t="n"/>
      <c r="I82" s="20" t="inlineStr">
        <is>
          <t>Merger &amp; Acquisition</t>
        </is>
      </c>
      <c r="J82" s="76" t="n">
        <v>3</v>
      </c>
      <c r="K82" s="76" t="n">
        <v>2</v>
      </c>
      <c r="L82" s="76" t="n">
        <v>5</v>
      </c>
    </row>
    <row r="83" ht="23.25" customHeight="1">
      <c r="A83" s="3" t="n"/>
      <c r="B83" s="3" t="n"/>
      <c r="C83" s="3" t="n"/>
      <c r="D83" s="3" t="n"/>
      <c r="E83" s="3" t="n"/>
      <c r="F83" s="3" t="n"/>
      <c r="G83" s="3" t="n"/>
      <c r="H83" s="3" t="n"/>
      <c r="I83" s="20" t="inlineStr">
        <is>
          <t>Platform/Data Quality</t>
        </is>
      </c>
      <c r="J83" s="76" t="n">
        <v>2</v>
      </c>
      <c r="K83" s="76" t="n">
        <v>0</v>
      </c>
      <c r="L83" s="76" t="n">
        <v>2</v>
      </c>
    </row>
    <row r="84" ht="18" customHeight="1">
      <c r="A84" s="3" t="n"/>
      <c r="B84" s="3" t="n"/>
      <c r="C84" s="3" t="n"/>
      <c r="D84" s="3" t="n"/>
      <c r="E84" s="3" t="n"/>
      <c r="F84" s="3" t="n"/>
      <c r="G84" s="3" t="n"/>
      <c r="H84" s="3" t="n"/>
      <c r="I84" s="20" t="inlineStr">
        <is>
          <t>Port Disruption</t>
        </is>
      </c>
      <c r="J84" s="76" t="n">
        <v>2</v>
      </c>
      <c r="K84" s="76" t="n">
        <v>1</v>
      </c>
      <c r="L84" s="76" t="n">
        <v>3</v>
      </c>
    </row>
    <row r="85" ht="23.25" customHeight="1">
      <c r="A85" s="3" t="n"/>
      <c r="B85" s="3" t="n"/>
      <c r="C85" s="3" t="n"/>
      <c r="D85" s="3" t="n"/>
      <c r="E85" s="3" t="n"/>
      <c r="F85" s="3" t="n"/>
      <c r="G85" s="3" t="n"/>
      <c r="H85" s="3" t="n"/>
      <c r="I85" s="20" t="inlineStr">
        <is>
          <t>Power Outage</t>
        </is>
      </c>
      <c r="J85" s="76" t="n">
        <v>2</v>
      </c>
      <c r="K85" s="76" t="n">
        <v>1</v>
      </c>
      <c r="L85" s="76" t="n">
        <v>3</v>
      </c>
    </row>
    <row r="86" ht="23.25" customHeight="1">
      <c r="A86" s="3" t="n"/>
      <c r="B86" s="3" t="n"/>
      <c r="C86" s="3" t="n"/>
      <c r="D86" s="3" t="n"/>
      <c r="E86" s="3" t="n"/>
      <c r="F86" s="3" t="n"/>
      <c r="G86" s="3" t="n"/>
      <c r="H86" s="3" t="n"/>
      <c r="I86" s="20" t="inlineStr">
        <is>
          <t>Protest/Riot</t>
        </is>
      </c>
      <c r="J86" s="76" t="n">
        <v>5</v>
      </c>
      <c r="K86" s="76" t="n">
        <v>0</v>
      </c>
      <c r="L86" s="76" t="n">
        <v>5</v>
      </c>
    </row>
    <row r="87" ht="18" customHeight="1">
      <c r="A87" s="3" t="n"/>
      <c r="B87" s="3" t="n"/>
      <c r="C87" s="3" t="n"/>
      <c r="D87" s="3" t="n"/>
      <c r="E87" s="3" t="n"/>
      <c r="F87" s="3" t="n"/>
      <c r="G87" s="3" t="n"/>
      <c r="H87" s="3" t="n"/>
      <c r="I87" s="20" t="inlineStr">
        <is>
          <t>Regulatory Change</t>
        </is>
      </c>
      <c r="J87" s="76" t="n">
        <v>6</v>
      </c>
      <c r="K87" s="76" t="n">
        <v>0</v>
      </c>
      <c r="L87" s="76" t="n">
        <v>6</v>
      </c>
      <c r="M87" s="3" t="n"/>
      <c r="N87" s="3" t="n"/>
      <c r="O87" s="3" t="n"/>
      <c r="P87" s="3" t="n"/>
      <c r="Q87" s="3" t="n"/>
      <c r="R87" s="3" t="n"/>
    </row>
    <row r="88" ht="18" customHeight="1">
      <c r="A88" s="3" t="n"/>
      <c r="B88" s="3" t="n"/>
      <c r="C88" s="3" t="n"/>
      <c r="D88" s="3" t="n"/>
      <c r="E88" s="3" t="n"/>
      <c r="F88" s="3" t="n"/>
      <c r="G88" s="3" t="n"/>
      <c r="H88" s="3" t="n"/>
      <c r="I88" s="20" t="inlineStr">
        <is>
          <t>Supply Shortage</t>
        </is>
      </c>
      <c r="J88" s="76" t="n">
        <v>5</v>
      </c>
      <c r="K88" s="76" t="n">
        <v>3</v>
      </c>
      <c r="L88" s="76" t="n">
        <v>8</v>
      </c>
      <c r="M88" s="3" t="n"/>
      <c r="N88" s="3" t="n"/>
      <c r="O88" s="3" t="n"/>
      <c r="P88" s="3" t="n"/>
      <c r="Q88" s="3" t="n"/>
      <c r="R88" s="3" t="n"/>
    </row>
    <row r="89" ht="18" customHeight="1">
      <c r="A89" s="3" t="n"/>
      <c r="B89" s="3" t="n"/>
      <c r="C89" s="3" t="n"/>
      <c r="D89" s="3" t="n"/>
      <c r="E89" s="3" t="n"/>
      <c r="F89" s="3" t="n"/>
      <c r="G89" s="3" t="n"/>
      <c r="H89" s="3" t="n"/>
      <c r="I89" s="20" t="inlineStr">
        <is>
          <t>Tornado</t>
        </is>
      </c>
      <c r="J89" s="76" t="n">
        <v>3</v>
      </c>
      <c r="K89" s="76" t="n">
        <v>0</v>
      </c>
      <c r="L89" s="76" t="n">
        <v>3</v>
      </c>
      <c r="M89" s="3" t="n"/>
      <c r="N89" s="3" t="n"/>
      <c r="O89" s="3" t="n"/>
      <c r="P89" s="3" t="n"/>
      <c r="Q89" s="3" t="n"/>
      <c r="R89" s="3" t="n"/>
    </row>
    <row r="90" ht="18" customHeight="1">
      <c r="A90" s="3" t="n"/>
      <c r="B90" s="3" t="n"/>
      <c r="C90" s="3" t="n"/>
      <c r="D90" s="3" t="n"/>
      <c r="E90" s="3" t="n"/>
      <c r="F90" s="3" t="n"/>
      <c r="G90" s="3" t="n"/>
      <c r="H90" s="3" t="n"/>
      <c r="I90" s="20" t="inlineStr">
        <is>
          <t>Wildfire</t>
        </is>
      </c>
      <c r="J90" s="76" t="n">
        <v>3</v>
      </c>
      <c r="K90" s="76" t="n">
        <v>1</v>
      </c>
      <c r="L90" s="76" t="n">
        <v>4</v>
      </c>
      <c r="M90" s="3" t="n"/>
      <c r="N90" s="3" t="n"/>
      <c r="O90" s="3" t="n"/>
      <c r="P90" s="3" t="n"/>
      <c r="Q90" s="3" t="n"/>
      <c r="R90" s="3" t="n"/>
    </row>
    <row r="91" ht="18" customHeight="1">
      <c r="A91" s="3" t="n"/>
      <c r="B91" s="3" t="n"/>
      <c r="C91" s="3" t="n"/>
      <c r="D91" s="3" t="n"/>
      <c r="E91" s="3" t="n"/>
      <c r="F91" s="3" t="n"/>
      <c r="G91" s="3" t="n"/>
      <c r="H91" s="3" t="n"/>
      <c r="I91" s="25" t="inlineStr">
        <is>
          <t>Total</t>
        </is>
      </c>
      <c r="J91" s="77" t="n">
        <v>100</v>
      </c>
      <c r="K91" s="77" t="n">
        <v>20</v>
      </c>
      <c r="L91" s="77" t="n">
        <v>120</v>
      </c>
      <c r="M91" s="3" t="n"/>
      <c r="N91" s="3" t="n"/>
      <c r="O91" s="3" t="n"/>
      <c r="P91" s="3" t="n"/>
      <c r="Q91" s="3" t="n"/>
      <c r="R91" s="3" t="n"/>
    </row>
    <row r="92" ht="18" customHeight="1">
      <c r="A92" s="3" t="n"/>
      <c r="B92" s="3" t="n"/>
      <c r="C92" s="3" t="n"/>
      <c r="D92" s="3" t="n"/>
      <c r="E92" s="3" t="n"/>
      <c r="F92" s="3" t="n"/>
      <c r="G92" s="3" t="n"/>
      <c r="H92" s="3" t="n"/>
      <c r="I92" s="3" t="n"/>
      <c r="J92" s="78" t="n"/>
      <c r="K92" s="78" t="n"/>
      <c r="L92" s="78" t="n"/>
      <c r="M92" s="3" t="n"/>
      <c r="N92" s="3" t="n"/>
      <c r="O92" s="3" t="n"/>
      <c r="P92" s="3" t="n"/>
      <c r="Q92" s="3" t="n"/>
      <c r="R92" s="3" t="n"/>
    </row>
    <row r="93" ht="18" customHeight="1">
      <c r="A93" s="3" t="n"/>
      <c r="B93" s="3" t="n"/>
      <c r="C93" s="3" t="n"/>
      <c r="D93" s="3" t="n"/>
      <c r="E93" s="3" t="n"/>
      <c r="F93" s="3" t="n"/>
      <c r="G93" s="3" t="n"/>
      <c r="H93" s="3" t="n"/>
      <c r="I93" s="3" t="n"/>
      <c r="J93" s="78" t="n"/>
      <c r="K93" s="78" t="n"/>
      <c r="L93" s="78" t="n"/>
      <c r="M93" s="3" t="n"/>
      <c r="N93" s="3" t="n"/>
      <c r="O93" s="3" t="n"/>
      <c r="P93" s="3" t="n"/>
      <c r="Q93" s="3" t="n"/>
      <c r="R93" s="3" t="n"/>
    </row>
    <row r="94" ht="18" customHeight="1">
      <c r="A94" s="3" t="n"/>
      <c r="B94" s="3" t="n"/>
      <c r="C94" s="3" t="n"/>
      <c r="D94" s="3" t="n"/>
      <c r="E94" s="3" t="n"/>
      <c r="F94" s="3" t="n"/>
      <c r="G94" s="3" t="n"/>
      <c r="H94" s="3" t="n"/>
      <c r="I94" s="3" t="n"/>
      <c r="J94" s="78" t="n"/>
      <c r="K94" s="78" t="n"/>
      <c r="L94" s="78" t="n"/>
      <c r="M94" s="3" t="n"/>
      <c r="N94" s="3" t="n"/>
      <c r="O94" s="3" t="n"/>
      <c r="P94" s="3" t="n"/>
      <c r="Q94" s="3" t="n"/>
      <c r="R94" s="3" t="n"/>
    </row>
    <row r="95" ht="18" customHeight="1">
      <c r="A95" s="3" t="n"/>
      <c r="B95" s="3" t="n"/>
      <c r="C95" s="3" t="n"/>
      <c r="D95" s="3" t="n"/>
      <c r="E95" s="3" t="n"/>
      <c r="F95" s="3" t="n"/>
      <c r="G95" s="3" t="n"/>
      <c r="H95" s="3" t="n"/>
      <c r="I95" s="3" t="n"/>
      <c r="J95" s="78" t="n"/>
      <c r="K95" s="78" t="n"/>
      <c r="L95" s="78" t="n"/>
      <c r="M95" s="3" t="n"/>
      <c r="N95" s="3" t="n"/>
      <c r="O95" s="3" t="n"/>
      <c r="P95" s="3" t="n"/>
      <c r="Q95" s="3" t="n"/>
      <c r="R95" s="3" t="n"/>
    </row>
    <row r="96" ht="18" customHeight="1">
      <c r="A96" s="3" t="n"/>
      <c r="B96" s="3" t="n"/>
      <c r="C96" s="3" t="n"/>
      <c r="D96" s="3" t="n"/>
      <c r="E96" s="3" t="n"/>
      <c r="F96" s="3" t="n"/>
      <c r="G96" s="3" t="n"/>
      <c r="H96" s="3" t="n"/>
      <c r="I96" s="3" t="n"/>
      <c r="J96" s="78" t="n"/>
      <c r="K96" s="78" t="n"/>
      <c r="L96" s="78" t="n"/>
      <c r="M96" s="3" t="n"/>
      <c r="N96" s="3" t="n"/>
      <c r="O96" s="3" t="n"/>
      <c r="P96" s="3" t="n"/>
      <c r="Q96" s="3" t="n"/>
      <c r="R96" s="3" t="n"/>
    </row>
    <row r="97" ht="18" customHeight="1">
      <c r="A97" s="3" t="n"/>
      <c r="B97" s="3" t="n"/>
      <c r="C97" s="3" t="n"/>
      <c r="D97" s="3" t="n"/>
      <c r="E97" s="3" t="n"/>
      <c r="F97" s="3" t="n"/>
      <c r="G97" s="3" t="n"/>
      <c r="H97" s="3" t="n"/>
      <c r="I97" s="3" t="n"/>
      <c r="J97" s="78" t="n"/>
      <c r="K97" s="78" t="n"/>
      <c r="L97" s="78" t="n"/>
      <c r="M97" s="3" t="n"/>
      <c r="N97" s="3" t="n"/>
      <c r="O97" s="3" t="n"/>
      <c r="P97" s="3" t="n"/>
      <c r="Q97" s="3" t="n"/>
      <c r="R97" s="3" t="n"/>
    </row>
    <row r="98" ht="18" customHeight="1">
      <c r="A98" s="3" t="n"/>
      <c r="B98" s="3" t="n"/>
      <c r="C98" s="3" t="n"/>
      <c r="D98" s="3" t="n"/>
      <c r="E98" s="3" t="n"/>
      <c r="F98" s="3" t="n"/>
      <c r="G98" s="3" t="n"/>
      <c r="H98" s="3" t="n"/>
      <c r="I98" s="3" t="n"/>
      <c r="J98" s="78" t="n"/>
      <c r="K98" s="78" t="n"/>
      <c r="L98" s="78" t="n"/>
      <c r="M98" s="3" t="n"/>
      <c r="N98" s="3" t="n"/>
      <c r="O98" s="3" t="n"/>
      <c r="P98" s="3" t="n"/>
      <c r="Q98" s="3" t="n"/>
      <c r="R98" s="3" t="n"/>
    </row>
    <row r="99" ht="18" customHeight="1">
      <c r="A99" s="3" t="n"/>
      <c r="B99" s="3" t="n"/>
      <c r="C99" s="3" t="n"/>
      <c r="D99" s="3" t="n"/>
      <c r="E99" s="3" t="n"/>
      <c r="F99" s="3" t="n"/>
      <c r="G99" s="3" t="n"/>
      <c r="H99" s="3" t="n"/>
      <c r="I99" s="3" t="n"/>
      <c r="J99" s="78" t="n"/>
      <c r="K99" s="78" t="n"/>
      <c r="L99" s="78" t="n"/>
      <c r="M99" s="3" t="n"/>
      <c r="N99" s="3" t="n"/>
      <c r="O99" s="3" t="n"/>
      <c r="P99" s="3" t="n"/>
      <c r="Q99" s="3" t="n"/>
      <c r="R99" s="3" t="n"/>
    </row>
    <row r="100" ht="18" customHeight="1">
      <c r="A100" s="3" t="n"/>
      <c r="B100" s="3" t="n"/>
      <c r="C100" s="3" t="n"/>
      <c r="D100" s="3" t="n"/>
      <c r="E100" s="3" t="n"/>
      <c r="F100" s="3" t="n"/>
      <c r="G100" s="3" t="n"/>
      <c r="H100" s="3" t="n"/>
      <c r="I100" s="3" t="n"/>
      <c r="J100" s="78" t="n"/>
      <c r="K100" s="78" t="n"/>
      <c r="L100" s="78" t="n"/>
      <c r="M100" s="3" t="n"/>
      <c r="N100" s="3" t="n"/>
      <c r="O100" s="3" t="n"/>
      <c r="P100" s="3" t="n"/>
      <c r="Q100" s="3" t="n"/>
      <c r="R100" s="3" t="n"/>
    </row>
    <row r="101" ht="18" customHeight="1">
      <c r="A101" s="3" t="n"/>
      <c r="B101" s="3" t="n"/>
      <c r="C101" s="3" t="n"/>
      <c r="D101" s="3" t="n"/>
      <c r="E101" s="3" t="n"/>
      <c r="F101" s="3" t="n"/>
      <c r="G101" s="3" t="n"/>
      <c r="H101" s="3" t="n"/>
      <c r="I101" s="3" t="n"/>
      <c r="J101" s="78" t="n"/>
      <c r="K101" s="78" t="n"/>
      <c r="L101" s="78" t="n"/>
      <c r="M101" s="3" t="n"/>
      <c r="N101" s="3" t="n"/>
      <c r="O101" s="3" t="n"/>
      <c r="P101" s="3" t="n"/>
      <c r="Q101" s="3" t="n"/>
      <c r="R101" s="3" t="n"/>
    </row>
    <row r="102" ht="18" customHeight="1">
      <c r="A102" s="3" t="n"/>
      <c r="B102" s="3" t="n"/>
      <c r="C102" s="3" t="n"/>
      <c r="D102" s="3" t="n"/>
      <c r="E102" s="3" t="n"/>
      <c r="F102" s="3" t="n"/>
      <c r="G102" s="3" t="n"/>
      <c r="H102" s="3" t="n"/>
      <c r="I102" s="3" t="n"/>
      <c r="J102" s="78" t="n"/>
      <c r="K102" s="78" t="n"/>
      <c r="L102" s="78" t="n"/>
      <c r="M102" s="3" t="n"/>
      <c r="N102" s="3" t="n"/>
      <c r="O102" s="3" t="n"/>
      <c r="P102" s="3" t="n"/>
      <c r="Q102" s="3" t="n"/>
      <c r="R102" s="3" t="n"/>
    </row>
    <row r="103" ht="18" customHeight="1">
      <c r="A103" s="3" t="n"/>
      <c r="B103" s="3" t="n"/>
      <c r="C103" s="3" t="n"/>
      <c r="D103" s="3" t="n"/>
      <c r="E103" s="3" t="n"/>
      <c r="F103" s="3" t="n"/>
      <c r="G103" s="3" t="n"/>
      <c r="H103" s="3" t="n"/>
      <c r="I103" s="3" t="n"/>
      <c r="J103" s="78" t="n"/>
      <c r="K103" s="78" t="n"/>
      <c r="L103" s="78" t="n"/>
      <c r="M103" s="3" t="n"/>
      <c r="N103" s="3" t="n"/>
      <c r="O103" s="3" t="n"/>
      <c r="P103" s="3" t="n"/>
      <c r="Q103" s="3" t="n"/>
      <c r="R103" s="3" t="n"/>
    </row>
    <row r="104" ht="18" customHeight="1">
      <c r="A104" s="3" t="n"/>
      <c r="B104" s="3" t="n"/>
      <c r="C104" s="3" t="n"/>
      <c r="D104" s="3" t="n"/>
      <c r="E104" s="3" t="n"/>
      <c r="F104" s="3" t="n"/>
      <c r="G104" s="3" t="n"/>
      <c r="H104" s="3" t="n"/>
      <c r="I104" s="3" t="n"/>
      <c r="J104" s="3" t="n"/>
      <c r="K104" s="3" t="n"/>
      <c r="L104" s="3" t="n"/>
      <c r="M104" s="3" t="n"/>
      <c r="N104" s="3" t="n"/>
      <c r="O104" s="3" t="n"/>
      <c r="P104" s="3" t="n"/>
      <c r="Q104" s="3" t="n"/>
      <c r="R104" s="3" t="n"/>
    </row>
    <row r="105" ht="18" customHeight="1">
      <c r="A105" s="3" t="n"/>
      <c r="B105" s="3" t="n"/>
      <c r="C105" s="3" t="n"/>
      <c r="D105" s="3" t="n"/>
      <c r="E105" s="3" t="n"/>
      <c r="F105" s="3" t="n"/>
      <c r="G105" s="3" t="n"/>
      <c r="H105" s="3" t="n"/>
      <c r="I105" s="3" t="n"/>
      <c r="J105" s="3" t="n"/>
      <c r="K105" s="3" t="n"/>
      <c r="L105" s="3" t="n"/>
      <c r="M105" s="3" t="n"/>
      <c r="N105" s="3" t="n"/>
      <c r="O105" s="3" t="n"/>
      <c r="P105" s="3" t="n"/>
      <c r="Q105" s="3" t="n"/>
      <c r="R105" s="3" t="n"/>
    </row>
    <row r="106" ht="18" customHeight="1">
      <c r="A106" s="3" t="n"/>
      <c r="B106" s="3" t="n"/>
      <c r="C106" s="3" t="n"/>
      <c r="D106" s="3" t="n"/>
      <c r="E106" s="3" t="n"/>
      <c r="F106" s="3" t="n"/>
      <c r="G106" s="3" t="n"/>
      <c r="H106" s="3" t="n"/>
      <c r="I106" s="3" t="n"/>
      <c r="J106" s="3" t="n"/>
      <c r="K106" s="3" t="n"/>
      <c r="L106" s="3" t="n"/>
      <c r="M106" s="3" t="n"/>
      <c r="N106" s="3" t="n"/>
      <c r="O106" s="3" t="n"/>
      <c r="P106" s="3" t="n"/>
      <c r="Q106" s="3" t="n"/>
      <c r="R106" s="3" t="n"/>
    </row>
    <row r="107" ht="18" customHeight="1">
      <c r="A107" s="3" t="n"/>
      <c r="B107" s="3" t="n"/>
      <c r="C107" s="3" t="n"/>
      <c r="D107" s="3" t="n"/>
      <c r="E107" s="3" t="n"/>
      <c r="F107" s="3" t="n"/>
      <c r="G107" s="3" t="n"/>
      <c r="H107" s="3" t="n"/>
      <c r="I107" s="3" t="n"/>
      <c r="J107" s="3" t="n"/>
      <c r="K107" s="3" t="n"/>
      <c r="L107" s="3" t="n"/>
      <c r="M107" s="3" t="n"/>
      <c r="N107" s="3" t="n"/>
      <c r="O107" s="3" t="n"/>
      <c r="P107" s="3" t="n"/>
      <c r="Q107" s="3" t="n"/>
      <c r="R107" s="3" t="n"/>
    </row>
    <row r="108" ht="18" customHeight="1">
      <c r="A108" s="3" t="n"/>
      <c r="B108" s="3" t="n"/>
      <c r="C108" s="3" t="n"/>
      <c r="D108" s="3" t="n"/>
      <c r="E108" s="3" t="n"/>
      <c r="F108" s="3" t="n"/>
      <c r="G108" s="3" t="n"/>
      <c r="H108" s="3" t="n"/>
      <c r="I108" s="3" t="n"/>
      <c r="J108" s="3" t="n"/>
      <c r="K108" s="3" t="n"/>
      <c r="L108" s="3" t="n"/>
      <c r="M108" s="3" t="n"/>
      <c r="N108" s="3" t="n"/>
      <c r="O108" s="3" t="n"/>
      <c r="P108" s="3" t="n"/>
      <c r="Q108" s="3" t="n"/>
      <c r="R108" s="3" t="n"/>
    </row>
    <row r="109" ht="18" customHeight="1">
      <c r="A109" s="3" t="n"/>
      <c r="B109" s="3" t="n"/>
      <c r="C109" s="3" t="n"/>
      <c r="D109" s="3" t="n"/>
      <c r="E109" s="3" t="n"/>
      <c r="F109" s="3" t="n"/>
      <c r="G109" s="3" t="n"/>
      <c r="H109" s="3" t="n"/>
      <c r="I109" s="3" t="n"/>
      <c r="J109" s="3" t="n"/>
      <c r="K109" s="3" t="n"/>
      <c r="L109" s="3" t="n"/>
      <c r="M109" s="3" t="n"/>
      <c r="N109" s="3" t="n"/>
      <c r="O109" s="3" t="n"/>
      <c r="P109" s="3" t="n"/>
      <c r="Q109" s="3" t="n"/>
      <c r="R109" s="3" t="n"/>
    </row>
    <row r="110" ht="18" customHeight="1">
      <c r="A110" s="3" t="n"/>
      <c r="B110" s="3" t="n"/>
      <c r="C110" s="3" t="n"/>
      <c r="D110" s="3" t="n"/>
      <c r="E110" s="3" t="n"/>
      <c r="F110" s="3" t="n"/>
      <c r="G110" s="3" t="n"/>
      <c r="H110" s="3" t="n"/>
      <c r="I110" s="3" t="n"/>
      <c r="J110" s="3" t="n"/>
      <c r="K110" s="3" t="n"/>
      <c r="L110" s="3" t="n"/>
      <c r="M110" s="3" t="n"/>
      <c r="N110" s="3" t="n"/>
      <c r="O110" s="3" t="n"/>
      <c r="P110" s="3" t="n"/>
      <c r="Q110" s="3" t="n"/>
      <c r="R110" s="3" t="n"/>
    </row>
    <row r="111" ht="18" customHeight="1">
      <c r="A111" s="3" t="n"/>
      <c r="B111" s="3" t="n"/>
      <c r="C111" s="3" t="n"/>
      <c r="D111" s="3" t="n"/>
      <c r="E111" s="3" t="n"/>
      <c r="F111" s="3" t="n"/>
      <c r="G111" s="3" t="n"/>
      <c r="H111" s="3" t="n"/>
      <c r="I111" s="3" t="n"/>
      <c r="J111" s="3" t="n"/>
      <c r="K111" s="3" t="n"/>
      <c r="L111" s="3" t="n"/>
      <c r="M111" s="3" t="n"/>
      <c r="N111" s="3" t="n"/>
      <c r="O111" s="3" t="n"/>
      <c r="P111" s="3" t="n"/>
      <c r="Q111" s="3" t="n"/>
      <c r="R111" s="3" t="n"/>
    </row>
    <row r="112" ht="18" customHeight="1">
      <c r="A112" s="3" t="n"/>
      <c r="B112" s="3" t="n"/>
      <c r="C112" s="3" t="n"/>
      <c r="D112" s="3" t="n"/>
      <c r="E112" s="3" t="n"/>
      <c r="F112" s="3" t="n"/>
      <c r="G112" s="3" t="n"/>
      <c r="H112" s="3" t="n"/>
      <c r="I112" s="3" t="n"/>
      <c r="J112" s="3" t="n"/>
      <c r="K112" s="3" t="n"/>
      <c r="L112" s="3" t="n"/>
      <c r="M112" s="3" t="n"/>
      <c r="N112" s="3" t="n"/>
      <c r="O112" s="3" t="n"/>
      <c r="P112" s="3" t="n"/>
      <c r="Q112" s="3" t="n"/>
      <c r="R112" s="3" t="n"/>
    </row>
    <row r="113" ht="18" customHeight="1">
      <c r="A113" s="3" t="n"/>
      <c r="B113" s="3" t="n"/>
      <c r="C113" s="3" t="n"/>
      <c r="D113" s="3" t="n"/>
      <c r="E113" s="3" t="n"/>
      <c r="F113" s="3" t="n"/>
      <c r="G113" s="3" t="n"/>
      <c r="H113" s="3" t="n"/>
      <c r="I113" s="3" t="n"/>
      <c r="J113" s="3" t="n"/>
      <c r="K113" s="3" t="n"/>
      <c r="L113" s="3" t="n"/>
      <c r="M113" s="3" t="n"/>
      <c r="N113" s="3" t="n"/>
      <c r="O113" s="3" t="n"/>
      <c r="P113" s="3" t="n"/>
      <c r="Q113" s="3" t="n"/>
      <c r="R113" s="3" t="n"/>
    </row>
    <row r="135" ht="18.75" customHeight="1"/>
  </sheetData>
  <mergeCells count="28">
    <mergeCell ref="A27:F27"/>
    <mergeCell ref="A46:R46"/>
    <mergeCell ref="J4:L4"/>
    <mergeCell ref="M27:R27"/>
    <mergeCell ref="A2:R2"/>
    <mergeCell ref="D4:F4"/>
    <mergeCell ref="I48:K48"/>
    <mergeCell ref="A65:C65"/>
    <mergeCell ref="D5:F7"/>
    <mergeCell ref="G4:I4"/>
    <mergeCell ref="A4:C4"/>
    <mergeCell ref="A5:C7"/>
    <mergeCell ref="G5:I7"/>
    <mergeCell ref="M4:O4"/>
    <mergeCell ref="A9:F9"/>
    <mergeCell ref="G9:L9"/>
    <mergeCell ref="P4:R4"/>
    <mergeCell ref="A48:C48"/>
    <mergeCell ref="E65:G65"/>
    <mergeCell ref="G27:L27"/>
    <mergeCell ref="J5:L7"/>
    <mergeCell ref="P5:R7"/>
    <mergeCell ref="M9:R9"/>
    <mergeCell ref="M5:O7"/>
    <mergeCell ref="M48:O48"/>
    <mergeCell ref="E48:G48"/>
    <mergeCell ref="A1:R1"/>
    <mergeCell ref="I65:L65"/>
  </mergeCells>
  <conditionalFormatting sqref="B67:B77">
    <cfRule type="dataBar" priority="1">
      <dataBar>
        <cfvo type="min"/>
        <cfvo type="max"/>
        <color rgb="FF638EC6"/>
      </dataBar>
    </cfRule>
  </conditionalFormatting>
  <conditionalFormatting sqref="F67:F75">
    <cfRule type="dataBar" priority="2">
      <dataBar>
        <cfvo type="min"/>
        <cfvo type="max"/>
        <color rgb="FF638EC6"/>
      </dataBar>
    </cfRule>
  </conditionalFormatting>
  <conditionalFormatting sqref="J67:J86">
    <cfRule type="dataBar" priority="3">
      <dataBar>
        <cfvo type="min"/>
        <cfvo type="max"/>
        <color rgb="FF638EC6"/>
      </dataBar>
    </cfRule>
  </conditionalFormatting>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52"/>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62.85546875" customWidth="1" min="3" max="3"/>
    <col width="46.7109375" customWidth="1" min="4" max="4"/>
    <col width="29.5703125" customWidth="1" min="5" max="5"/>
  </cols>
  <sheetData>
    <row r="1" ht="30" customHeight="1">
      <c r="A1" s="89" t="inlineStr">
        <is>
          <t>EVENTWATCH DATA DICTIONARY</t>
        </is>
      </c>
    </row>
    <row r="2" ht="21.75" customHeight="1">
      <c r="A2" s="90" t="inlineStr">
        <is>
          <t>Definitions for all tracker fields and standardized operational terms · aligned to ComplaintTracker</t>
        </is>
      </c>
    </row>
    <row r="3">
      <c r="A3" s="41" t="inlineStr">
        <is>
          <t>Section</t>
        </is>
      </c>
      <c r="B3" s="41" t="inlineStr">
        <is>
          <t>Term / Field</t>
        </is>
      </c>
      <c r="C3" s="41" t="inlineStr">
        <is>
          <t>Definition</t>
        </is>
      </c>
      <c r="D3" s="41" t="inlineStr">
        <is>
          <t>Allowed values / interpretation</t>
        </is>
      </c>
      <c r="E3" s="41" t="inlineStr">
        <is>
          <t>Source column</t>
        </is>
      </c>
    </row>
    <row r="4" ht="30.75" customHeight="1">
      <c r="A4" s="42" t="inlineStr">
        <is>
          <t>Field definition</t>
        </is>
      </c>
      <c r="B4" s="41" t="inlineStr">
        <is>
          <t>Month</t>
        </is>
      </c>
      <c r="C4" s="41" t="inlineStr">
        <is>
          <t>Calendar month assigned to the record.</t>
        </is>
      </c>
      <c r="D4" s="41" t="inlineStr">
        <is>
          <t>Displayed as mmm yyyy; used for chronological reporting.</t>
        </is>
      </c>
      <c r="E4" s="41" t="inlineStr">
        <is>
          <t>Month</t>
        </is>
      </c>
    </row>
    <row r="5">
      <c r="A5" s="42" t="inlineStr">
        <is>
          <t>Field definition</t>
        </is>
      </c>
      <c r="B5" s="41" t="inlineStr">
        <is>
          <t>Email/JIRA Date</t>
        </is>
      </c>
      <c r="C5" s="41" t="inlineStr">
        <is>
          <t>Date the customer email or JIRA item was received or logged.</t>
        </is>
      </c>
      <c r="D5" s="41" t="inlineStr">
        <is>
          <t>Use a true Excel date in dd-mmm-yyyy format.</t>
        </is>
      </c>
      <c r="E5" s="41" t="inlineStr">
        <is>
          <t>Email/JIRA Date</t>
        </is>
      </c>
    </row>
    <row r="6">
      <c r="A6" s="42" t="inlineStr">
        <is>
          <t>Field definition</t>
        </is>
      </c>
      <c r="B6" s="41" t="inlineStr">
        <is>
          <t>Event type</t>
        </is>
      </c>
      <c r="C6" s="41" t="inlineStr">
        <is>
          <t>Operational event category associated with the record.</t>
        </is>
      </c>
      <c r="D6" s="41" t="inlineStr">
        <is>
          <t>Select the closest standard event category.</t>
        </is>
      </c>
      <c r="E6" s="41" t="inlineStr">
        <is>
          <t>Event type</t>
        </is>
      </c>
    </row>
    <row r="7">
      <c r="A7" s="42" t="inlineStr">
        <is>
          <t>Field definition</t>
        </is>
      </c>
      <c r="B7" s="41" t="inlineStr">
        <is>
          <t>Customer</t>
        </is>
      </c>
      <c r="C7" s="41" t="inlineStr">
        <is>
          <t>Customer account that raised or is associated with the record.</t>
        </is>
      </c>
      <c r="D7" s="41" t="inlineStr">
        <is>
          <t>Use the agreed customer name consistently.</t>
        </is>
      </c>
      <c r="E7" s="41" t="inlineStr">
        <is>
          <t>Customer</t>
        </is>
      </c>
    </row>
    <row r="8" ht="30.75" customHeight="1">
      <c r="A8" s="42" t="inlineStr">
        <is>
          <t>Field definition</t>
        </is>
      </c>
      <c r="B8" s="41" t="inlineStr">
        <is>
          <t>Number of Customers</t>
        </is>
      </c>
      <c r="C8" s="41" t="inlineStr">
        <is>
          <t>Count of customer accounts affected or represented.</t>
        </is>
      </c>
      <c r="D8" s="41" t="inlineStr">
        <is>
          <t>Whole number; normally 1 unless multiple customers are combined.</t>
        </is>
      </c>
      <c r="E8" s="41" t="inlineStr">
        <is>
          <t>Number of Customers</t>
        </is>
      </c>
    </row>
    <row r="9">
      <c r="A9" s="42" t="inlineStr">
        <is>
          <t>Field definition</t>
        </is>
      </c>
      <c r="B9" s="41" t="inlineStr">
        <is>
          <t>Event/Bulletin Title</t>
        </is>
      </c>
      <c r="C9" s="41" t="inlineStr">
        <is>
          <t>Title identifying the event, bulletin, or customer query.</t>
        </is>
      </c>
      <c r="D9" s="41" t="inlineStr">
        <is>
          <t>Use a concise, specific title.</t>
        </is>
      </c>
      <c r="E9" s="41" t="inlineStr">
        <is>
          <t>Event/Bulletin Title</t>
        </is>
      </c>
    </row>
    <row r="10" ht="30.75" customHeight="1">
      <c r="A10" s="42" t="inlineStr">
        <is>
          <t>Field definition</t>
        </is>
      </c>
      <c r="B10" s="41" t="inlineStr">
        <is>
          <t>Issue Type</t>
        </is>
      </c>
      <c r="C10" s="41" t="inlineStr">
        <is>
          <t>Whether the record is a complaint or an inquiry.</t>
        </is>
      </c>
      <c r="D10" s="41" t="inlineStr">
        <is>
          <t>Complaint indicates a service concern; Inquiry requests information or verification.</t>
        </is>
      </c>
      <c r="E10" s="41" t="inlineStr">
        <is>
          <t>Issue Type</t>
        </is>
      </c>
    </row>
    <row r="11" ht="30.75" customHeight="1">
      <c r="A11" s="42" t="inlineStr">
        <is>
          <t>Field definition</t>
        </is>
      </c>
      <c r="B11" s="41" t="inlineStr">
        <is>
          <t>Reason</t>
        </is>
      </c>
      <c r="C11" s="41" t="inlineStr">
        <is>
          <t>Customer-facing description of what prompted the record.</t>
        </is>
      </c>
      <c r="D11" s="41" t="inlineStr">
        <is>
          <t>Use the most specific reason label supported by the facts.</t>
        </is>
      </c>
      <c r="E11" s="41" t="inlineStr">
        <is>
          <t>Reason</t>
        </is>
      </c>
    </row>
    <row r="12">
      <c r="A12" s="42" t="inlineStr">
        <is>
          <t>Field definition</t>
        </is>
      </c>
      <c r="B12" s="41" t="inlineStr">
        <is>
          <t>Root Cause</t>
        </is>
      </c>
      <c r="C12" s="41" t="inlineStr">
        <is>
          <t>Primary accountable cause domain.</t>
        </is>
      </c>
      <c r="D12" s="41" t="inlineStr">
        <is>
          <t>People, Process, or Product.</t>
        </is>
      </c>
      <c r="E12" s="41" t="inlineStr">
        <is>
          <t>Root Cause</t>
        </is>
      </c>
    </row>
    <row r="13" ht="30.75" customHeight="1">
      <c r="A13" s="42" t="inlineStr">
        <is>
          <t>Field definition</t>
        </is>
      </c>
      <c r="B13" s="41" t="inlineStr">
        <is>
          <t>Sub-type</t>
        </is>
      </c>
      <c r="C13" s="41" t="inlineStr">
        <is>
          <t>Detailed cause or handling category beneath Root Cause.</t>
        </is>
      </c>
      <c r="D13" s="41" t="inlineStr">
        <is>
          <t>Use the category that best describes the failure mechanism.</t>
        </is>
      </c>
      <c r="E13" s="41" t="inlineStr">
        <is>
          <t>Sub-type</t>
        </is>
      </c>
    </row>
    <row r="14" ht="30.75" customHeight="1">
      <c r="A14" s="42" t="inlineStr">
        <is>
          <t>Field definition</t>
        </is>
      </c>
      <c r="B14" s="41" t="inlineStr">
        <is>
          <t>Improvement VS Bug</t>
        </is>
      </c>
      <c r="C14" s="41" t="inlineStr">
        <is>
          <t>Classifies the response as an enhancement or defect correction.</t>
        </is>
      </c>
      <c r="D14" s="41" t="inlineStr">
        <is>
          <t>Improvement enhances controls; Bug indicates a product defect.</t>
        </is>
      </c>
      <c r="E14" s="41" t="inlineStr">
        <is>
          <t>Improvement VS Bug</t>
        </is>
      </c>
    </row>
    <row r="15">
      <c r="A15" s="42" t="inlineStr">
        <is>
          <t>Field definition</t>
        </is>
      </c>
      <c r="B15" s="41" t="inlineStr">
        <is>
          <t>Short Term Fix Status</t>
        </is>
      </c>
      <c r="C15" s="41" t="inlineStr">
        <is>
          <t>Current customer-facing resolution state.</t>
        </is>
      </c>
      <c r="D15" s="41" t="inlineStr">
        <is>
          <t>Fixed, RCA Shared, or Clarification Provided.</t>
        </is>
      </c>
      <c r="E15" s="41" t="inlineStr">
        <is>
          <t>Short Term Fix Status</t>
        </is>
      </c>
    </row>
    <row r="16" ht="30.75" customHeight="1">
      <c r="A16" s="42" t="inlineStr">
        <is>
          <t>Field definition</t>
        </is>
      </c>
      <c r="B16" s="41" t="inlineStr">
        <is>
          <t>Automation Opportunity</t>
        </is>
      </c>
      <c r="C16" s="41" t="inlineStr">
        <is>
          <t>Specific automation or control proposed for the case.</t>
        </is>
      </c>
      <c r="D16" s="41" t="inlineStr">
        <is>
          <t>Free-text action; use standardized wording where possible.</t>
        </is>
      </c>
      <c r="E16" s="41" t="inlineStr">
        <is>
          <t>Automation Opportunity</t>
        </is>
      </c>
    </row>
    <row r="17">
      <c r="A17" s="42" t="inlineStr">
        <is>
          <t>Field definition</t>
        </is>
      </c>
      <c r="B17" s="41" t="inlineStr">
        <is>
          <t>RCA Requested</t>
        </is>
      </c>
      <c r="C17" s="41" t="inlineStr">
        <is>
          <t>Indicates whether a root cause analysis was requested.</t>
        </is>
      </c>
      <c r="D17" s="41" t="inlineStr">
        <is>
          <t>Yes or No.</t>
        </is>
      </c>
      <c r="E17" s="41" t="inlineStr">
        <is>
          <t>RCA Requested</t>
        </is>
      </c>
    </row>
    <row r="18" ht="30.75" customHeight="1">
      <c r="A18" s="42" t="inlineStr">
        <is>
          <t>Field definition</t>
        </is>
      </c>
      <c r="B18" s="41" t="inlineStr">
        <is>
          <t>Comments</t>
        </is>
      </c>
      <c r="C18" s="41" t="inlineStr">
        <is>
          <t>Concise factual summary of the issue, finding, and action.</t>
        </is>
      </c>
      <c r="D18" s="41" t="inlineStr">
        <is>
          <t>Must support the Reason, Root Cause, status, and automation fields.</t>
        </is>
      </c>
      <c r="E18" s="41" t="inlineStr">
        <is>
          <t>Comments</t>
        </is>
      </c>
    </row>
    <row r="19">
      <c r="A19" s="42" t="inlineStr">
        <is>
          <t>Field definition</t>
        </is>
      </c>
      <c r="B19" s="41" t="inlineStr">
        <is>
          <t>Delay</t>
        </is>
      </c>
      <c r="C19" s="41" t="inlineStr">
        <is>
          <t>Human-readable delay description where applicable.</t>
        </is>
      </c>
      <c r="D19" s="41" t="inlineStr">
        <is>
          <t>May contain duration text or a Yes/No legacy value.</t>
        </is>
      </c>
      <c r="E19" s="41" t="inlineStr">
        <is>
          <t>Delay</t>
        </is>
      </c>
    </row>
    <row r="20" ht="30.75" customHeight="1">
      <c r="A20" s="42" t="inlineStr">
        <is>
          <t>Field definition</t>
        </is>
      </c>
      <c r="B20" s="41" t="inlineStr">
        <is>
          <t>Missed_Flag</t>
        </is>
      </c>
      <c r="C20" s="41" t="inlineStr">
        <is>
          <t>Indicates whether expected EventWatch coverage, alerting, or WarRoom action was missed.</t>
        </is>
      </c>
      <c r="D20" s="41" t="inlineStr">
        <is>
          <t>Yes only for an actual miss; No for clarification, relevancy, or mapping-only cases.</t>
        </is>
      </c>
      <c r="E20" s="41" t="inlineStr">
        <is>
          <t>Missed_Flag</t>
        </is>
      </c>
    </row>
    <row r="21">
      <c r="A21" s="42" t="inlineStr">
        <is>
          <t>Field definition</t>
        </is>
      </c>
      <c r="B21" s="41" t="inlineStr">
        <is>
          <t>Month_Sort</t>
        </is>
      </c>
      <c r="C21" s="41" t="inlineStr">
        <is>
          <t>Numeric month order used for sorting.</t>
        </is>
      </c>
      <c r="D21" s="41" t="inlineStr">
        <is>
          <t>January=1 through December=12.</t>
        </is>
      </c>
      <c r="E21" s="41" t="inlineStr">
        <is>
          <t>Month_Sort</t>
        </is>
      </c>
    </row>
    <row r="22" ht="30.75" customHeight="1">
      <c r="A22" s="42" t="inlineStr">
        <is>
          <t>Field definition</t>
        </is>
      </c>
      <c r="B22" s="41" t="inlineStr">
        <is>
          <t>Delay (Hours)</t>
        </is>
      </c>
      <c r="C22" s="41" t="inlineStr">
        <is>
          <t>Numeric delay duration in hours.</t>
        </is>
      </c>
      <c r="D22" s="41" t="inlineStr">
        <is>
          <t>Keep numeric for SLA analysis; blank when not measured.</t>
        </is>
      </c>
      <c r="E22" s="41" t="inlineStr">
        <is>
          <t>Delay (Hours)</t>
        </is>
      </c>
    </row>
    <row r="23">
      <c r="A23" s="42" t="inlineStr">
        <is>
          <t>Field definition</t>
        </is>
      </c>
      <c r="B23" s="41" t="inlineStr">
        <is>
          <t>Reporting Month</t>
        </is>
      </c>
      <c r="C23" s="41" t="inlineStr">
        <is>
          <t>Standard month date used for dashboard aggregation.</t>
        </is>
      </c>
      <c r="D23" s="41" t="inlineStr">
        <is>
          <t>True Excel month date formatted mmm yyyy.</t>
        </is>
      </c>
      <c r="E23" s="41" t="inlineStr">
        <is>
          <t>Reporting Month</t>
        </is>
      </c>
    </row>
    <row r="24">
      <c r="A24" s="42" t="inlineStr">
        <is>
          <t>Field definition</t>
        </is>
      </c>
      <c r="B24" s="41" t="inlineStr">
        <is>
          <t>Severity</t>
        </is>
      </c>
      <c r="C24" s="41" t="inlineStr">
        <is>
          <t>Business impact or operational priority level.</t>
        </is>
      </c>
      <c r="D24" s="41" t="inlineStr">
        <is>
          <t>High, Medium, or Low.</t>
        </is>
      </c>
      <c r="E24" s="41" t="inlineStr">
        <is>
          <t>Severity</t>
        </is>
      </c>
    </row>
    <row r="25">
      <c r="A25" s="42" t="inlineStr">
        <is>
          <t>Field definition</t>
        </is>
      </c>
      <c r="B25" s="41" t="inlineStr">
        <is>
          <t>Standard Automation Focus</t>
        </is>
      </c>
      <c r="C25" s="41" t="inlineStr">
        <is>
          <t>Normalized automation theme used for dashboard reporting.</t>
        </is>
      </c>
      <c r="D25" s="41" t="inlineStr">
        <is>
          <t>Select one of the approved focus categories.</t>
        </is>
      </c>
      <c r="E25" s="41" t="inlineStr">
        <is>
          <t>Standard Automation Focus</t>
        </is>
      </c>
    </row>
    <row r="26">
      <c r="A26" s="42" t="inlineStr">
        <is>
          <t>Field definition</t>
        </is>
      </c>
      <c r="B26" s="41" t="inlineStr">
        <is>
          <t>Jira Key</t>
        </is>
      </c>
      <c r="C26" s="41" t="inlineStr">
        <is>
          <t>Atlassian issue key linking the record to the ticket that tracks it.</t>
        </is>
      </c>
      <c r="D26" s="41" t="inlineStr">
        <is>
          <t>EAO-&lt;n&gt; for the EventWatch_AI_Ops project; older records may carry DATA, TS, BI or TENAR keys. Blank where no ticket was raised.</t>
        </is>
      </c>
      <c r="E26" s="41" t="inlineStr">
        <is>
          <t>Jira Key</t>
        </is>
      </c>
    </row>
    <row r="27">
      <c r="A27" s="42" t="inlineStr">
        <is>
          <t>Field definition</t>
        </is>
      </c>
      <c r="B27" s="41" t="inlineStr">
        <is>
          <t>RCA Details</t>
        </is>
      </c>
      <c r="C27" s="41" t="inlineStr">
        <is>
          <t>Root cause summary for the record, taken from the RCA shared on the linked Jira ticket.</t>
        </is>
      </c>
      <c r="D27" s="41" t="inlineStr">
        <is>
          <t>Free text. Blank where no RCA was requested or none has been issued yet. Where the RCA went out only as a PDF attachment the entry says so, rather than paraphrasing a document that is not in the ticket.</t>
        </is>
      </c>
      <c r="E27" s="41" t="inlineStr">
        <is>
          <t>RCA Details</t>
        </is>
      </c>
    </row>
    <row r="28">
      <c r="A28" s="42" t="inlineStr">
        <is>
          <t>Field definition</t>
        </is>
      </c>
      <c r="B28" s="41" t="inlineStr">
        <is>
          <t>Routed To</t>
        </is>
      </c>
      <c r="C28" s="41" t="inlineStr">
        <is>
          <t>Which team the record is directed to for action.</t>
        </is>
      </c>
      <c r="D28" s="41" t="inlineStr">
        <is>
          <t>EventWatch Ops - Nitin Rindhe for People- and Process-rooted records: analyst judgement, escalation, WarRoom decisions, threshold and methodology questions. Product &amp; Platform for Product-rooted records: ingestion, source coverage, keyword, clustering, mapping, visibility, platform and automation defects. Derived from Root Cause. EventWatch Ops still owns the customer-facing RCA on Product-routed records; routing says who investigates, not who replies.</t>
        </is>
      </c>
      <c r="E28" s="41" t="inlineStr">
        <is>
          <t>Routed To</t>
        </is>
      </c>
    </row>
    <row r="29" ht="30.75" customHeight="1">
      <c r="A29" s="42" t="inlineStr">
        <is>
          <t>Operational term</t>
        </is>
      </c>
      <c r="B29" s="41" t="inlineStr">
        <is>
          <t>EventWatch</t>
        </is>
      </c>
      <c r="C29" s="41" t="inlineStr">
        <is>
          <t>Operational monitoring service that identifies, assesses, and reports events relevant to customers.</t>
        </is>
      </c>
      <c r="D29" s="41" t="inlineStr">
        <is>
          <t>Common EventWatch terminology</t>
        </is>
      </c>
      <c r="E29" s="41" t="inlineStr">
        <is>
          <t>Various</t>
        </is>
      </c>
    </row>
    <row r="30" ht="30.75" customHeight="1">
      <c r="A30" s="42" t="inlineStr">
        <is>
          <t>Operational term</t>
        </is>
      </c>
      <c r="B30" s="41" t="inlineStr">
        <is>
          <t>WarRoom</t>
        </is>
      </c>
      <c r="C30" s="41" t="inlineStr">
        <is>
          <t>Central event workspace used to publish, organize, and update an operational event.</t>
        </is>
      </c>
      <c r="D30" s="41" t="inlineStr">
        <is>
          <t>Common EventWatch terminology</t>
        </is>
      </c>
      <c r="E30" s="41" t="inlineStr">
        <is>
          <t>Various</t>
        </is>
      </c>
    </row>
    <row r="31" ht="30.75" customHeight="1">
      <c r="A31" s="42" t="inlineStr">
        <is>
          <t>Operational term</t>
        </is>
      </c>
      <c r="B31" s="41" t="inlineStr">
        <is>
          <t>RCA</t>
        </is>
      </c>
      <c r="C31" s="41" t="inlineStr">
        <is>
          <t>Root Cause Analysis; a documented explanation of why an issue occurred and the corrective/preventive actions.</t>
        </is>
      </c>
      <c r="D31" s="41" t="inlineStr">
        <is>
          <t>Common EventWatch terminology</t>
        </is>
      </c>
      <c r="E31" s="41" t="inlineStr">
        <is>
          <t>Various</t>
        </is>
      </c>
    </row>
    <row r="32" ht="30.75" customHeight="1">
      <c r="A32" s="42" t="inlineStr">
        <is>
          <t>Operational term</t>
        </is>
      </c>
      <c r="B32" s="41" t="inlineStr">
        <is>
          <t>NC</t>
        </is>
      </c>
      <c r="C32" s="41" t="inlineStr">
        <is>
          <t>Non-Conformance; an internal quality record raised when required process or control performance was not met.</t>
        </is>
      </c>
      <c r="D32" s="41" t="inlineStr">
        <is>
          <t>Common EventWatch terminology</t>
        </is>
      </c>
      <c r="E32" s="41" t="inlineStr">
        <is>
          <t>Various</t>
        </is>
      </c>
    </row>
    <row r="33" ht="30.75" customHeight="1">
      <c r="A33" s="42" t="inlineStr">
        <is>
          <t>Operational term</t>
        </is>
      </c>
      <c r="B33" s="41" t="inlineStr">
        <is>
          <t>Not Impactful</t>
        </is>
      </c>
      <c r="C33" s="41" t="inlineStr">
        <is>
          <t>Review outcome indicating that available evidence did not meet the threshold for EventWatch escalation.</t>
        </is>
      </c>
      <c r="D33" s="41" t="inlineStr">
        <is>
          <t>Common EventWatch terminology</t>
        </is>
      </c>
      <c r="E33" s="41" t="inlineStr">
        <is>
          <t>Various</t>
        </is>
      </c>
    </row>
    <row r="34" ht="30.75" customHeight="1">
      <c r="A34" s="42" t="inlineStr">
        <is>
          <t>Operational term</t>
        </is>
      </c>
      <c r="B34" s="41" t="inlineStr">
        <is>
          <t>Feed harvesting</t>
        </is>
      </c>
      <c r="C34" s="41" t="inlineStr">
        <is>
          <t>Automated collection of articles or reports from monitored information sources.</t>
        </is>
      </c>
      <c r="D34" s="41" t="inlineStr">
        <is>
          <t>Common EventWatch terminology</t>
        </is>
      </c>
      <c r="E34" s="41" t="inlineStr">
        <is>
          <t>Various</t>
        </is>
      </c>
    </row>
    <row r="35" ht="30.75" customHeight="1">
      <c r="A35" s="42" t="inlineStr">
        <is>
          <t>Operational term</t>
        </is>
      </c>
      <c r="B35" s="41" t="inlineStr">
        <is>
          <t>Source coverage</t>
        </is>
      </c>
      <c r="C35" s="41" t="inlineStr">
        <is>
          <t>Availability and monitoring of relevant websites, feeds, registries, or publications.</t>
        </is>
      </c>
      <c r="D35" s="41" t="inlineStr">
        <is>
          <t>Common EventWatch terminology</t>
        </is>
      </c>
      <c r="E35" s="41" t="inlineStr">
        <is>
          <t>Various</t>
        </is>
      </c>
    </row>
    <row r="36" ht="30.75" customHeight="1">
      <c r="A36" s="42" t="inlineStr">
        <is>
          <t>Operational term</t>
        </is>
      </c>
      <c r="B36" s="41" t="inlineStr">
        <is>
          <t>Keyword Update</t>
        </is>
      </c>
      <c r="C36" s="41" t="inlineStr">
        <is>
          <t>Addition or refinement of search terms when available content was not identified correctly.</t>
        </is>
      </c>
      <c r="D36" s="41" t="inlineStr">
        <is>
          <t>Common EventWatch terminology</t>
        </is>
      </c>
      <c r="E36" s="41" t="inlineStr">
        <is>
          <t>Various</t>
        </is>
      </c>
    </row>
    <row r="37" ht="30.75" customHeight="1">
      <c r="A37" s="42" t="inlineStr">
        <is>
          <t>Operational term</t>
        </is>
      </c>
      <c r="B37" s="41" t="inlineStr">
        <is>
          <t>Geofencing</t>
        </is>
      </c>
      <c r="C37" s="41" t="inlineStr">
        <is>
          <t>Geographic impact logic used to associate an event area with customer or supplier locations.</t>
        </is>
      </c>
      <c r="D37" s="41" t="inlineStr">
        <is>
          <t>Common EventWatch terminology</t>
        </is>
      </c>
      <c r="E37" s="41" t="inlineStr">
        <is>
          <t>Various</t>
        </is>
      </c>
    </row>
    <row r="38" ht="30.75" customHeight="1">
      <c r="A38" s="42" t="inlineStr">
        <is>
          <t>Operational term</t>
        </is>
      </c>
      <c r="B38" s="41" t="inlineStr">
        <is>
          <t>Cluster</t>
        </is>
      </c>
      <c r="C38" s="41" t="inlineStr">
        <is>
          <t>Grouping of related articles or bulletins into one event record or WarRoom.</t>
        </is>
      </c>
      <c r="D38" s="41" t="inlineStr">
        <is>
          <t>Common EventWatch terminology</t>
        </is>
      </c>
      <c r="E38" s="41" t="inlineStr">
        <is>
          <t>Various</t>
        </is>
      </c>
    </row>
    <row r="39" ht="30.75" customHeight="1">
      <c r="A39" s="42" t="inlineStr">
        <is>
          <t>Operational term</t>
        </is>
      </c>
      <c r="B39" s="41" t="inlineStr">
        <is>
          <t>Human-in-the-loop review</t>
        </is>
      </c>
      <c r="C39" s="41" t="inlineStr">
        <is>
          <t>Analyst review that validates automated detection and decides whether to escalate or publish.</t>
        </is>
      </c>
      <c r="D39" s="41" t="inlineStr">
        <is>
          <t>Common EventWatch terminology</t>
        </is>
      </c>
      <c r="E39" s="41" t="inlineStr">
        <is>
          <t>Various</t>
        </is>
      </c>
    </row>
    <row r="40" ht="30.75" customHeight="1">
      <c r="A40" s="42" t="inlineStr">
        <is>
          <t>Operational term</t>
        </is>
      </c>
      <c r="B40" s="41" t="inlineStr">
        <is>
          <t>Impacted supplier</t>
        </is>
      </c>
      <c r="C40" s="41" t="inlineStr">
        <is>
          <t>Customer-mapped supplier assessed as potentially affected by an event.</t>
        </is>
      </c>
      <c r="D40" s="41" t="inlineStr">
        <is>
          <t>Common EventWatch terminology</t>
        </is>
      </c>
      <c r="E40" s="41" t="inlineStr">
        <is>
          <t>Various</t>
        </is>
      </c>
    </row>
    <row r="41" ht="30.75" customHeight="1">
      <c r="A41" s="42" t="inlineStr">
        <is>
          <t>Event type</t>
        </is>
      </c>
      <c r="B41" s="41" t="inlineStr">
        <is>
          <t>Bankruptcy</t>
        </is>
      </c>
      <c r="C41" s="41" t="inlineStr">
        <is>
          <t>Formal insolvency, bankruptcy filing, restructuring, or equivalent proceeding.</t>
        </is>
      </c>
      <c r="D41" s="41" t="inlineStr">
        <is>
          <t>Standard event category</t>
        </is>
      </c>
      <c r="E41" s="41" t="inlineStr">
        <is>
          <t>Event type</t>
        </is>
      </c>
    </row>
    <row r="42">
      <c r="A42" s="42" t="inlineStr">
        <is>
          <t>Event type</t>
        </is>
      </c>
      <c r="B42" s="41" t="inlineStr">
        <is>
          <t>Chemical Spill</t>
        </is>
      </c>
      <c r="C42" s="41" t="inlineStr">
        <is>
          <t>Release or leak of a hazardous chemical substance.</t>
        </is>
      </c>
      <c r="D42" s="41" t="inlineStr">
        <is>
          <t>Standard event category</t>
        </is>
      </c>
      <c r="E42" s="41" t="inlineStr">
        <is>
          <t>Event type</t>
        </is>
      </c>
    </row>
    <row r="43" ht="30.75" customHeight="1">
      <c r="A43" s="42" t="inlineStr">
        <is>
          <t>Event type</t>
        </is>
      </c>
      <c r="B43" s="41" t="inlineStr">
        <is>
          <t>Cyber Attack</t>
        </is>
      </c>
      <c r="C43" s="41" t="inlineStr">
        <is>
          <t>Cybersecurity incident such as ransomware, intrusion, compromise, or data breach.</t>
        </is>
      </c>
      <c r="D43" s="41" t="inlineStr">
        <is>
          <t>Standard event category</t>
        </is>
      </c>
      <c r="E43" s="41" t="inlineStr">
        <is>
          <t>Event type</t>
        </is>
      </c>
    </row>
    <row r="44">
      <c r="A44" s="42" t="inlineStr">
        <is>
          <t>Event type</t>
        </is>
      </c>
      <c r="B44" s="41" t="inlineStr">
        <is>
          <t>Earthquake</t>
        </is>
      </c>
      <c r="C44" s="41" t="inlineStr">
        <is>
          <t>Seismic event with potential operational or supply-chain impact.</t>
        </is>
      </c>
      <c r="D44" s="41" t="inlineStr">
        <is>
          <t>Standard event category</t>
        </is>
      </c>
      <c r="E44" s="41" t="inlineStr">
        <is>
          <t>Event type</t>
        </is>
      </c>
    </row>
    <row r="45" ht="30.75" customHeight="1">
      <c r="A45" s="42" t="inlineStr">
        <is>
          <t>Event type</t>
        </is>
      </c>
      <c r="B45" s="41" t="inlineStr">
        <is>
          <t>Extreme Weather</t>
        </is>
      </c>
      <c r="C45" s="41" t="inlineStr">
        <is>
          <t>Severe weather such as storms, flooding, drought, heat, or snowstorms. Tornado and Hurricane/Typhoon are separate categories and take precedence.</t>
        </is>
      </c>
      <c r="D45" s="41" t="inlineStr">
        <is>
          <t>Standard event category</t>
        </is>
      </c>
      <c r="E45" s="41" t="inlineStr">
        <is>
          <t>Event type</t>
        </is>
      </c>
    </row>
    <row r="46">
      <c r="A46" s="42" t="inlineStr">
        <is>
          <t>Event type</t>
        </is>
      </c>
      <c r="B46" s="41" t="inlineStr">
        <is>
          <t>Factory Closure</t>
        </is>
      </c>
      <c r="C46" s="41" t="inlineStr">
        <is>
          <t>Planned or unplanned closure of a manufacturing facility.</t>
        </is>
      </c>
      <c r="D46" s="41" t="inlineStr">
        <is>
          <t>Standard event category</t>
        </is>
      </c>
      <c r="E46" s="41" t="inlineStr">
        <is>
          <t>Event type</t>
        </is>
      </c>
    </row>
    <row r="47" ht="30.75" customHeight="1">
      <c r="A47" s="42" t="inlineStr">
        <is>
          <t>Event type</t>
        </is>
      </c>
      <c r="B47" s="41" t="inlineStr">
        <is>
          <t>Factory Disruption</t>
        </is>
      </c>
      <c r="C47" s="41" t="inlineStr">
        <is>
          <t>Operational interruption at a manufacturing facility that is not classified as closure or fire.</t>
        </is>
      </c>
      <c r="D47" s="41" t="inlineStr">
        <is>
          <t>Standard event category</t>
        </is>
      </c>
      <c r="E47" s="41" t="inlineStr">
        <is>
          <t>Event type</t>
        </is>
      </c>
    </row>
    <row r="48">
      <c r="A48" s="42" t="inlineStr">
        <is>
          <t>Event type</t>
        </is>
      </c>
      <c r="B48" s="41" t="inlineStr">
        <is>
          <t>Factory Fire</t>
        </is>
      </c>
      <c r="C48" s="41" t="inlineStr">
        <is>
          <t>Fire affecting a manufacturing, production, or storage facility.</t>
        </is>
      </c>
      <c r="D48" s="41" t="inlineStr">
        <is>
          <t>Standard event category</t>
        </is>
      </c>
      <c r="E48" s="41" t="inlineStr">
        <is>
          <t>Event type</t>
        </is>
      </c>
    </row>
    <row r="49" ht="30.75" customHeight="1">
      <c r="A49" s="42" t="inlineStr">
        <is>
          <t>Event type</t>
        </is>
      </c>
      <c r="B49" s="41" t="inlineStr">
        <is>
          <t>Financial Distress</t>
        </is>
      </c>
      <c r="C49" s="41" t="inlineStr">
        <is>
          <t>Material financial difficulty that does not yet constitute a formal bankruptcy event.</t>
        </is>
      </c>
      <c r="D49" s="41" t="inlineStr">
        <is>
          <t>Standard event category</t>
        </is>
      </c>
      <c r="E49" s="41" t="inlineStr">
        <is>
          <t>Event type</t>
        </is>
      </c>
    </row>
    <row r="50" ht="30.75" customHeight="1">
      <c r="A50" s="42" t="inlineStr">
        <is>
          <t>Event type</t>
        </is>
      </c>
      <c r="B50" s="41" t="inlineStr">
        <is>
          <t>Geopolitical</t>
        </is>
      </c>
      <c r="C50" s="41" t="inlineStr">
        <is>
          <t>Political, border, security, conflict, or humanitarian development affecting operations.</t>
        </is>
      </c>
      <c r="D50" s="41" t="inlineStr">
        <is>
          <t>Standard event category</t>
        </is>
      </c>
      <c r="E50" s="41" t="inlineStr">
        <is>
          <t>Event type</t>
        </is>
      </c>
    </row>
    <row r="51">
      <c r="A51" s="42" t="inlineStr">
        <is>
          <t>Event type</t>
        </is>
      </c>
      <c r="B51" s="41" t="inlineStr">
        <is>
          <t>Labor Disruption</t>
        </is>
      </c>
      <c r="C51" s="41" t="inlineStr">
        <is>
          <t>Strike, work stoppage, industrial action, or labor-related disruption.</t>
        </is>
      </c>
      <c r="D51" s="41" t="inlineStr">
        <is>
          <t>Standard event category</t>
        </is>
      </c>
      <c r="E51" s="41" t="inlineStr">
        <is>
          <t>Event type</t>
        </is>
      </c>
    </row>
    <row r="52">
      <c r="A52" s="42" t="inlineStr">
        <is>
          <t>Event type</t>
        </is>
      </c>
      <c r="B52" s="41" t="inlineStr">
        <is>
          <t>Leadership Transition</t>
        </is>
      </c>
      <c r="C52" s="41" t="inlineStr">
        <is>
          <t>Change in senior executive or organizational leadership.</t>
        </is>
      </c>
      <c r="D52" s="41" t="inlineStr">
        <is>
          <t>Standard event category</t>
        </is>
      </c>
      <c r="E52" s="41" t="inlineStr">
        <is>
          <t>Event type</t>
        </is>
      </c>
    </row>
    <row r="53">
      <c r="A53" s="42" t="inlineStr">
        <is>
          <t>Event type</t>
        </is>
      </c>
      <c r="B53" s="41" t="inlineStr">
        <is>
          <t>Merger &amp; Acquisition</t>
        </is>
      </c>
      <c r="C53" s="41" t="inlineStr">
        <is>
          <t>Merger, acquisition, divestiture, or comparable corporate transaction.</t>
        </is>
      </c>
      <c r="D53" s="41" t="inlineStr">
        <is>
          <t>Standard event category</t>
        </is>
      </c>
      <c r="E53" s="41" t="inlineStr">
        <is>
          <t>Event type</t>
        </is>
      </c>
    </row>
    <row r="54">
      <c r="A54" s="42" t="inlineStr">
        <is>
          <t>Event type</t>
        </is>
      </c>
      <c r="B54" s="41" t="inlineStr">
        <is>
          <t>N/A</t>
        </is>
      </c>
      <c r="C54" s="41" t="inlineStr">
        <is>
          <t>No applicable event category, generally used for non-event inquiries.</t>
        </is>
      </c>
      <c r="D54" s="41" t="inlineStr">
        <is>
          <t>Standard event category</t>
        </is>
      </c>
      <c r="E54" s="41" t="inlineStr">
        <is>
          <t>Event type</t>
        </is>
      </c>
    </row>
    <row r="55">
      <c r="A55" s="42" t="inlineStr">
        <is>
          <t>Event type</t>
        </is>
      </c>
      <c r="B55" s="41" t="inlineStr">
        <is>
          <t>Protest/Riot</t>
        </is>
      </c>
      <c r="C55" s="41" t="inlineStr">
        <is>
          <t>Demonstration, civil unrest, riot, or blockade driven by protest activity.</t>
        </is>
      </c>
      <c r="D55" s="41" t="inlineStr">
        <is>
          <t>Standard event category</t>
        </is>
      </c>
      <c r="E55" s="41" t="inlineStr">
        <is>
          <t>Event type</t>
        </is>
      </c>
    </row>
    <row r="56">
      <c r="A56" s="42" t="inlineStr">
        <is>
          <t>Event type</t>
        </is>
      </c>
      <c r="B56" s="41" t="inlineStr">
        <is>
          <t>Regulatory Change</t>
        </is>
      </c>
      <c r="C56" s="41" t="inlineStr">
        <is>
          <t>Government rule, sanction, export control, or regulatory action.</t>
        </is>
      </c>
      <c r="D56" s="41" t="inlineStr">
        <is>
          <t>Standard event category</t>
        </is>
      </c>
      <c r="E56" s="41" t="inlineStr">
        <is>
          <t>Event type</t>
        </is>
      </c>
    </row>
    <row r="57" ht="30.75" customHeight="1">
      <c r="A57" s="42" t="inlineStr">
        <is>
          <t>Event type</t>
        </is>
      </c>
      <c r="B57" s="41" t="inlineStr">
        <is>
          <t>Supply Shortage</t>
        </is>
      </c>
      <c r="C57" s="41" t="inlineStr">
        <is>
          <t>Shortage or constrained availability of materials, components, energy, or goods.</t>
        </is>
      </c>
      <c r="D57" s="41" t="inlineStr">
        <is>
          <t>Standard event category</t>
        </is>
      </c>
      <c r="E57" s="41" t="inlineStr">
        <is>
          <t>Event type</t>
        </is>
      </c>
    </row>
    <row r="58">
      <c r="A58" s="42" t="inlineStr">
        <is>
          <t>Event type</t>
        </is>
      </c>
      <c r="B58" s="41" t="inlineStr">
        <is>
          <t>Transport Disruption</t>
        </is>
      </c>
      <c r="C58" s="41" t="inlineStr">
        <is>
          <t>Disruption to roads, bridges, ports, rail, air, or logistics routes.</t>
        </is>
      </c>
      <c r="D58" s="41" t="inlineStr">
        <is>
          <t>Standard event category</t>
        </is>
      </c>
      <c r="E58" s="41" t="inlineStr">
        <is>
          <t>Event type</t>
        </is>
      </c>
    </row>
    <row r="59" ht="30.75" customHeight="1">
      <c r="A59" s="42" t="inlineStr">
        <is>
          <t>Event type</t>
        </is>
      </c>
      <c r="B59" s="41" t="inlineStr">
        <is>
          <t>Wildfire</t>
        </is>
      </c>
      <c r="C59" s="41" t="inlineStr">
        <is>
          <t>Uncontrolled vegetation fire with potential geographic or operational impact.</t>
        </is>
      </c>
      <c r="D59" s="41" t="inlineStr">
        <is>
          <t>Standard event category</t>
        </is>
      </c>
      <c r="E59" s="41" t="inlineStr">
        <is>
          <t>Event type</t>
        </is>
      </c>
    </row>
    <row r="60" ht="30.75" customHeight="1">
      <c r="A60" s="42" t="inlineStr">
        <is>
          <t>Issue type</t>
        </is>
      </c>
      <c r="B60" s="41" t="inlineStr">
        <is>
          <t>Complaint</t>
        </is>
      </c>
      <c r="C60" s="41" t="inlineStr">
        <is>
          <t>Customer reports a service failure, miss, delay, incorrect action, or other concern.</t>
        </is>
      </c>
      <c r="D60" s="41" t="inlineStr">
        <is>
          <t>Included in complaint metrics</t>
        </is>
      </c>
      <c r="E60" s="41" t="inlineStr">
        <is>
          <t>Issue Type</t>
        </is>
      </c>
    </row>
    <row r="61" ht="30.75" customHeight="1">
      <c r="A61" s="42" t="inlineStr">
        <is>
          <t>Issue type</t>
        </is>
      </c>
      <c r="B61" s="41" t="inlineStr">
        <is>
          <t>Inquiry</t>
        </is>
      </c>
      <c r="C61" s="41" t="inlineStr">
        <is>
          <t>Customer requests verification, explanation, or information without a confirmed service failure.</t>
        </is>
      </c>
      <c r="D61" s="41" t="inlineStr">
        <is>
          <t>Tracked separately from complaints</t>
        </is>
      </c>
      <c r="E61" s="41" t="inlineStr">
        <is>
          <t>Issue Type</t>
        </is>
      </c>
    </row>
    <row r="62" ht="30.75" customHeight="1">
      <c r="A62" s="42" t="inlineStr">
        <is>
          <t>Root cause</t>
        </is>
      </c>
      <c r="B62" s="41" t="inlineStr">
        <is>
          <t>People</t>
        </is>
      </c>
      <c r="C62" s="41" t="inlineStr">
        <is>
          <t>Human judgment, review, prioritization, publishing, or execution was the primary cause.</t>
        </is>
      </c>
      <c r="D62" s="41" t="inlineStr">
        <is>
          <t>Primary cause domain</t>
        </is>
      </c>
      <c r="E62" s="41" t="inlineStr">
        <is>
          <t>Root Cause</t>
        </is>
      </c>
    </row>
    <row r="63" ht="30.75" customHeight="1">
      <c r="A63" s="42" t="inlineStr">
        <is>
          <t>Root cause</t>
        </is>
      </c>
      <c r="B63" s="41" t="inlineStr">
        <is>
          <t>Process</t>
        </is>
      </c>
      <c r="C63" s="41" t="inlineStr">
        <is>
          <t>Policy, workflow, threshold, mapping method, or procedural design was the primary cause.</t>
        </is>
      </c>
      <c r="D63" s="41" t="inlineStr">
        <is>
          <t>Primary cause domain</t>
        </is>
      </c>
      <c r="E63" s="41" t="inlineStr">
        <is>
          <t>Root Cause</t>
        </is>
      </c>
    </row>
    <row r="64" ht="30.75" customHeight="1">
      <c r="A64" s="42" t="inlineStr">
        <is>
          <t>Root cause</t>
        </is>
      </c>
      <c r="B64" s="41" t="inlineStr">
        <is>
          <t>Product</t>
        </is>
      </c>
      <c r="C64" s="41" t="inlineStr">
        <is>
          <t>Technology, data ingestion, source coverage, detection, clustering, or platform behavior was the primary cause.</t>
        </is>
      </c>
      <c r="D64" s="41" t="inlineStr">
        <is>
          <t>Primary cause domain</t>
        </is>
      </c>
      <c r="E64" s="41" t="inlineStr">
        <is>
          <t>Root Cause</t>
        </is>
      </c>
    </row>
    <row r="65">
      <c r="A65" s="42" t="inlineStr">
        <is>
          <t>Sub-type</t>
        </is>
      </c>
      <c r="B65" s="41" t="inlineStr">
        <is>
          <t>Captured Late</t>
        </is>
      </c>
      <c r="C65" s="41" t="inlineStr">
        <is>
          <t>Relevant information entered the workflow later than required.</t>
        </is>
      </c>
      <c r="D65" s="41" t="inlineStr">
        <is>
          <t>Detailed cause/handling category</t>
        </is>
      </c>
      <c r="E65" s="41" t="inlineStr">
        <is>
          <t>Sub-type</t>
        </is>
      </c>
    </row>
    <row r="66">
      <c r="A66" s="42" t="inlineStr">
        <is>
          <t>Sub-type</t>
        </is>
      </c>
      <c r="B66" s="41" t="inlineStr">
        <is>
          <t>Duplication</t>
        </is>
      </c>
      <c r="C66" s="41" t="inlineStr">
        <is>
          <t>Related content was split into duplicate WarRooms or event records.</t>
        </is>
      </c>
      <c r="D66" s="41" t="inlineStr">
        <is>
          <t>Detailed cause/handling category</t>
        </is>
      </c>
      <c r="E66" s="41" t="inlineStr">
        <is>
          <t>Sub-type</t>
        </is>
      </c>
    </row>
    <row r="67" ht="30.75" customHeight="1">
      <c r="A67" s="42" t="inlineStr">
        <is>
          <t>Sub-type</t>
        </is>
      </c>
      <c r="B67" s="41" t="inlineStr">
        <is>
          <t>Event Identification</t>
        </is>
      </c>
      <c r="C67" s="41" t="inlineStr">
        <is>
          <t>The relevant event was not recognized or converted into reportable coverage.</t>
        </is>
      </c>
      <c r="D67" s="41" t="inlineStr">
        <is>
          <t>Detailed cause/handling category</t>
        </is>
      </c>
      <c r="E67" s="41" t="inlineStr">
        <is>
          <t>Sub-type</t>
        </is>
      </c>
    </row>
    <row r="68">
      <c r="A68" s="42" t="inlineStr">
        <is>
          <t>Sub-type</t>
        </is>
      </c>
      <c r="B68" s="41" t="inlineStr">
        <is>
          <t>Industry selection</t>
        </is>
      </c>
      <c r="C68" s="41" t="inlineStr">
        <is>
          <t>An incorrect or missing industry classification affected tracking.</t>
        </is>
      </c>
      <c r="D68" s="41" t="inlineStr">
        <is>
          <t>Detailed cause/handling category</t>
        </is>
      </c>
      <c r="E68" s="41" t="inlineStr">
        <is>
          <t>Sub-type</t>
        </is>
      </c>
    </row>
    <row r="69">
      <c r="A69" s="42" t="inlineStr">
        <is>
          <t>Sub-type</t>
        </is>
      </c>
      <c r="B69" s="41" t="inlineStr">
        <is>
          <t>Keyword Update</t>
        </is>
      </c>
      <c r="C69" s="41" t="inlineStr">
        <is>
          <t>Search or detection terms required addition or refinement.</t>
        </is>
      </c>
      <c r="D69" s="41" t="inlineStr">
        <is>
          <t>Detailed cause/handling category</t>
        </is>
      </c>
      <c r="E69" s="41" t="inlineStr">
        <is>
          <t>Sub-type</t>
        </is>
      </c>
    </row>
    <row r="70" ht="30.75" customHeight="1">
      <c r="A70" s="42" t="inlineStr">
        <is>
          <t>Sub-type</t>
        </is>
      </c>
      <c r="B70" s="41" t="inlineStr">
        <is>
          <t>Mapping</t>
        </is>
      </c>
      <c r="C70" s="41" t="inlineStr">
        <is>
          <t>Customer, supplier, company, facility, or impact relationship was missing or incorrect.</t>
        </is>
      </c>
      <c r="D70" s="41" t="inlineStr">
        <is>
          <t>Detailed cause/handling category</t>
        </is>
      </c>
      <c r="E70" s="41" t="inlineStr">
        <is>
          <t>Sub-type</t>
        </is>
      </c>
    </row>
    <row r="71">
      <c r="A71" s="42" t="inlineStr">
        <is>
          <t>Sub-type</t>
        </is>
      </c>
      <c r="B71" s="41" t="inlineStr">
        <is>
          <t>Policy/Logic</t>
        </is>
      </c>
      <c r="C71" s="41" t="inlineStr">
        <is>
          <t>A rule, threshold, or decision logic produced or explained the outcome.</t>
        </is>
      </c>
      <c r="D71" s="41" t="inlineStr">
        <is>
          <t>Detailed cause/handling category</t>
        </is>
      </c>
      <c r="E71" s="41" t="inlineStr">
        <is>
          <t>Sub-type</t>
        </is>
      </c>
    </row>
    <row r="72">
      <c r="A72" s="42" t="inlineStr">
        <is>
          <t>Sub-type</t>
        </is>
      </c>
      <c r="B72" s="41" t="inlineStr">
        <is>
          <t>Prioritization</t>
        </is>
      </c>
      <c r="C72" s="41" t="inlineStr">
        <is>
          <t>A detected item was not handled with the required urgency.</t>
        </is>
      </c>
      <c r="D72" s="41" t="inlineStr">
        <is>
          <t>Detailed cause/handling category</t>
        </is>
      </c>
      <c r="E72" s="41" t="inlineStr">
        <is>
          <t>Sub-type</t>
        </is>
      </c>
    </row>
    <row r="73" ht="30.75" customHeight="1">
      <c r="A73" s="42" t="inlineStr">
        <is>
          <t>Sub-type</t>
        </is>
      </c>
      <c r="B73" s="41" t="inlineStr">
        <is>
          <t>Process Clarification</t>
        </is>
      </c>
      <c r="C73" s="41" t="inlineStr">
        <is>
          <t>The case required explanation of policy, thresholds, or workflow rather than defect correction.</t>
        </is>
      </c>
      <c r="D73" s="41" t="inlineStr">
        <is>
          <t>Detailed cause/handling category</t>
        </is>
      </c>
      <c r="E73" s="41" t="inlineStr">
        <is>
          <t>Sub-type</t>
        </is>
      </c>
    </row>
    <row r="74" ht="30.75" customHeight="1">
      <c r="A74" s="42" t="inlineStr">
        <is>
          <t>Sub-type</t>
        </is>
      </c>
      <c r="B74" s="41" t="inlineStr">
        <is>
          <t>Relevancy</t>
        </is>
      </c>
      <c r="C74" s="41" t="inlineStr">
        <is>
          <t>The item’s relevance to the customer or EventWatch scope was disputed or incorrectly assessed.</t>
        </is>
      </c>
      <c r="D74" s="41" t="inlineStr">
        <is>
          <t>Detailed cause/handling category</t>
        </is>
      </c>
      <c r="E74" s="41" t="inlineStr">
        <is>
          <t>Sub-type</t>
        </is>
      </c>
    </row>
    <row r="75">
      <c r="A75" s="42" t="inlineStr">
        <is>
          <t>Sub-type</t>
        </is>
      </c>
      <c r="B75" s="41" t="inlineStr">
        <is>
          <t>Review</t>
        </is>
      </c>
      <c r="C75" s="41" t="inlineStr">
        <is>
          <t>Human assessment or quality review led to the issue.</t>
        </is>
      </c>
      <c r="D75" s="41" t="inlineStr">
        <is>
          <t>Detailed cause/handling category</t>
        </is>
      </c>
      <c r="E75" s="41" t="inlineStr">
        <is>
          <t>Sub-type</t>
        </is>
      </c>
    </row>
    <row r="76" ht="30.75" customHeight="1">
      <c r="A76" s="42" t="inlineStr">
        <is>
          <t>Sub-type</t>
        </is>
      </c>
      <c r="B76" s="41" t="inlineStr">
        <is>
          <t>Source Coverage</t>
        </is>
      </c>
      <c r="C76" s="41" t="inlineStr">
        <is>
          <t>The relevant source was unavailable, unmonitored, restricted, or not harvested.</t>
        </is>
      </c>
      <c r="D76" s="41" t="inlineStr">
        <is>
          <t>Detailed cause/handling category</t>
        </is>
      </c>
      <c r="E76" s="41" t="inlineStr">
        <is>
          <t>Sub-type</t>
        </is>
      </c>
    </row>
    <row r="77">
      <c r="A77" s="42" t="inlineStr">
        <is>
          <t>Sub-type</t>
        </is>
      </c>
      <c r="B77" s="41" t="inlineStr">
        <is>
          <t>Strategy</t>
        </is>
      </c>
      <c r="C77" s="41" t="inlineStr">
        <is>
          <t>The concern relates to reporting or consolidation strategy.</t>
        </is>
      </c>
      <c r="D77" s="41" t="inlineStr">
        <is>
          <t>Detailed cause/handling category</t>
        </is>
      </c>
      <c r="E77" s="41" t="inlineStr">
        <is>
          <t>Sub-type</t>
        </is>
      </c>
    </row>
    <row r="78">
      <c r="A78" s="42" t="inlineStr">
        <is>
          <t>Sub-type</t>
        </is>
      </c>
      <c r="B78" s="41" t="inlineStr">
        <is>
          <t>Tagging</t>
        </is>
      </c>
      <c r="C78" s="41" t="inlineStr">
        <is>
          <t>A required category or industry tag was missing or incorrect.</t>
        </is>
      </c>
      <c r="D78" s="41" t="inlineStr">
        <is>
          <t>Detailed cause/handling category</t>
        </is>
      </c>
      <c r="E78" s="41" t="inlineStr">
        <is>
          <t>Sub-type</t>
        </is>
      </c>
    </row>
    <row r="79" ht="30.75" customHeight="1">
      <c r="A79" s="42" t="inlineStr">
        <is>
          <t>Sub-type</t>
        </is>
      </c>
      <c r="B79" s="41" t="inlineStr">
        <is>
          <t>Visibility</t>
        </is>
      </c>
      <c r="C79" s="41" t="inlineStr">
        <is>
          <t>Published content was not visible because of profile, portal, notification, or display conditions.</t>
        </is>
      </c>
      <c r="D79" s="41" t="inlineStr">
        <is>
          <t>Detailed cause/handling category</t>
        </is>
      </c>
      <c r="E79" s="41" t="inlineStr">
        <is>
          <t>Sub-type</t>
        </is>
      </c>
    </row>
    <row r="80" ht="30.75" customHeight="1">
      <c r="A80" s="42" t="inlineStr">
        <is>
          <t>Sub-type</t>
        </is>
      </c>
      <c r="B80" s="41" t="inlineStr">
        <is>
          <t>WarRoom Creation</t>
        </is>
      </c>
      <c r="C80" s="41" t="inlineStr">
        <is>
          <t>A required WarRoom was not created despite available EventWatch coverage.</t>
        </is>
      </c>
      <c r="D80" s="41" t="inlineStr">
        <is>
          <t>Detailed cause/handling category</t>
        </is>
      </c>
      <c r="E80" s="41" t="inlineStr">
        <is>
          <t>Sub-type</t>
        </is>
      </c>
    </row>
    <row r="81" ht="30.75" customHeight="1">
      <c r="A81" s="42" t="inlineStr">
        <is>
          <t>Improvement classification</t>
        </is>
      </c>
      <c r="B81" s="41" t="inlineStr">
        <is>
          <t>Improvement</t>
        </is>
      </c>
      <c r="C81" s="41" t="inlineStr">
        <is>
          <t>Control, workflow, model, or monitoring enhancement rather than correction of a confirmed defect.</t>
        </is>
      </c>
      <c r="D81" s="41" t="inlineStr">
        <is>
          <t>Enhancement</t>
        </is>
      </c>
      <c r="E81" s="41" t="inlineStr">
        <is>
          <t>Improvement VS Bug</t>
        </is>
      </c>
    </row>
    <row r="82" ht="30.75" customHeight="1">
      <c r="A82" s="42" t="inlineStr">
        <is>
          <t>Improvement classification</t>
        </is>
      </c>
      <c r="B82" s="41" t="inlineStr">
        <is>
          <t>Bug</t>
        </is>
      </c>
      <c r="C82" s="41" t="inlineStr">
        <is>
          <t>Confirmed product or engineering defect requiring correction.</t>
        </is>
      </c>
      <c r="D82" s="41" t="inlineStr">
        <is>
          <t>Defect</t>
        </is>
      </c>
      <c r="E82" s="41" t="inlineStr">
        <is>
          <t>Improvement VS Bug</t>
        </is>
      </c>
    </row>
    <row r="83">
      <c r="A83" s="42" t="inlineStr">
        <is>
          <t>Fix status</t>
        </is>
      </c>
      <c r="B83" s="41" t="inlineStr">
        <is>
          <t>Fixed</t>
        </is>
      </c>
      <c r="C83" s="41" t="inlineStr">
        <is>
          <t>Immediate corrective action was completed.</t>
        </is>
      </c>
      <c r="D83" s="41" t="inlineStr">
        <is>
          <t>Current resolution state</t>
        </is>
      </c>
      <c r="E83" s="41" t="inlineStr">
        <is>
          <t>Short Term Fix Status</t>
        </is>
      </c>
    </row>
    <row r="84">
      <c r="A84" s="42" t="inlineStr">
        <is>
          <t>Fix status</t>
        </is>
      </c>
      <c r="B84" s="41" t="inlineStr">
        <is>
          <t>RCA Shared</t>
        </is>
      </c>
      <c r="C84" s="41" t="inlineStr">
        <is>
          <t>The root cause analysis was completed and shared with the customer.</t>
        </is>
      </c>
      <c r="D84" s="41" t="inlineStr">
        <is>
          <t>Current resolution state</t>
        </is>
      </c>
      <c r="E84" s="41" t="inlineStr">
        <is>
          <t>Short Term Fix Status</t>
        </is>
      </c>
    </row>
    <row r="85" ht="30.75" customHeight="1">
      <c r="A85" s="42" t="inlineStr">
        <is>
          <t>Fix status</t>
        </is>
      </c>
      <c r="B85" s="41" t="inlineStr">
        <is>
          <t>Clarification Provided</t>
        </is>
      </c>
      <c r="C85" s="41" t="inlineStr">
        <is>
          <t>The customer received an explanation, verification result, or policy/process clarification.</t>
        </is>
      </c>
      <c r="D85" s="41" t="inlineStr">
        <is>
          <t>Current resolution state</t>
        </is>
      </c>
      <c r="E85" s="41" t="inlineStr">
        <is>
          <t>Short Term Fix Status</t>
        </is>
      </c>
    </row>
    <row r="86">
      <c r="A86" s="42" t="inlineStr">
        <is>
          <t>Boolean flag</t>
        </is>
      </c>
      <c r="B86" s="41" t="inlineStr">
        <is>
          <t>Yes — RCA Requested</t>
        </is>
      </c>
      <c r="C86" s="41" t="inlineStr">
        <is>
          <t>A formal root cause analysis was requested.</t>
        </is>
      </c>
      <c r="D86" s="41" t="inlineStr">
        <is>
          <t>Yes</t>
        </is>
      </c>
      <c r="E86" s="41" t="inlineStr">
        <is>
          <t>RCA Requested</t>
        </is>
      </c>
    </row>
    <row r="87">
      <c r="A87" s="42" t="inlineStr">
        <is>
          <t>Boolean flag</t>
        </is>
      </c>
      <c r="B87" s="41" t="inlineStr">
        <is>
          <t>No — RCA Requested</t>
        </is>
      </c>
      <c r="C87" s="41" t="inlineStr">
        <is>
          <t>No formal root cause analysis was requested.</t>
        </is>
      </c>
      <c r="D87" s="41" t="inlineStr">
        <is>
          <t>No</t>
        </is>
      </c>
      <c r="E87" s="41" t="inlineStr">
        <is>
          <t>RCA Requested</t>
        </is>
      </c>
    </row>
    <row r="88" ht="30.75" customHeight="1">
      <c r="A88" s="42" t="inlineStr">
        <is>
          <t>Boolean flag</t>
        </is>
      </c>
      <c r="B88" s="41" t="inlineStr">
        <is>
          <t>Yes — Missed_Flag</t>
        </is>
      </c>
      <c r="C88" s="41" t="inlineStr">
        <is>
          <t>Expected coverage, alerting, escalation, or WarRoom action was missed or materially delayed.</t>
        </is>
      </c>
      <c r="D88" s="41" t="inlineStr">
        <is>
          <t>Yes</t>
        </is>
      </c>
      <c r="E88" s="41" t="inlineStr">
        <is>
          <t>Missed_Flag</t>
        </is>
      </c>
    </row>
    <row r="89" ht="30.75" customHeight="1">
      <c r="A89" s="42" t="inlineStr">
        <is>
          <t>Boolean flag</t>
        </is>
      </c>
      <c r="B89" s="41" t="inlineStr">
        <is>
          <t>No — Missed_Flag</t>
        </is>
      </c>
      <c r="C89" s="41" t="inlineStr">
        <is>
          <t>No confirmed reporting miss; the case concerns clarification, relevancy, mapping, duplication, or another non-miss issue.</t>
        </is>
      </c>
      <c r="D89" s="41" t="inlineStr">
        <is>
          <t>No</t>
        </is>
      </c>
      <c r="E89" s="41" t="inlineStr">
        <is>
          <t>Missed_Flag</t>
        </is>
      </c>
    </row>
    <row r="90">
      <c r="A90" s="42" t="inlineStr">
        <is>
          <t>Severity</t>
        </is>
      </c>
      <c r="B90" s="41" t="inlineStr">
        <is>
          <t>High</t>
        </is>
      </c>
      <c r="C90" s="41" t="inlineStr">
        <is>
          <t>Material impact or priority requiring elevated management attention.</t>
        </is>
      </c>
      <c r="D90" s="41" t="inlineStr">
        <is>
          <t>Priority level</t>
        </is>
      </c>
      <c r="E90" s="41" t="inlineStr">
        <is>
          <t>Severity</t>
        </is>
      </c>
    </row>
    <row r="91">
      <c r="A91" s="42" t="inlineStr">
        <is>
          <t>Severity</t>
        </is>
      </c>
      <c r="B91" s="41" t="inlineStr">
        <is>
          <t>Medium</t>
        </is>
      </c>
      <c r="C91" s="41" t="inlineStr">
        <is>
          <t>Standard operational complaint or issue requiring tracked response.</t>
        </is>
      </c>
      <c r="D91" s="41" t="inlineStr">
        <is>
          <t>Priority level</t>
        </is>
      </c>
      <c r="E91" s="41" t="inlineStr">
        <is>
          <t>Severity</t>
        </is>
      </c>
    </row>
    <row r="92">
      <c r="A92" s="42" t="inlineStr">
        <is>
          <t>Severity</t>
        </is>
      </c>
      <c r="B92" s="41" t="inlineStr">
        <is>
          <t>Low</t>
        </is>
      </c>
      <c r="C92" s="41" t="inlineStr">
        <is>
          <t>Limited-impact inquiry or quality issue with lower operational urgency.</t>
        </is>
      </c>
      <c r="D92" s="41" t="inlineStr">
        <is>
          <t>Priority level</t>
        </is>
      </c>
      <c r="E92" s="41" t="inlineStr">
        <is>
          <t>Severity</t>
        </is>
      </c>
    </row>
    <row r="93">
      <c r="A93" s="42" t="inlineStr">
        <is>
          <t>Automation focus</t>
        </is>
      </c>
      <c r="B93" s="41" t="inlineStr">
        <is>
          <t>AI-Assisted Geofencing</t>
        </is>
      </c>
      <c r="C93" s="41" t="inlineStr">
        <is>
          <t>Automate or improve impact-area creation and location validation.</t>
        </is>
      </c>
      <c r="D93" s="41" t="inlineStr">
        <is>
          <t>Standardized dashboard category</t>
        </is>
      </c>
      <c r="E93" s="41" t="inlineStr">
        <is>
          <t>Standard Automation Focus</t>
        </is>
      </c>
    </row>
    <row r="94">
      <c r="A94" s="42" t="inlineStr">
        <is>
          <t>Automation focus</t>
        </is>
      </c>
      <c r="B94" s="41" t="inlineStr">
        <is>
          <t>Automated Industry Tagging</t>
        </is>
      </c>
      <c r="C94" s="41" t="inlineStr">
        <is>
          <t>Automatically assign and validate industry classifications.</t>
        </is>
      </c>
      <c r="D94" s="41" t="inlineStr">
        <is>
          <t>Standardized dashboard category</t>
        </is>
      </c>
      <c r="E94" s="41" t="inlineStr">
        <is>
          <t>Standard Automation Focus</t>
        </is>
      </c>
    </row>
    <row r="95" ht="30.75" customHeight="1">
      <c r="A95" s="42" t="inlineStr">
        <is>
          <t>Automation focus</t>
        </is>
      </c>
      <c r="B95" s="41" t="inlineStr">
        <is>
          <t>Cluster Integrity &amp; Duplicate Prevention</t>
        </is>
      </c>
      <c r="C95" s="41" t="inlineStr">
        <is>
          <t>Detect duplicate/split clusters and preserve one coherent event sequence.</t>
        </is>
      </c>
      <c r="D95" s="41" t="inlineStr">
        <is>
          <t>Standardized dashboard category</t>
        </is>
      </c>
      <c r="E95" s="41" t="inlineStr">
        <is>
          <t>Standard Automation Focus</t>
        </is>
      </c>
    </row>
    <row r="96">
      <c r="A96" s="42" t="inlineStr">
        <is>
          <t>Automation focus</t>
        </is>
      </c>
      <c r="B96" s="41" t="inlineStr">
        <is>
          <t>Dynamic Source Discovery</t>
        </is>
      </c>
      <c r="C96" s="41" t="inlineStr">
        <is>
          <t>Identify, onboard, and monitor new or missing sources dynamically.</t>
        </is>
      </c>
      <c r="D96" s="41" t="inlineStr">
        <is>
          <t>Standardized dashboard category</t>
        </is>
      </c>
      <c r="E96" s="41" t="inlineStr">
        <is>
          <t>Standard Automation Focus</t>
        </is>
      </c>
    </row>
    <row r="97" ht="30.75" customHeight="1">
      <c r="A97" s="42" t="inlineStr">
        <is>
          <t>Automation focus</t>
        </is>
      </c>
      <c r="B97" s="41" t="inlineStr">
        <is>
          <t>Entity &amp; Supplier Resolution</t>
        </is>
      </c>
      <c r="C97" s="41" t="inlineStr">
        <is>
          <t>Resolve company, facility, supplier, and customer relationships accurately.</t>
        </is>
      </c>
      <c r="D97" s="41" t="inlineStr">
        <is>
          <t>Standardized dashboard category</t>
        </is>
      </c>
      <c r="E97" s="41" t="inlineStr">
        <is>
          <t>Standard Automation Focus</t>
        </is>
      </c>
    </row>
    <row r="98" ht="30.75" customHeight="1">
      <c r="A98" s="42" t="inlineStr">
        <is>
          <t>Automation focus</t>
        </is>
      </c>
      <c r="B98" s="41" t="inlineStr">
        <is>
          <t>Multilingual Keyword Expansion</t>
        </is>
      </c>
      <c r="C98" s="41" t="inlineStr">
        <is>
          <t>Expand and maintain detection terms across languages and regional variations.</t>
        </is>
      </c>
      <c r="D98" s="41" t="inlineStr">
        <is>
          <t>Standardized dashboard category</t>
        </is>
      </c>
      <c r="E98" s="41" t="inlineStr">
        <is>
          <t>Standard Automation Focus</t>
        </is>
      </c>
    </row>
    <row r="99" ht="30.75" customHeight="1">
      <c r="A99" s="42" t="inlineStr">
        <is>
          <t>Automation focus</t>
        </is>
      </c>
      <c r="B99" s="41" t="inlineStr">
        <is>
          <t>Notification Visibility Monitoring</t>
        </is>
      </c>
      <c r="C99" s="41" t="inlineStr">
        <is>
          <t>Monitor whether published alerts and WarRooms are visible and delivered to the customer.</t>
        </is>
      </c>
      <c r="D99" s="41" t="inlineStr">
        <is>
          <t>Standardized dashboard category</t>
        </is>
      </c>
      <c r="E99" s="41" t="inlineStr">
        <is>
          <t>Standard Automation Focus</t>
        </is>
      </c>
    </row>
    <row r="100">
      <c r="A100" s="42" t="inlineStr">
        <is>
          <t>Automation focus</t>
        </is>
      </c>
      <c r="B100" s="41" t="inlineStr">
        <is>
          <t>Other Control Automation</t>
        </is>
      </c>
      <c r="C100" s="41" t="inlineStr">
        <is>
          <t>Automation that does not fit another standardized focus category.</t>
        </is>
      </c>
      <c r="D100" s="41" t="inlineStr">
        <is>
          <t>Standardized dashboard category</t>
        </is>
      </c>
      <c r="E100" s="41" t="inlineStr">
        <is>
          <t>Standard Automation Focus</t>
        </is>
      </c>
    </row>
    <row r="101" ht="30.75" customHeight="1">
      <c r="A101" s="42" t="inlineStr">
        <is>
          <t>Automation focus</t>
        </is>
      </c>
      <c r="B101" s="41" t="inlineStr">
        <is>
          <t>WarRoom &amp; Decision Validation</t>
        </is>
      </c>
      <c r="C101" s="41" t="inlineStr">
        <is>
          <t>Validate impact decisions, escalation, publishing, and WarRoom creation.</t>
        </is>
      </c>
      <c r="D101" s="41" t="inlineStr">
        <is>
          <t>Standardized dashboard category</t>
        </is>
      </c>
      <c r="E101" s="41" t="inlineStr">
        <is>
          <t>Standard Automation Focus</t>
        </is>
      </c>
    </row>
    <row r="102" ht="30.75" customHeight="1">
      <c r="A102" s="42" t="inlineStr">
        <is>
          <t>Reason label</t>
        </is>
      </c>
      <c r="B102" s="41" t="inlineStr">
        <is>
          <t>Coverage Verification Request</t>
        </is>
      </c>
      <c r="C102" s="41" t="inlineStr">
        <is>
          <t>Customer requested confirmation of coverage, facts, or system behavior.</t>
        </is>
      </c>
      <c r="D102" s="41" t="inlineStr">
        <is>
          <t>Use only when supported by Comments and Missed_Flag</t>
        </is>
      </c>
      <c r="E102" s="41" t="inlineStr">
        <is>
          <t>Reason</t>
        </is>
      </c>
    </row>
    <row r="103" ht="30.75" customHeight="1">
      <c r="A103" s="42" t="inlineStr">
        <is>
          <t>Reason label</t>
        </is>
      </c>
      <c r="B103" s="41" t="inlineStr">
        <is>
          <t>Customer Requested Verification</t>
        </is>
      </c>
      <c r="C103" s="41" t="inlineStr">
        <is>
          <t>Customer requested confirmation of coverage, facts, or system behavior.</t>
        </is>
      </c>
      <c r="D103" s="41" t="inlineStr">
        <is>
          <t>Use only when supported by Comments and Missed_Flag</t>
        </is>
      </c>
      <c r="E103" s="41" t="inlineStr">
        <is>
          <t>Reason</t>
        </is>
      </c>
    </row>
    <row r="104" ht="30.75" customHeight="1">
      <c r="A104" s="42" t="inlineStr">
        <is>
          <t>Reason label</t>
        </is>
      </c>
      <c r="B104" s="41" t="inlineStr">
        <is>
          <t>Customer Terminology Preference</t>
        </is>
      </c>
      <c r="C104" s="41" t="inlineStr">
        <is>
          <t>Customer requested wording or naming alignment rather than correction of a reporting failure.</t>
        </is>
      </c>
      <c r="D104" s="41" t="inlineStr">
        <is>
          <t>Use only when supported by Comments and Missed_Flag</t>
        </is>
      </c>
      <c r="E104" s="41" t="inlineStr">
        <is>
          <t>Reason</t>
        </is>
      </c>
    </row>
    <row r="105" ht="30.75" customHeight="1">
      <c r="A105" s="42" t="inlineStr">
        <is>
          <t>Reason label</t>
        </is>
      </c>
      <c r="B105" s="41" t="inlineStr">
        <is>
          <t>Delay in creating separate WarRoom / delayed escalation</t>
        </is>
      </c>
      <c r="C105" s="41" t="inlineStr">
        <is>
          <t>Expected reporting, escalation, notification, or WarRoom creation occurred later than required.</t>
        </is>
      </c>
      <c r="D105" s="41" t="inlineStr">
        <is>
          <t>Use only when supported by Comments and Missed_Flag</t>
        </is>
      </c>
      <c r="E105" s="41" t="inlineStr">
        <is>
          <t>Reason</t>
        </is>
      </c>
    </row>
    <row r="106" ht="30.75" customHeight="1">
      <c r="A106" s="42" t="inlineStr">
        <is>
          <t>Reason label</t>
        </is>
      </c>
      <c r="B106" s="41" t="inlineStr">
        <is>
          <t>Delayed / Missing WarRoom</t>
        </is>
      </c>
      <c r="C106" s="41" t="inlineStr">
        <is>
          <t>Expected reporting, escalation, notification, or WarRoom creation occurred later than required.</t>
        </is>
      </c>
      <c r="D106" s="41" t="inlineStr">
        <is>
          <t>Use only when supported by Comments and Missed_Flag</t>
        </is>
      </c>
      <c r="E106" s="41" t="inlineStr">
        <is>
          <t>Reason</t>
        </is>
      </c>
    </row>
    <row r="107" ht="30.75" customHeight="1">
      <c r="A107" s="42" t="inlineStr">
        <is>
          <t>Reason label</t>
        </is>
      </c>
      <c r="B107" s="41" t="inlineStr">
        <is>
          <t>Delayed Event</t>
        </is>
      </c>
      <c r="C107" s="41" t="inlineStr">
        <is>
          <t>Expected reporting, escalation, notification, or WarRoom creation occurred later than required.</t>
        </is>
      </c>
      <c r="D107" s="41" t="inlineStr">
        <is>
          <t>Use only when supported by Comments and Missed_Flag</t>
        </is>
      </c>
      <c r="E107" s="41" t="inlineStr">
        <is>
          <t>Reason</t>
        </is>
      </c>
    </row>
    <row r="108" ht="30.75" customHeight="1">
      <c r="A108" s="42" t="inlineStr">
        <is>
          <t>Reason label</t>
        </is>
      </c>
      <c r="B108" s="41" t="inlineStr">
        <is>
          <t>Delayed WarRoom</t>
        </is>
      </c>
      <c r="C108" s="41" t="inlineStr">
        <is>
          <t>Expected reporting, escalation, notification, or WarRoom creation occurred later than required.</t>
        </is>
      </c>
      <c r="D108" s="41" t="inlineStr">
        <is>
          <t>Use only when supported by Comments and Missed_Flag</t>
        </is>
      </c>
      <c r="E108" s="41" t="inlineStr">
        <is>
          <t>Reason</t>
        </is>
      </c>
    </row>
    <row r="109" ht="30.75" customHeight="1">
      <c r="A109" s="42" t="inlineStr">
        <is>
          <t>Reason label</t>
        </is>
      </c>
      <c r="B109" s="41" t="inlineStr">
        <is>
          <t>Delayed alert / WarRoom created late</t>
        </is>
      </c>
      <c r="C109" s="41" t="inlineStr">
        <is>
          <t>Expected reporting, escalation, notification, or WarRoom creation occurred later than required.</t>
        </is>
      </c>
      <c r="D109" s="41" t="inlineStr">
        <is>
          <t>Use only when supported by Comments and Missed_Flag</t>
        </is>
      </c>
      <c r="E109" s="41" t="inlineStr">
        <is>
          <t>Reason</t>
        </is>
      </c>
    </row>
    <row r="110" ht="30.75" customHeight="1">
      <c r="A110" s="42" t="inlineStr">
        <is>
          <t>Reason label</t>
        </is>
      </c>
      <c r="B110" s="41" t="inlineStr">
        <is>
          <t>Duplicate WarRooms</t>
        </is>
      </c>
      <c r="C110" s="41" t="inlineStr">
        <is>
          <t>Related content was distributed across more than one WarRoom.</t>
        </is>
      </c>
      <c r="D110" s="41" t="inlineStr">
        <is>
          <t>Use only when supported by Comments and Missed_Flag</t>
        </is>
      </c>
      <c r="E110" s="41" t="inlineStr">
        <is>
          <t>Reason</t>
        </is>
      </c>
    </row>
    <row r="111" ht="30.75" customHeight="1">
      <c r="A111" s="42" t="inlineStr">
        <is>
          <t>Reason label</t>
        </is>
      </c>
      <c r="B111" s="41" t="inlineStr">
        <is>
          <t>Event not triggered / not notified</t>
        </is>
      </c>
      <c r="C111" s="41" t="inlineStr">
        <is>
          <t>Expected EventWatch coverage, alerting, notification, or WarRoom action did not occur.</t>
        </is>
      </c>
      <c r="D111" s="41" t="inlineStr">
        <is>
          <t>Use only when supported by Comments and Missed_Flag</t>
        </is>
      </c>
      <c r="E111" s="41" t="inlineStr">
        <is>
          <t>Reason</t>
        </is>
      </c>
    </row>
    <row r="112" ht="30.75" customHeight="1">
      <c r="A112" s="42" t="inlineStr">
        <is>
          <t>Reason label</t>
        </is>
      </c>
      <c r="B112" s="41" t="inlineStr">
        <is>
          <t>Geographic Coverage Clarification</t>
        </is>
      </c>
      <c r="C112" s="41" t="inlineStr">
        <is>
          <t>Customer requested explanation of the geographic scope or impact-area method.</t>
        </is>
      </c>
      <c r="D112" s="41" t="inlineStr">
        <is>
          <t>Use only when supported by Comments and Missed_Flag</t>
        </is>
      </c>
      <c r="E112" s="41" t="inlineStr">
        <is>
          <t>Reason</t>
        </is>
      </c>
    </row>
    <row r="113" ht="30.75" customHeight="1">
      <c r="A113" s="42" t="inlineStr">
        <is>
          <t>Reason label</t>
        </is>
      </c>
      <c r="B113" s="41" t="inlineStr">
        <is>
          <t>Geographic Misclassification</t>
        </is>
      </c>
      <c r="C113" s="41" t="inlineStr">
        <is>
          <t>An event or location was assigned to an incorrect geographic impact area.</t>
        </is>
      </c>
      <c r="D113" s="41" t="inlineStr">
        <is>
          <t>Use only when supported by Comments and Missed_Flag</t>
        </is>
      </c>
      <c r="E113" s="41" t="inlineStr">
        <is>
          <t>Reason</t>
        </is>
      </c>
    </row>
    <row r="114" ht="30.75" customHeight="1">
      <c r="A114" s="42" t="inlineStr">
        <is>
          <t>Reason label</t>
        </is>
      </c>
      <c r="B114" s="41" t="inlineStr">
        <is>
          <t>Impacted Supplier Missing</t>
        </is>
      </c>
      <c r="C114" s="41" t="inlineStr">
        <is>
          <t>A relevant mapped supplier was omitted from the impacted-supplier selection.</t>
        </is>
      </c>
      <c r="D114" s="41" t="inlineStr">
        <is>
          <t>Use only when supported by Comments and Missed_Flag</t>
        </is>
      </c>
      <c r="E114" s="41" t="inlineStr">
        <is>
          <t>Reason</t>
        </is>
      </c>
    </row>
    <row r="115" ht="30.75" customHeight="1">
      <c r="A115" s="42" t="inlineStr">
        <is>
          <t>Reason label</t>
        </is>
      </c>
      <c r="B115" s="41" t="inlineStr">
        <is>
          <t>Incorrect Action</t>
        </is>
      </c>
      <c r="C115" s="41" t="inlineStr">
        <is>
          <t>EventWatch action or handling was incorrect even though the event itself may not have been missed.</t>
        </is>
      </c>
      <c r="D115" s="41" t="inlineStr">
        <is>
          <t>Use only when supported by Comments and Missed_Flag</t>
        </is>
      </c>
      <c r="E115" s="41" t="inlineStr">
        <is>
          <t>Reason</t>
        </is>
      </c>
    </row>
    <row r="116" ht="30.75" customHeight="1">
      <c r="A116" s="42" t="inlineStr">
        <is>
          <t>Reason label</t>
        </is>
      </c>
      <c r="B116" s="41" t="inlineStr">
        <is>
          <t>Incorrect Industry selection</t>
        </is>
      </c>
      <c r="C116" s="41" t="inlineStr">
        <is>
          <t>The expected industry classification was missing or incorrect.</t>
        </is>
      </c>
      <c r="D116" s="41" t="inlineStr">
        <is>
          <t>Use only when supported by Comments and Missed_Flag</t>
        </is>
      </c>
      <c r="E116" s="41" t="inlineStr">
        <is>
          <t>Reason</t>
        </is>
      </c>
    </row>
    <row r="117" ht="30.75" customHeight="1">
      <c r="A117" s="42" t="inlineStr">
        <is>
          <t>Reason label</t>
        </is>
      </c>
      <c r="B117" s="41" t="inlineStr">
        <is>
          <t>Missed + Delayed Reporting</t>
        </is>
      </c>
      <c r="C117" s="41" t="inlineStr">
        <is>
          <t>Expected reporting, escalation, notification, or WarRoom creation occurred later than required.</t>
        </is>
      </c>
      <c r="D117" s="41" t="inlineStr">
        <is>
          <t>Use only when supported by Comments and Missed_Flag</t>
        </is>
      </c>
      <c r="E117" s="41" t="inlineStr">
        <is>
          <t>Reason</t>
        </is>
      </c>
    </row>
    <row r="118" ht="30.75" customHeight="1">
      <c r="A118" s="42" t="inlineStr">
        <is>
          <t>Reason label</t>
        </is>
      </c>
      <c r="B118" s="41" t="inlineStr">
        <is>
          <t>Missed / Delayed Event</t>
        </is>
      </c>
      <c r="C118" s="41" t="inlineStr">
        <is>
          <t>Expected reporting, escalation, notification, or WarRoom creation occurred later than required.</t>
        </is>
      </c>
      <c r="D118" s="41" t="inlineStr">
        <is>
          <t>Use only when supported by Comments and Missed_Flag</t>
        </is>
      </c>
      <c r="E118" s="41" t="inlineStr">
        <is>
          <t>Reason</t>
        </is>
      </c>
    </row>
    <row r="119" ht="30.75" customHeight="1">
      <c r="A119" s="42" t="inlineStr">
        <is>
          <t>Reason label</t>
        </is>
      </c>
      <c r="B119" s="41" t="inlineStr">
        <is>
          <t>Missed Event</t>
        </is>
      </c>
      <c r="C119" s="41" t="inlineStr">
        <is>
          <t>Expected EventWatch coverage, alerting, notification, or WarRoom action did not occur.</t>
        </is>
      </c>
      <c r="D119" s="41" t="inlineStr">
        <is>
          <t>Use only when supported by Comments and Missed_Flag</t>
        </is>
      </c>
      <c r="E119" s="41" t="inlineStr">
        <is>
          <t>Reason</t>
        </is>
      </c>
    </row>
    <row r="120" ht="30.75" customHeight="1">
      <c r="A120" s="42" t="inlineStr">
        <is>
          <t>Reason label</t>
        </is>
      </c>
      <c r="B120" s="41" t="inlineStr">
        <is>
          <t>Missed Relevant Event</t>
        </is>
      </c>
      <c r="C120" s="41" t="inlineStr">
        <is>
          <t>Expected EventWatch coverage, alerting, notification, or WarRoom action did not occur.</t>
        </is>
      </c>
      <c r="D120" s="41" t="inlineStr">
        <is>
          <t>Use only when supported by Comments and Missed_Flag</t>
        </is>
      </c>
      <c r="E120" s="41" t="inlineStr">
        <is>
          <t>Reason</t>
        </is>
      </c>
    </row>
    <row r="121" ht="30.75" customHeight="1">
      <c r="A121" s="42" t="inlineStr">
        <is>
          <t>Reason label</t>
        </is>
      </c>
      <c r="B121" s="41" t="inlineStr">
        <is>
          <t>Missed WarRoom</t>
        </is>
      </c>
      <c r="C121" s="41" t="inlineStr">
        <is>
          <t>Expected EventWatch coverage, alerting, notification, or WarRoom action did not occur.</t>
        </is>
      </c>
      <c r="D121" s="41" t="inlineStr">
        <is>
          <t>Use only when supported by Comments and Missed_Flag</t>
        </is>
      </c>
      <c r="E121" s="41" t="inlineStr">
        <is>
          <t>Reason</t>
        </is>
      </c>
    </row>
    <row r="122" ht="30.75" customHeight="1">
      <c r="A122" s="42" t="inlineStr">
        <is>
          <t>Reason label</t>
        </is>
      </c>
      <c r="B122" s="41" t="inlineStr">
        <is>
          <t>Missed WarRoom / No notification</t>
        </is>
      </c>
      <c r="C122" s="41" t="inlineStr">
        <is>
          <t>Expected EventWatch coverage, alerting, notification, or WarRoom action did not occur.</t>
        </is>
      </c>
      <c r="D122" s="41" t="inlineStr">
        <is>
          <t>Use only when supported by Comments and Missed_Flag</t>
        </is>
      </c>
      <c r="E122" s="41" t="inlineStr">
        <is>
          <t>Reason</t>
        </is>
      </c>
    </row>
    <row r="123" ht="30.75" customHeight="1">
      <c r="A123" s="42" t="inlineStr">
        <is>
          <t>Reason label</t>
        </is>
      </c>
      <c r="B123" s="41" t="inlineStr">
        <is>
          <t>Missed alert / event not captured</t>
        </is>
      </c>
      <c r="C123" s="41" t="inlineStr">
        <is>
          <t>Expected EventWatch coverage, alerting, notification, or WarRoom action did not occur.</t>
        </is>
      </c>
      <c r="D123" s="41" t="inlineStr">
        <is>
          <t>Use only when supported by Comments and Missed_Flag</t>
        </is>
      </c>
      <c r="E123" s="41" t="inlineStr">
        <is>
          <t>Reason</t>
        </is>
      </c>
    </row>
    <row r="124" ht="30.75" customHeight="1">
      <c r="A124" s="42" t="inlineStr">
        <is>
          <t>Reason label</t>
        </is>
      </c>
      <c r="B124" s="41" t="inlineStr">
        <is>
          <t>Missed insolvency alert</t>
        </is>
      </c>
      <c r="C124" s="41" t="inlineStr">
        <is>
          <t>Expected EventWatch coverage, alerting, notification, or WarRoom action did not occur.</t>
        </is>
      </c>
      <c r="D124" s="41" t="inlineStr">
        <is>
          <t>Use only when supported by Comments and Missed_Flag</t>
        </is>
      </c>
      <c r="E124" s="41" t="inlineStr">
        <is>
          <t>Reason</t>
        </is>
      </c>
    </row>
    <row r="125" ht="30.75" customHeight="1">
      <c r="A125" s="42" t="inlineStr">
        <is>
          <t>Reason label</t>
        </is>
      </c>
      <c r="B125" s="41" t="inlineStr">
        <is>
          <t>Missed insolvency event</t>
        </is>
      </c>
      <c r="C125" s="41" t="inlineStr">
        <is>
          <t>Expected EventWatch coverage, alerting, notification, or WarRoom action did not occur.</t>
        </is>
      </c>
      <c r="D125" s="41" t="inlineStr">
        <is>
          <t>Use only when supported by Comments and Missed_Flag</t>
        </is>
      </c>
      <c r="E125" s="41" t="inlineStr">
        <is>
          <t>Reason</t>
        </is>
      </c>
    </row>
    <row r="126" ht="30.75" customHeight="1">
      <c r="A126" s="42" t="inlineStr">
        <is>
          <t>Reason label</t>
        </is>
      </c>
      <c r="B126" s="41" t="inlineStr">
        <is>
          <t>Missed severe weather alert</t>
        </is>
      </c>
      <c r="C126" s="41" t="inlineStr">
        <is>
          <t>Expected EventWatch coverage, alerting, notification, or WarRoom action did not occur.</t>
        </is>
      </c>
      <c r="D126" s="41" t="inlineStr">
        <is>
          <t>Use only when supported by Comments and Missed_Flag</t>
        </is>
      </c>
      <c r="E126" s="41" t="inlineStr">
        <is>
          <t>Reason</t>
        </is>
      </c>
    </row>
    <row r="127" ht="30.75" customHeight="1">
      <c r="A127" s="42" t="inlineStr">
        <is>
          <t>Reason label</t>
        </is>
      </c>
      <c r="B127" s="41" t="inlineStr">
        <is>
          <t>Missing Automotive industry tag (customer tracking missed it)</t>
        </is>
      </c>
      <c r="C127" s="41" t="inlineStr">
        <is>
          <t>The expected industry classification was missing or incorrect.</t>
        </is>
      </c>
      <c r="D127" s="41" t="inlineStr">
        <is>
          <t>Use only when supported by Comments and Missed_Flag</t>
        </is>
      </c>
      <c r="E127" s="41" t="inlineStr">
        <is>
          <t>Reason</t>
        </is>
      </c>
    </row>
    <row r="128" ht="30.75" customHeight="1">
      <c r="A128" s="42" t="inlineStr">
        <is>
          <t>Reason label</t>
        </is>
      </c>
      <c r="B128" s="41" t="inlineStr">
        <is>
          <t>Missing EventWatch coverage / feeds not captured</t>
        </is>
      </c>
      <c r="C128" s="41" t="inlineStr">
        <is>
          <t>Expected EventWatch coverage, alerting, notification, or WarRoom action did not occur.</t>
        </is>
      </c>
      <c r="D128" s="41" t="inlineStr">
        <is>
          <t>Use only when supported by Comments and Missed_Flag</t>
        </is>
      </c>
      <c r="E128" s="41" t="inlineStr">
        <is>
          <t>Reason</t>
        </is>
      </c>
    </row>
    <row r="129" ht="30.75" customHeight="1">
      <c r="A129" s="42" t="inlineStr">
        <is>
          <t>Reason label</t>
        </is>
      </c>
      <c r="B129" s="41" t="inlineStr">
        <is>
          <t>Missing Resilinc alert / insolvency not captured</t>
        </is>
      </c>
      <c r="C129" s="41" t="inlineStr">
        <is>
          <t>Expected EventWatch coverage, alerting, notification, or WarRoom action did not occur.</t>
        </is>
      </c>
      <c r="D129" s="41" t="inlineStr">
        <is>
          <t>Use only when supported by Comments and Missed_Flag</t>
        </is>
      </c>
      <c r="E129" s="41" t="inlineStr">
        <is>
          <t>Reason</t>
        </is>
      </c>
    </row>
    <row r="130" ht="30.75" customHeight="1">
      <c r="A130" s="42" t="inlineStr">
        <is>
          <t>Reason label</t>
        </is>
      </c>
      <c r="B130" s="41" t="inlineStr">
        <is>
          <t>SEC notification not captured/provided on time</t>
        </is>
      </c>
      <c r="C130" s="41" t="inlineStr">
        <is>
          <t>Specific customer-reported reason recorded in the tracker.</t>
        </is>
      </c>
      <c r="D130" s="41" t="inlineStr">
        <is>
          <t>Use only when supported by Comments and Missed_Flag</t>
        </is>
      </c>
      <c r="E130" s="41" t="inlineStr">
        <is>
          <t>Reason</t>
        </is>
      </c>
    </row>
    <row r="131" ht="30.75" customHeight="1">
      <c r="A131" s="42" t="inlineStr">
        <is>
          <t>Reason label</t>
        </is>
      </c>
      <c r="B131" s="41" t="inlineStr">
        <is>
          <t>Severity / consolidation handling concern</t>
        </is>
      </c>
      <c r="C131" s="41" t="inlineStr">
        <is>
          <t>Customer questioned the severity level or consolidation of event coverage.</t>
        </is>
      </c>
      <c r="D131" s="41" t="inlineStr">
        <is>
          <t>Use only when supported by Comments and Missed_Flag</t>
        </is>
      </c>
      <c r="E131" s="41" t="inlineStr">
        <is>
          <t>Reason</t>
        </is>
      </c>
    </row>
    <row r="132" ht="30.75" customHeight="1">
      <c r="A132" s="42" t="inlineStr">
        <is>
          <t>Reason label</t>
        </is>
      </c>
      <c r="B132" s="41" t="inlineStr">
        <is>
          <t>Supplier Impact Mapping Clarification</t>
        </is>
      </c>
      <c r="C132" s="41" t="inlineStr">
        <is>
          <t>Customer requested explanation of why suppliers were included or excluded from the impact area.</t>
        </is>
      </c>
      <c r="D132" s="41" t="inlineStr">
        <is>
          <t>Use only when supported by Comments and Missed_Flag</t>
        </is>
      </c>
      <c r="E132" s="41" t="inlineStr">
        <is>
          <t>Reason</t>
        </is>
      </c>
    </row>
    <row r="133" ht="30.75" customHeight="1">
      <c r="A133" s="42" t="inlineStr">
        <is>
          <t>Reason label</t>
        </is>
      </c>
      <c r="B133" s="41" t="inlineStr">
        <is>
          <t>WarRoom not created despite nationwide disruption</t>
        </is>
      </c>
      <c r="C133" s="41" t="inlineStr">
        <is>
          <t>Expected EventWatch coverage, alerting, notification, or WarRoom action did not occur.</t>
        </is>
      </c>
      <c r="D133" s="41" t="inlineStr">
        <is>
          <t>Use only when supported by Comments and Missed_Flag</t>
        </is>
      </c>
      <c r="E133" s="41" t="inlineStr">
        <is>
          <t>Reason</t>
        </is>
      </c>
    </row>
    <row r="134" ht="30.75" customHeight="1">
      <c r="A134" s="42" t="inlineStr">
        <is>
          <t>Reason label</t>
        </is>
      </c>
      <c r="B134" s="41" t="inlineStr">
        <is>
          <t>WarRoom not visible in customer profile</t>
        </is>
      </c>
      <c r="C134" s="41" t="inlineStr">
        <is>
          <t>Published content was not visible in the customer profile or portal.</t>
        </is>
      </c>
      <c r="D134" s="41" t="inlineStr">
        <is>
          <t>Use only when supported by Comments and Missed_Flag</t>
        </is>
      </c>
      <c r="E134" s="41" t="inlineStr">
        <is>
          <t>Reason</t>
        </is>
      </c>
    </row>
    <row r="135" ht="30.75" customHeight="1">
      <c r="A135" s="42" t="inlineStr">
        <is>
          <t>Reason label</t>
        </is>
      </c>
      <c r="B135" s="41" t="inlineStr">
        <is>
          <t>WarRoom should have been created but was not</t>
        </is>
      </c>
      <c r="C135" s="41" t="inlineStr">
        <is>
          <t>Available information met the escalation criteria, but the required WarRoom was not created.</t>
        </is>
      </c>
      <c r="D135" s="41" t="inlineStr">
        <is>
          <t>Use only when supported by Comments and Missed_Flag</t>
        </is>
      </c>
      <c r="E135" s="41" t="inlineStr">
        <is>
          <t>Reason</t>
        </is>
      </c>
    </row>
    <row r="136" ht="30.75" customHeight="1">
      <c r="A136" s="42" t="inlineStr">
        <is>
          <t>Reason label</t>
        </is>
      </c>
      <c r="B136" s="41" t="inlineStr">
        <is>
          <t>WarRoom visibility affected by customer profile filters</t>
        </is>
      </c>
      <c r="C136" s="41" t="inlineStr">
        <is>
          <t>Published content was not visible in the customer profile or portal.</t>
        </is>
      </c>
      <c r="D136" s="41" t="inlineStr">
        <is>
          <t>Use only when supported by Comments and Missed_Flag</t>
        </is>
      </c>
      <c r="E136" s="41" t="inlineStr">
        <is>
          <t>Reason</t>
        </is>
      </c>
    </row>
    <row r="137" ht="30.75" customHeight="1">
      <c r="A137" s="42" t="inlineStr">
        <is>
          <t>Reason label</t>
        </is>
      </c>
      <c r="B137" s="41" t="inlineStr">
        <is>
          <t>Wrong Relevancy</t>
        </is>
      </c>
      <c r="C137" s="41" t="inlineStr">
        <is>
          <t>The relevance classification of an event or alert was disputed or incorrect.</t>
        </is>
      </c>
      <c r="D137" s="41" t="inlineStr">
        <is>
          <t>Use only when supported by Comments and Missed_Flag</t>
        </is>
      </c>
      <c r="E137" s="41" t="inlineStr">
        <is>
          <t>Reason</t>
        </is>
      </c>
    </row>
    <row r="138" ht="30.75" customHeight="1">
      <c r="A138" s="42" t="inlineStr">
        <is>
          <t>Event type</t>
        </is>
      </c>
      <c r="B138" s="41" t="inlineStr">
        <is>
          <t>Hurricane/Typhoon</t>
        </is>
      </c>
      <c r="C138" s="41" t="inlineStr">
        <is>
          <t>Tropical cyclone classified as a hurricane or typhoon, with potential geographic, operational, or supply-chain impact.</t>
        </is>
      </c>
      <c r="D138" s="41" t="inlineStr">
        <is>
          <t>Use specifically for hurricanes and typhoons rather than the broader Extreme Weather category.</t>
        </is>
      </c>
      <c r="E138" s="41" t="inlineStr">
        <is>
          <t>Event type</t>
        </is>
      </c>
    </row>
    <row r="139" ht="30.75" customHeight="1">
      <c r="A139" s="42" t="inlineStr">
        <is>
          <t>Event type</t>
        </is>
      </c>
      <c r="B139" s="41" t="inlineStr">
        <is>
          <t>Other</t>
        </is>
      </c>
      <c r="C139" s="41" t="inlineStr">
        <is>
          <t>Event or inquiry category that does not fit any available standardized Event type.</t>
        </is>
      </c>
      <c r="D139" s="41" t="inlineStr">
        <is>
          <t>Use only when no specific standard category applies; explain the subject in the title and comments.</t>
        </is>
      </c>
      <c r="E139" s="41" t="inlineStr">
        <is>
          <t>Event type</t>
        </is>
      </c>
    </row>
    <row r="140" ht="30.75" customHeight="1">
      <c r="A140" s="42" t="inlineStr">
        <is>
          <t>Event type</t>
        </is>
      </c>
      <c r="B140" s="41" t="inlineStr">
        <is>
          <t>Counterfeit</t>
        </is>
      </c>
      <c r="C140" s="41" t="inlineStr">
        <is>
          <t>Counterfeit, grey-market, or otherwise non-genuine goods entering the supply chain.</t>
        </is>
      </c>
      <c r="D140" s="41" t="inlineStr">
        <is>
          <t>Standard event category. Covers counterfeit-risk intelligence and advisory requests as well as confirmed incidents.</t>
        </is>
      </c>
      <c r="E140" s="41" t="inlineStr">
        <is>
          <t>Event type</t>
        </is>
      </c>
    </row>
    <row r="141" ht="30.75" customHeight="1">
      <c r="A141" s="42" t="inlineStr">
        <is>
          <t>Event type</t>
        </is>
      </c>
      <c r="B141" s="41" t="inlineStr">
        <is>
          <t>Legal Action</t>
        </is>
      </c>
      <c r="C141" s="41" t="inlineStr">
        <is>
          <t>Lawsuit, legal proceeding, or enforcement action involving a supplier or customer-linked entity.</t>
        </is>
      </c>
      <c r="D141" s="41" t="inlineStr">
        <is>
          <t>Standard event category. Use where the legal action itself is the event; use Regulatory Change for a rule, sanction, or export-control change.</t>
        </is>
      </c>
      <c r="E141" s="41" t="inlineStr">
        <is>
          <t>Event type</t>
        </is>
      </c>
    </row>
    <row r="142" ht="30.75" customHeight="1">
      <c r="A142" s="42" t="inlineStr">
        <is>
          <t>Event type</t>
        </is>
      </c>
      <c r="B142" s="41" t="inlineStr">
        <is>
          <t>Platform/Data Quality</t>
        </is>
      </c>
      <c r="C142" s="41" t="inlineStr">
        <is>
          <t>Defect in what the EventWatch platform presents rather than an event in the outside world: irrelevant, unrecognized, or incorrectly displayed records reaching the customer.</t>
        </is>
      </c>
      <c r="D142" s="41" t="inlineStr">
        <is>
          <t>Standard event category. Use when the complaint concerns platform content or data quality, not an external event.</t>
        </is>
      </c>
      <c r="E142" s="41" t="inlineStr">
        <is>
          <t>Event type</t>
        </is>
      </c>
    </row>
    <row r="143" ht="30.75" customHeight="1">
      <c r="A143" s="42" t="inlineStr">
        <is>
          <t>Event type</t>
        </is>
      </c>
      <c r="B143" s="41" t="inlineStr">
        <is>
          <t>Power Outage</t>
        </is>
      </c>
      <c r="C143" s="41" t="inlineStr">
        <is>
          <t>Loss or failure of a utility supply affecting a facility, region, or grid: electrical power, and also water, internet and other utility cuts, which are all notified under this one type.</t>
        </is>
      </c>
      <c r="D143" s="41" t="inlineStr">
        <is>
          <t>Standard event category. Use for grid and utility failures; use Extreme Weather where the outage is incidental to a storm already being reported.</t>
        </is>
      </c>
      <c r="E143" s="41" t="inlineStr">
        <is>
          <t>Event type</t>
        </is>
      </c>
    </row>
    <row r="144" ht="30.75" customHeight="1">
      <c r="A144" s="42" t="inlineStr">
        <is>
          <t>Event type</t>
        </is>
      </c>
      <c r="B144" s="41" t="inlineStr">
        <is>
          <t>Tornado</t>
        </is>
      </c>
      <c r="C144" s="41" t="inlineStr">
        <is>
          <t>Tornado with potential geographic, operational, or supply-chain impact.</t>
        </is>
      </c>
      <c r="D144" s="41" t="inlineStr">
        <is>
          <t>Standard event category. A tornado event is typed here, not under Extreme Weather; the two are deliberately separate.</t>
        </is>
      </c>
      <c r="E144" s="41" t="inlineStr">
        <is>
          <t>Event type</t>
        </is>
      </c>
    </row>
    <row r="145" ht="30.75" customHeight="1">
      <c r="A145" s="42" t="inlineStr">
        <is>
          <t>Event type</t>
        </is>
      </c>
      <c r="B145" s="41" t="inlineStr">
        <is>
          <t>WarRoom Operations</t>
        </is>
      </c>
      <c r="C145" s="41" t="inlineStr">
        <is>
          <t>The record concerns the operation of a WarRoom itself — its timing, triggering criteria, or handling — rather than the underlying event.</t>
        </is>
      </c>
      <c r="D145" s="41" t="inlineStr">
        <is>
          <t>Standard event category. Use for inquiries about WarRoom process; type the record by the underlying event where the event itself is the subject.</t>
        </is>
      </c>
      <c r="E145" s="41" t="inlineStr">
        <is>
          <t>Event type</t>
        </is>
      </c>
    </row>
    <row r="146" ht="30.75" customHeight="1">
      <c r="A146" s="42" t="inlineStr">
        <is>
          <t>Reason label</t>
        </is>
      </c>
      <c r="B146" s="41" t="inlineStr">
        <is>
          <t>Intelligence/Advisory Request</t>
        </is>
      </c>
      <c r="C146" s="41" t="inlineStr">
        <is>
          <t>Customer requested market, industry, or risk intelligence beyond the EventWatch reporting already provided.</t>
        </is>
      </c>
      <c r="D146" s="41" t="inlineStr">
        <is>
          <t>Use only when supported by Comments and Missed_Flag</t>
        </is>
      </c>
      <c r="E146" s="41" t="inlineStr">
        <is>
          <t>Reason</t>
        </is>
      </c>
    </row>
    <row r="147" ht="30.75" customHeight="1">
      <c r="A147" s="42" t="inlineStr">
        <is>
          <t>Reason label</t>
        </is>
      </c>
      <c r="B147" s="41" t="inlineStr">
        <is>
          <t>Monitoring Strategy RFI</t>
        </is>
      </c>
      <c r="C147" s="41" t="inlineStr">
        <is>
          <t>Customer requested an explanation of how a class of event is monitored, detected, or prioritized.</t>
        </is>
      </c>
      <c r="D147" s="41" t="inlineStr">
        <is>
          <t>Use only when supported by Comments and Missed_Flag</t>
        </is>
      </c>
      <c r="E147" s="41" t="inlineStr">
        <is>
          <t>Reason</t>
        </is>
      </c>
    </row>
    <row r="148" ht="30.75" customHeight="1">
      <c r="A148" s="42" t="inlineStr">
        <is>
          <t>Reason label</t>
        </is>
      </c>
      <c r="B148" s="41" t="inlineStr">
        <is>
          <t>News dashboard visibility gap</t>
        </is>
      </c>
      <c r="C148" s="41" t="inlineStr">
        <is>
          <t>Published content was not visible or searchable in the customer's EventWatch News Dashboard.</t>
        </is>
      </c>
      <c r="D148" s="41" t="inlineStr">
        <is>
          <t>Use only when supported by Comments and Missed_Flag</t>
        </is>
      </c>
      <c r="E148" s="41" t="inlineStr">
        <is>
          <t>Reason</t>
        </is>
      </c>
    </row>
    <row r="149" ht="30.75" customHeight="1">
      <c r="A149" s="42" t="inlineStr">
        <is>
          <t>Reason label</t>
        </is>
      </c>
      <c r="B149" s="41" t="inlineStr">
        <is>
          <t>WarRoom Timing/Trigger Criteria Clarification</t>
        </is>
      </c>
      <c r="C149" s="41" t="inlineStr">
        <is>
          <t>Customer questioned when a WarRoom was activated or which criteria triggered it.</t>
        </is>
      </c>
      <c r="D149" s="41" t="inlineStr">
        <is>
          <t>Use only when supported by Comments and Missed_Flag</t>
        </is>
      </c>
      <c r="E149" s="41" t="inlineStr">
        <is>
          <t>Reason</t>
        </is>
      </c>
    </row>
    <row r="150" ht="30.75" customHeight="1">
      <c r="A150" s="42" t="inlineStr">
        <is>
          <t>Fix status</t>
        </is>
      </c>
      <c r="B150" s="41" t="inlineStr">
        <is>
          <t>Pending</t>
        </is>
      </c>
      <c r="C150" s="41" t="inlineStr">
        <is>
          <t>The linked Jira ticket is still open; no fix, RCA, or clarification has yet been issued to the customer.</t>
        </is>
      </c>
      <c r="D150" s="41" t="inlineStr">
        <is>
          <t>Current resolution state</t>
        </is>
      </c>
      <c r="E150" s="41" t="inlineStr">
        <is>
          <t>Short Term Fix Status</t>
        </is>
      </c>
    </row>
    <row r="151" ht="30.75" customHeight="1">
      <c r="A151" s="42" t="inlineStr">
        <is>
          <t>Field definition</t>
        </is>
      </c>
      <c r="B151" s="41" t="inlineStr">
        <is>
          <t>Resolution Date</t>
        </is>
      </c>
      <c r="C151" s="41" t="inlineStr">
        <is>
          <t>Date the record was closed out with the customer.</t>
        </is>
      </c>
      <c r="D151" s="41" t="inlineStr">
        <is>
          <t>A true date in dd-mmm-yyyy format, taken from the linked Jira ticket's resolution date. Blank while the record is Pending, and blank on a closed record that carries no ticket to read a date from.</t>
        </is>
      </c>
      <c r="E151" s="41" t="inlineStr">
        <is>
          <t>Resolution Date</t>
        </is>
      </c>
    </row>
    <row r="152" ht="30.75" customHeight="1">
      <c r="A152" s="42" t="inlineStr">
        <is>
          <t>Event type</t>
        </is>
      </c>
      <c r="B152" s="41" t="inlineStr">
        <is>
          <t>Port Disruption</t>
        </is>
      </c>
      <c r="C152" s="41" t="inlineStr">
        <is>
          <t>Congestion or delay at a seaport and the rail and road corridors feeding it: vessel waiting and berthing delays, container dwell times, terminal equipment failure and landside bottlenecks. Distinct from Transport Disruption, which covers a route, crossing or carrier rather than a port and its hinterland.</t>
        </is>
      </c>
      <c r="D152" s="41" t="inlineStr">
        <is>
          <t>Standard event category</t>
        </is>
      </c>
      <c r="E152" s="41" t="inlineStr">
        <is>
          <t>Event type</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0"/>
  <sheetViews>
    <sheetView showGridLines="0" workbookViewId="0">
      <pane ySplit="2" topLeftCell="A3" activePane="bottomLeft" state="frozen"/>
      <selection pane="bottomLeft" activeCell="A1" sqref="A1"/>
    </sheetView>
  </sheetViews>
  <sheetFormatPr baseColWidth="8" defaultRowHeight="15"/>
  <cols>
    <col width="15.5703125" customWidth="1" min="1" max="8"/>
  </cols>
  <sheetData>
    <row r="1" ht="33.75" customHeight="1">
      <c r="A1" s="91" t="inlineStr">
        <is>
          <t>EVENTWATCH MANAGEMENT READOUT</t>
        </is>
      </c>
    </row>
    <row r="2" ht="24" customHeight="1">
      <c r="A2" s="92">
        <f>TEXT(MIN(ComplaintTracker[Reporting Month]),"mmm")&amp;"–"&amp;TEXT(MAX(ComplaintTracker[Reporting Month]),"mmm yyyy")&amp;" · "&amp;ROWS(ComplaintTracker[Issue Type])&amp;" records · Live from Data"</f>
        <v/>
      </c>
    </row>
    <row r="3">
      <c r="A3" s="43" t="n"/>
      <c r="B3" s="43" t="n"/>
      <c r="C3" s="43" t="n"/>
      <c r="D3" s="43" t="n"/>
      <c r="E3" s="43" t="n"/>
      <c r="F3" s="43" t="n"/>
      <c r="G3" s="43" t="n"/>
      <c r="H3" s="43" t="n"/>
    </row>
    <row r="4">
      <c r="A4" s="44" t="inlineStr">
        <is>
          <t>TOTAL RECORDS</t>
        </is>
      </c>
      <c r="B4" s="44" t="n"/>
      <c r="C4" s="44" t="inlineStr">
        <is>
          <t>COMPLAINTS</t>
        </is>
      </c>
      <c r="D4" s="44" t="n"/>
      <c r="E4" s="44" t="inlineStr">
        <is>
          <t>MEDIUM RECORDS</t>
        </is>
      </c>
      <c r="F4" s="44" t="n"/>
      <c r="G4" s="44" t="inlineStr">
        <is>
          <t>RCA REQUESTED</t>
        </is>
      </c>
      <c r="H4" s="44" t="n"/>
    </row>
    <row r="5">
      <c r="A5" s="74">
        <f>ROWS(ComplaintTracker[Issue Type])</f>
        <v/>
      </c>
      <c r="C5" s="74">
        <f>COUNTIF(ComplaintTracker[Issue Type],"Complaint")</f>
        <v/>
      </c>
      <c r="E5" s="74">
        <f>COUNTIF(ComplaintTracker[Severity],"Medium")</f>
        <v/>
      </c>
      <c r="G5" s="74">
        <f>COUNTIF(ComplaintTracker[RCA Requested],"Yes")</f>
        <v/>
      </c>
    </row>
    <row r="6"/>
    <row r="7">
      <c r="A7" s="43" t="n"/>
      <c r="B7" s="43" t="n"/>
      <c r="C7" s="43" t="n"/>
      <c r="D7" s="43" t="n"/>
      <c r="E7" s="43" t="n"/>
      <c r="F7" s="43" t="n"/>
      <c r="G7" s="43" t="n"/>
      <c r="H7" s="43" t="n"/>
    </row>
    <row r="8">
      <c r="A8" s="43" t="n"/>
      <c r="B8" s="43" t="n"/>
      <c r="C8" s="43" t="n"/>
      <c r="D8" s="43" t="n"/>
      <c r="E8" s="43" t="n"/>
      <c r="F8" s="43" t="n"/>
      <c r="G8" s="43" t="n"/>
      <c r="H8" s="43" t="n"/>
    </row>
    <row r="9" ht="23.25" customHeight="1">
      <c r="A9" s="88" t="inlineStr">
        <is>
          <t>SEVERITY</t>
        </is>
      </c>
    </row>
    <row r="10" ht="33.75" customHeight="1">
      <c r="A10" s="73">
        <f>COUNTIF(ComplaintTracker[Severity],"Medium")&amp;" medium records ("&amp;TEXT(COUNTIF(ComplaintTracker[Severity],"Medium")/ROWS(ComplaintTracker[Severity]),"0%")&amp;"); "&amp;COUNTIFS(ComplaintTracker[Issue Type],"Complaint",ComplaintTracker[Severity],"Medium")&amp;" are complaints."</f>
        <v/>
      </c>
    </row>
    <row r="11">
      <c r="A11" s="43" t="n"/>
      <c r="B11" s="43" t="n"/>
      <c r="C11" s="43" t="n"/>
      <c r="D11" s="43" t="n"/>
      <c r="E11" s="43" t="n"/>
      <c r="F11" s="43" t="n"/>
      <c r="G11" s="43" t="n"/>
      <c r="H11" s="43" t="n"/>
    </row>
    <row r="12" ht="23.25" customHeight="1">
      <c r="A12" s="88" t="inlineStr">
        <is>
          <t>CUSTOMER CONCENTRATION</t>
        </is>
      </c>
    </row>
    <row r="13" ht="33.75" customHeight="1">
      <c r="A13" s="73">
        <f t="array" ref="A13">_xlfn.LET(_xlpm.c,_xlfn._xlws.FILTER(ComplaintTracker[Customer],ComplaintTracker[Issue Type]="Complaint"),_xlpm.u,_xlfn.UNIQUE(_xlpm.c),_xlpm.n,COUNTIFS(ComplaintTracker[Issue Type],"Complaint",ComplaintTracker[Customer],_xlpm.u),_xlpm.s,_xlfn.SORTBY(_xlfn.HSTACK(_xlpm.u,_xlpm.n),_xlpm.n,-1,_xlpm.u,1),INDEX(_xlpm.s,1,1)&amp;" contributes "&amp;INDEX(_xlpm.s,1,2)&amp;" complaints ("&amp;TEXT(INDEX(_xlpm.s,1,2)/ROWS(_xlpm.c),"0%")&amp;"); the top three customers contribute "&amp;TEXT(SUM(_xlfn.TAKE(_xlfn.CHOOSECOLS(_xlpm.s,2),3))/ROWS(_xlpm.c),"0%")&amp;".")</f>
        <v/>
      </c>
    </row>
    <row r="14">
      <c r="A14" s="43" t="n"/>
      <c r="B14" s="43" t="n"/>
      <c r="C14" s="43" t="n"/>
      <c r="D14" s="43" t="n"/>
      <c r="E14" s="43" t="n"/>
      <c r="F14" s="43" t="n"/>
      <c r="G14" s="43" t="n"/>
      <c r="H14" s="43" t="n"/>
    </row>
    <row r="15" ht="23.25" customHeight="1">
      <c r="A15" s="88" t="inlineStr">
        <is>
          <t>ROOT CAUSE</t>
        </is>
      </c>
    </row>
    <row r="16" ht="33.75" customHeight="1">
      <c r="A16" s="73">
        <f t="array" ref="A16">_xlfn.LET(_xlpm.r,_xlfn._xlws.FILTER(ComplaintTracker[Root Cause],ComplaintTracker[Issue Type]="Complaint"),_xlpm.u,_xlfn.UNIQUE(_xlpm.r),_xlpm.n,COUNTIFS(ComplaintTracker[Issue Type],"Complaint",ComplaintTracker[Root Cause],_xlpm.u),_xlpm.s,_xlfn.SORTBY(_xlfn.HSTACK(_xlpm.u,_xlpm.n),_xlpm.n,-1,_xlpm.u,1),INDEX(_xlpm.s,1,1)&amp;" issues drive "&amp;INDEX(_xlpm.s,1,2)&amp;" complaints ("&amp;TEXT(INDEX(_xlpm.s,1,2)/ROWS(_xlpm.r),"0%")&amp;"), ahead of "&amp;INDEX(_xlpm.s,2,1)&amp;" ("&amp;INDEX(_xlpm.s,2,2)&amp;") and "&amp;INDEX(_xlpm.s,3,1)&amp;" ("&amp;INDEX(_xlpm.s,3,2)&amp;").")</f>
        <v/>
      </c>
    </row>
    <row r="17">
      <c r="A17" s="43" t="n"/>
      <c r="B17" s="43" t="n"/>
      <c r="C17" s="43" t="n"/>
      <c r="D17" s="43" t="n"/>
      <c r="E17" s="43" t="n"/>
      <c r="F17" s="43" t="n"/>
      <c r="G17" s="43" t="n"/>
      <c r="H17" s="43" t="n"/>
    </row>
    <row r="18" ht="23.25" customHeight="1">
      <c r="A18" s="88" t="inlineStr">
        <is>
          <t>AUTOMATION PRIORITY</t>
        </is>
      </c>
    </row>
    <row r="19" ht="33.75" customHeight="1">
      <c r="A19" s="73">
        <f t="array" ref="A19">_xlfn.LET(_xlpm.a,_xlfn._xlws.FILTER(ComplaintTracker[Standard Automation Focus],ComplaintTracker[Issue Type]="Complaint"),_xlpm.u,_xlfn.UNIQUE(_xlpm.a),_xlpm.n,COUNTIFS(ComplaintTracker[Issue Type],"Complaint",ComplaintTracker[Standard Automation Focus],_xlpm.u),_xlpm.s,_xlfn.SORTBY(_xlfn.HSTACK(_xlpm.u,_xlpm.n),_xlpm.n,-1,_xlpm.u,1),INDEX(_xlpm.s,1,1)&amp;" and "&amp;INDEX(_xlpm.s,2,1)&amp;" cover "&amp;SUM(_xlfn.TAKE(_xlfn.CHOOSECOLS(_xlpm.s,2),2))&amp;" complaints ("&amp;TEXT(SUM(_xlfn.TAKE(_xlfn.CHOOSECOLS(_xlpm.s,2),2))/ROWS(_xlpm.a),"0%")&amp;") combined.")</f>
        <v/>
      </c>
    </row>
    <row r="20">
      <c r="A20" s="43" t="n"/>
      <c r="B20" s="43" t="n"/>
      <c r="C20" s="43" t="n"/>
      <c r="D20" s="43" t="n"/>
      <c r="E20" s="43" t="n"/>
      <c r="F20" s="43" t="n"/>
      <c r="G20" s="43" t="n"/>
      <c r="H20" s="43" t="n"/>
    </row>
    <row r="21" ht="23.25" customHeight="1">
      <c r="A21" s="88" t="inlineStr">
        <is>
          <t>RESOLUTION STATUS</t>
        </is>
      </c>
    </row>
    <row r="22" ht="33.75" customHeight="1">
      <c r="A22" s="73">
        <f t="array" ref="A22">_xlfn.LET(_xlpm.t,COUNTIF(ComplaintTracker[Short Term Fix Status],"Clarification Provided"),_xlpm.c,COUNTIFS(ComplaintTracker[Issue Type],"Complaint",ComplaintTracker[Short Term Fix Status],"Clarification Provided"),_xlpm.i,COUNTIFS(ComplaintTracker[Issue Type],"Inquiry",ComplaintTracker[Short Term Fix Status],"Clarification Provided"),_xlpm.t&amp;" "&amp;IF(_xlpm.t=1,"record has","records have")&amp;" clarification provided: "&amp;_xlpm.c&amp;" "&amp;IF(_xlpm.c=1,"complaint","complaints")&amp;" and "&amp;_xlpm.i&amp;" "&amp;IF(_xlpm.i=1,"inquiry","inquiries")&amp;".")</f>
        <v/>
      </c>
    </row>
    <row r="23">
      <c r="A23" s="43" t="n"/>
      <c r="B23" s="43" t="n"/>
      <c r="C23" s="43" t="n"/>
      <c r="D23" s="43" t="n"/>
      <c r="E23" s="43" t="n"/>
      <c r="F23" s="43" t="n"/>
      <c r="G23" s="43" t="n"/>
      <c r="H23" s="43" t="n"/>
    </row>
    <row r="24" ht="23.25" customHeight="1">
      <c r="A24" s="88" t="inlineStr">
        <is>
          <t>DELAY COVERAGE</t>
        </is>
      </c>
    </row>
    <row r="25" ht="33.75" customHeight="1">
      <c r="A25" s="73">
        <f>"Only "&amp;COUNT(ComplaintTracker[Delay (Hours)])&amp;" of "&amp;ROWS(ComplaintTracker[Issue Type])&amp;" records have numeric delay hours; median is "&amp;TEXT(MEDIAN(ComplaintTracker[Delay (Hours)]),"0")&amp;" hours and mean is "&amp;TEXT(AVERAGE(ComplaintTracker[Delay (Hours)]),"0")&amp;" hours."</f>
        <v/>
      </c>
    </row>
    <row r="26">
      <c r="A26" s="43" t="n"/>
      <c r="B26" s="43" t="n"/>
      <c r="C26" s="43" t="n"/>
      <c r="D26" s="43" t="n"/>
      <c r="E26" s="43" t="n"/>
      <c r="F26" s="43" t="n"/>
      <c r="G26" s="43" t="n"/>
      <c r="H26" s="43" t="n"/>
    </row>
    <row r="27" ht="23.25" customHeight="1">
      <c r="A27" s="88" t="inlineStr">
        <is>
          <t>DATA QUALITY</t>
        </is>
      </c>
    </row>
    <row r="28" ht="33.75" customHeight="1">
      <c r="A28" s="73">
        <f t="array" ref="A28">SUMPRODUCT(--ISTEXT(ComplaintTracker[Email/JIRA Date]))&amp;" dates are text; "&amp;(COUNTIF(ComplaintTracker[Delay],"Yes")+COUNTIF(ComplaintTracker[Delay],"No"))&amp;" Delay entries are Yes/No. Standardize these fields before trend SLA analysis."</f>
        <v/>
      </c>
    </row>
    <row r="29">
      <c r="A29" s="43" t="n"/>
      <c r="B29" s="43" t="n"/>
      <c r="C29" s="43" t="n"/>
      <c r="D29" s="43" t="n"/>
      <c r="E29" s="43" t="n"/>
      <c r="F29" s="43" t="n"/>
      <c r="G29" s="43" t="n"/>
      <c r="H29" s="43" t="n"/>
    </row>
    <row r="30">
      <c r="A30" s="43" t="n"/>
      <c r="B30" s="43" t="n"/>
      <c r="C30" s="43" t="n"/>
      <c r="D30" s="43" t="n"/>
      <c r="E30" s="43" t="n"/>
      <c r="F30" s="43" t="n"/>
      <c r="G30" s="43" t="n"/>
      <c r="H30" s="43" t="n"/>
    </row>
  </sheetData>
  <mergeCells count="20">
    <mergeCell ref="A9:H9"/>
    <mergeCell ref="A15:H15"/>
    <mergeCell ref="A24:H24"/>
    <mergeCell ref="A5:B6"/>
    <mergeCell ref="G5:H6"/>
    <mergeCell ref="A1:H1"/>
    <mergeCell ref="A25:H25"/>
    <mergeCell ref="A16:H16"/>
    <mergeCell ref="A27:H27"/>
    <mergeCell ref="A12:H12"/>
    <mergeCell ref="A18:H18"/>
    <mergeCell ref="A21:H21"/>
    <mergeCell ref="A2:H2"/>
    <mergeCell ref="C5:D6"/>
    <mergeCell ref="E5:F6"/>
    <mergeCell ref="A22:H22"/>
    <mergeCell ref="A10:H10"/>
    <mergeCell ref="A28:H28"/>
    <mergeCell ref="A13:H13"/>
    <mergeCell ref="A19:H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Sangram Barge</dc:creator>
  <dcterms:created xsi:type="dcterms:W3CDTF">2026-09-01T08:44:59Z</dcterms:created>
  <dcterms:modified xsi:type="dcterms:W3CDTF">2026-09-04T11:49:47Z</dcterms:modified>
</cp:coreProperties>
</file>

<file path=docProps/custom.xml><?xml version="1.0" encoding="utf-8"?>
<Properties xmlns:vt="http://schemas.openxmlformats.org/officeDocument/2006/docPropsVTypes" xmlns="http://schemas.openxmlformats.org/officeDocument/2006/custom-properties">
  <property name="MSIP_Label_5add3fb8-64db-456b-a303-7b817e576329_Enabled" fmtid="{D5CDD505-2E9C-101B-9397-08002B2CF9AE}" pid="2">
    <vt:lpwstr>true</vt:lpwstr>
  </property>
  <property name="MSIP_Label_5add3fb8-64db-456b-a303-7b817e576329_SetDate" fmtid="{D5CDD505-2E9C-101B-9397-08002B2CF9AE}" pid="3">
    <vt:lpwstr>2026-05-24T19:15:02Z</vt:lpwstr>
  </property>
  <property name="MSIP_Label_5add3fb8-64db-456b-a303-7b817e576329_Method" fmtid="{D5CDD505-2E9C-101B-9397-08002B2CF9AE}" pid="4">
    <vt:lpwstr>Standard</vt:lpwstr>
  </property>
  <property name="MSIP_Label_5add3fb8-64db-456b-a303-7b817e576329_Name" fmtid="{D5CDD505-2E9C-101B-9397-08002B2CF9AE}" pid="5">
    <vt:lpwstr>defa4170-0d19-0005-0004-bc88714345d2</vt:lpwstr>
  </property>
  <property name="MSIP_Label_5add3fb8-64db-456b-a303-7b817e576329_SiteId" fmtid="{D5CDD505-2E9C-101B-9397-08002B2CF9AE}" pid="6">
    <vt:lpwstr>208a6c18-704f-4104-93bb-558e02a18f9b</vt:lpwstr>
  </property>
  <property name="MSIP_Label_5add3fb8-64db-456b-a303-7b817e576329_ActionId" fmtid="{D5CDD505-2E9C-101B-9397-08002B2CF9AE}" pid="7">
    <vt:lpwstr>50eac479-8e77-42a1-989b-7f2ea862db2f</vt:lpwstr>
  </property>
  <property name="MSIP_Label_5add3fb8-64db-456b-a303-7b817e576329_ContentBits" fmtid="{D5CDD505-2E9C-101B-9397-08002B2CF9AE}" pid="8">
    <vt:lpwstr>0</vt:lpwstr>
  </property>
</Properties>
</file>