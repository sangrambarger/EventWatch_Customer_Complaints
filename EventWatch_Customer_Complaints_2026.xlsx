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13</v>
                </pt>
                <pt idx="8">
                  <v>13</v>
                </pt>
                <pt idx="9">
                  <v>1</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32</v>
                </pt>
                <pt idx="2">
                  <v>17</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101</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55</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META</v>
                </pt>
                <pt idx="7">
                  <v>Merck</v>
                </pt>
                <pt idx="8">
                  <v>Schneider Electric</v>
                </pt>
                <pt idx="9">
                  <v>UVM Health Network</v>
                </pt>
                <pt idx="10">
                  <v>Other customers</v>
                </pt>
              </strCache>
            </strRef>
          </cat>
          <val>
            <numRef>
              <f>Dashboard!$B$67:$B$77</f>
              <numCache>
                <formatCode>General</formatCode>
                <ptCount val="11"/>
                <pt idx="0">
                  <v>35</v>
                </pt>
                <pt idx="1">
                  <v>13</v>
                </pt>
                <pt idx="2">
                  <v>7</v>
                </pt>
                <pt idx="3">
                  <v>4</v>
                </pt>
                <pt idx="4">
                  <v>4</v>
                </pt>
                <pt idx="5">
                  <v>3</v>
                </pt>
                <pt idx="6">
                  <v>2</v>
                </pt>
                <pt idx="7">
                  <v>2</v>
                </pt>
                <pt idx="8">
                  <v>2</v>
                </pt>
                <pt idx="9">
                  <v>2</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31</v>
                </pt>
                <pt idx="1">
                  <v>30</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Review</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RCA Shared</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RCA Shared</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Complaint</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RCA Shared</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The finding has been shared with General Mills.</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Legal Action</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Fixed</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Inquiry</t>
        </is>
      </c>
      <c r="H115" s="33" t="inlineStr">
        <is>
          <t>Wrong Relevancy</t>
        </is>
      </c>
      <c r="I115" s="33" t="inlineStr">
        <is>
          <t>People</t>
        </is>
      </c>
      <c r="J115" s="33" t="inlineStr">
        <is>
          <t>Review</t>
        </is>
      </c>
      <c r="K115" s="33" t="inlineStr">
        <is>
          <t>Improvement</t>
        </is>
      </c>
      <c r="L115" s="33" t="inlineStr">
        <is>
          <t>Clarification Provided</t>
        </is>
      </c>
      <c r="M115" s="33" t="inlineStr">
        <is>
          <t>A mapped-partner check at the point an analyst marks an event Not Impactful, so an event touching a customer's own mapped supplier cannot be closed out of their feed without that being surfaced to the reviewer</t>
        </is>
      </c>
      <c r="N115" s="33" t="inlineStr">
        <is>
          <t>Yes</t>
        </is>
      </c>
      <c r="O115"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5" s="33" t="n"/>
      <c r="Q115" s="33" t="inlineStr">
        <is>
          <t>No</t>
        </is>
      </c>
      <c r="R115" s="39" t="n">
        <v>9</v>
      </c>
      <c r="S115" s="39" t="n"/>
      <c r="T115" s="35" t="inlineStr">
        <is>
          <t>Sep 2026</t>
        </is>
      </c>
      <c r="U115" s="33" t="inlineStr">
        <is>
          <t>Medium</t>
        </is>
      </c>
      <c r="V115" s="33" t="inlineStr">
        <is>
          <t>WarRoom &amp; Decision Validation</t>
        </is>
      </c>
      <c r="W115" s="33" t="inlineStr">
        <is>
          <t>EAO-47</t>
        </is>
      </c>
      <c r="X115"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5" s="33" t="inlineStr">
        <is>
          <t>EventWatch Ops - Nitin Rindhe</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People</t>
        </is>
      </c>
      <c r="J116" s="33" t="inlineStr">
        <is>
          <t>Review</t>
        </is>
      </c>
      <c r="K116" s="33" t="inlineStr">
        <is>
          <t>Improvement</t>
        </is>
      </c>
      <c r="L116" s="33" t="inlineStr">
        <is>
          <t>Pending</t>
        </is>
      </c>
      <c r="M116" s="33" t="inlineStr">
        <is>
          <t>Not Impactful decision validation for port and corridor congestion, so a multi-day vessel waiting or berthing delay reported by a regional logistics body is escalated for a second review rather than closed at editorial review</t>
        </is>
      </c>
      <c r="N116" s="33" t="inlineStr">
        <is>
          <t>Yes</t>
        </is>
      </c>
      <c r="O116"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6" s="33" t="n"/>
      <c r="Q116" s="33" t="inlineStr">
        <is>
          <t>Yes</t>
        </is>
      </c>
      <c r="R116" s="39" t="n">
        <v>9</v>
      </c>
      <c r="S116" s="39" t="n"/>
      <c r="T116" s="35" t="inlineStr">
        <is>
          <t>Sep 2026</t>
        </is>
      </c>
      <c r="U116" s="33" t="inlineStr">
        <is>
          <t>High</t>
        </is>
      </c>
      <c r="V116" s="33" t="inlineStr">
        <is>
          <t>WarRoom &amp; Decision Validation</t>
        </is>
      </c>
      <c r="W116" s="33" t="inlineStr">
        <is>
          <t>EAO-48</t>
        </is>
      </c>
      <c r="X116" s="33" t="n"/>
      <c r="Y116" s="33" t="inlineStr">
        <is>
          <t>EventWatch Ops - Nitin Rindhe</t>
        </is>
      </c>
      <c r="Z116" s="37" t="n"/>
    </row>
    <row r="117">
      <c r="A117" s="35" t="n">
        <v>46266</v>
      </c>
      <c r="B117" s="37" t="n">
        <v>46295</v>
      </c>
      <c r="C117" s="33" t="inlineStr">
        <is>
          <t>Extreme Weather</t>
        </is>
      </c>
      <c r="D117" s="33" t="inlineStr">
        <is>
          <t>META</t>
        </is>
      </c>
      <c r="E117" s="39" t="n">
        <v>1</v>
      </c>
      <c r="F117" s="33" t="inlineStr">
        <is>
          <t>Disaster Zone Declared in Bangkok, Thailand, Following Widespread Flooding</t>
        </is>
      </c>
      <c r="G117" s="33" t="inlineStr">
        <is>
          <t>Complaint</t>
        </is>
      </c>
      <c r="H117" s="33" t="inlineStr">
        <is>
          <t>Impacted Supplier Missing</t>
        </is>
      </c>
      <c r="I117" s="33" t="inlineStr">
        <is>
          <t>People</t>
        </is>
      </c>
      <c r="J117" s="33" t="inlineStr">
        <is>
          <t>Mapping</t>
        </is>
      </c>
      <c r="K117" s="33" t="inlineStr">
        <is>
          <t>Improvement</t>
        </is>
      </c>
      <c r="L117" s="33" t="inlineStr">
        <is>
          <t>Pending</t>
        </is>
      </c>
      <c r="M117"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7" s="33" t="inlineStr">
        <is>
          <t>Yes</t>
        </is>
      </c>
      <c r="O117"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7" s="33" t="n"/>
      <c r="Q117" s="33" t="inlineStr">
        <is>
          <t>No</t>
        </is>
      </c>
      <c r="R117" s="39" t="n">
        <v>9</v>
      </c>
      <c r="S117" s="39" t="n"/>
      <c r="T117" s="35" t="inlineStr">
        <is>
          <t>Sep 2026</t>
        </is>
      </c>
      <c r="U117" s="33" t="inlineStr">
        <is>
          <t>Medium</t>
        </is>
      </c>
      <c r="V117" s="33" t="inlineStr">
        <is>
          <t>Entity &amp; Supplier Resolution</t>
        </is>
      </c>
      <c r="W117" s="33" t="inlineStr">
        <is>
          <t>EAO-49</t>
        </is>
      </c>
      <c r="X117" s="33" t="n"/>
      <c r="Y117" s="33" t="inlineStr">
        <is>
          <t>EventWatch Ops - Nitin Rindhe</t>
        </is>
      </c>
      <c r="Z117" s="37" t="n"/>
    </row>
    <row r="118">
      <c r="A118" s="35" t="n">
        <v>46296</v>
      </c>
      <c r="B118" s="37" t="n">
        <v>46296</v>
      </c>
      <c r="C118" s="33" t="inlineStr">
        <is>
          <t>Labor Disruption</t>
        </is>
      </c>
      <c r="D118" s="33" t="inlineStr">
        <is>
          <t>Ford</t>
        </is>
      </c>
      <c r="E118" s="39" t="n">
        <v>1</v>
      </c>
      <c r="F118" s="33" t="inlineStr">
        <is>
          <t>Planned Strike at AGC Display Glass, Yunlin County, Taiwan (5 Oct 2026) Not Reported (Ford)</t>
        </is>
      </c>
      <c r="G118" s="33" t="inlineStr">
        <is>
          <t>Complaint</t>
        </is>
      </c>
      <c r="H118" s="33" t="inlineStr">
        <is>
          <t>Missed Event</t>
        </is>
      </c>
      <c r="I118" s="33" t="inlineStr">
        <is>
          <t>People</t>
        </is>
      </c>
      <c r="J118" s="33" t="inlineStr">
        <is>
          <t>Review</t>
        </is>
      </c>
      <c r="K118" s="33" t="inlineStr">
        <is>
          <t>Improvement</t>
        </is>
      </c>
      <c r="L118" s="33" t="inlineStr">
        <is>
          <t>Pending</t>
        </is>
      </c>
      <c r="M118" s="33" t="inlineStr">
        <is>
          <t>Not Impactful decision validation for planned labour actions, so a strike carrying a published start date is escalated for a second review rather than closed at editorial review</t>
        </is>
      </c>
      <c r="N118" s="33" t="inlineStr">
        <is>
          <t>Yes</t>
        </is>
      </c>
      <c r="O118"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8" s="33" t="n"/>
      <c r="Q118" s="33" t="inlineStr">
        <is>
          <t>Yes</t>
        </is>
      </c>
      <c r="R118" s="39" t="n">
        <v>10</v>
      </c>
      <c r="S118" s="39" t="n"/>
      <c r="T118" s="35" t="inlineStr">
        <is>
          <t>Oct 2026</t>
        </is>
      </c>
      <c r="U118" s="33" t="inlineStr">
        <is>
          <t>Medium</t>
        </is>
      </c>
      <c r="V118" s="33" t="inlineStr">
        <is>
          <t>WarRoom &amp; Decision Validation</t>
        </is>
      </c>
      <c r="W118" s="33" t="inlineStr">
        <is>
          <t>EAO-50</t>
        </is>
      </c>
      <c r="X118" s="33" t="n"/>
      <c r="Y118" s="33" t="inlineStr">
        <is>
          <t>EventWatch Ops - Nitin Rindhe</t>
        </is>
      </c>
      <c r="Z11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0.36082474226804123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12</v>
      </c>
      <c r="K67" s="75" t="n">
        <v>1</v>
      </c>
      <c r="L67" s="75" t="n">
        <v>13</v>
      </c>
    </row>
    <row r="68" ht="23.25" customHeight="1">
      <c r="A68" s="20" t="inlineStr">
        <is>
          <t>Eaton</t>
        </is>
      </c>
      <c r="B68" s="22" t="n">
        <v>13</v>
      </c>
      <c r="C68" s="24" t="n">
        <v>0.13402061855670103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0.07216494845360824</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0.041237113402061855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0.041237113402061855</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0.030927835051546393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META</t>
        </is>
      </c>
      <c r="B73" s="22" t="n">
        <v>2</v>
      </c>
      <c r="C73" s="24" t="n">
        <v>0.020618556701030927</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0.020618556701030927</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0.020618556701030927</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UVM Health Network</t>
        </is>
      </c>
      <c r="B76" s="22" t="n">
        <v>2</v>
      </c>
      <c r="C76" s="24" t="n">
        <v>0.020618556701030927</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97</v>
      </c>
      <c r="K91" s="77" t="n">
        <v>20</v>
      </c>
      <c r="L91" s="77" t="n">
        <v>117</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