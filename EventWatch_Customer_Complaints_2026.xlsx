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Dashboard!$A$50:$A$58</f>
              <numCache>
                <formatCode>mmm\ yyyy</formatCode>
                <ptCount val="9"/>
                <pt idx="0">
                  <v>46023</v>
                </pt>
                <pt idx="1">
                  <v>46054</v>
                </pt>
                <pt idx="2">
                  <v>46082</v>
                </pt>
                <pt idx="3">
                  <v>46113</v>
                </pt>
                <pt idx="4">
                  <v>46143</v>
                </pt>
                <pt idx="5">
                  <v>46174</v>
                </pt>
                <pt idx="6">
                  <v>46204</v>
                </pt>
                <pt idx="7">
                  <v>46235</v>
                </pt>
                <pt idx="8">
                  <v>46266</v>
                </pt>
              </numCache>
            </numRef>
          </cat>
          <val>
            <numRef>
              <f>Dashboard!$B$50:$B$58</f>
              <numCache>
                <formatCode>General</formatCode>
                <ptCount val="9"/>
                <pt idx="0">
                  <v>4</v>
                </pt>
                <pt idx="1">
                  <v>7</v>
                </pt>
                <pt idx="2">
                  <v>11</v>
                </pt>
                <pt idx="3">
                  <v>11</v>
                </pt>
                <pt idx="4">
                  <v>17</v>
                </pt>
                <pt idx="5">
                  <v>8</v>
                </pt>
                <pt idx="6">
                  <v>7</v>
                </pt>
                <pt idx="7">
                  <v>14</v>
                </pt>
                <pt idx="8">
                  <v>2</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Dashboard!$A$50:$A$58</f>
              <numCache>
                <formatCode>mmm\ yyyy</formatCode>
                <ptCount val="9"/>
                <pt idx="0">
                  <v>46023</v>
                </pt>
                <pt idx="1">
                  <v>46054</v>
                </pt>
                <pt idx="2">
                  <v>46082</v>
                </pt>
                <pt idx="3">
                  <v>46113</v>
                </pt>
                <pt idx="4">
                  <v>46143</v>
                </pt>
                <pt idx="5">
                  <v>46174</v>
                </pt>
                <pt idx="6">
                  <v>46204</v>
                </pt>
                <pt idx="7">
                  <v>46235</v>
                </pt>
                <pt idx="8">
                  <v>46266</v>
                </pt>
              </numCache>
            </numRef>
          </cat>
          <val>
            <numRef>
              <f>Dashboard!$C$50:$C$58</f>
              <numCache>
                <formatCode>General</formatCode>
                <ptCount val="9"/>
                <pt idx="0">
                  <v>0</v>
                </pt>
                <pt idx="1">
                  <v>0</v>
                </pt>
                <pt idx="2">
                  <v>1</v>
                </pt>
                <pt idx="3">
                  <v>1</v>
                </pt>
                <pt idx="4">
                  <v>1</v>
                </pt>
                <pt idx="5">
                  <v>3</v>
                </pt>
                <pt idx="6">
                  <v>4</v>
                </pt>
                <pt idx="7">
                  <v>2</v>
                </pt>
                <pt idx="8">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39</v>
                </pt>
                <pt idx="1">
                  <v>21</v>
                </pt>
                <pt idx="2">
                  <v>17</v>
                </pt>
                <pt idx="3">
                  <v>4</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2</v>
                </pt>
                <pt idx="2">
                  <v>83</v>
                </pt>
                <pt idx="3">
                  <v>8</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42</v>
                </pt>
                <pt idx="1">
                  <v>32</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Dashboard!$A$64:$A$74</f>
              <strCache>
                <ptCount val="11"/>
                <pt idx="0">
                  <v>Ford</v>
                </pt>
                <pt idx="1">
                  <v>Eaton</v>
                </pt>
                <pt idx="2">
                  <v>Caterpillar</v>
                </pt>
                <pt idx="3">
                  <v>Collins Aerospace</v>
                </pt>
                <pt idx="4">
                  <v>GM</v>
                </pt>
                <pt idx="5">
                  <v>Ford/GM</v>
                </pt>
                <pt idx="6">
                  <v>Merck</v>
                </pt>
                <pt idx="7">
                  <v>Schneider Electric</v>
                </pt>
                <pt idx="8">
                  <v>UVM Health Network</v>
                </pt>
                <pt idx="9">
                  <v>Bombardier</v>
                </pt>
                <pt idx="10">
                  <v>Other customers</v>
                </pt>
              </strCache>
            </strRef>
          </cat>
          <val>
            <numRef>
              <f>Dashboard!$B$64:$B$74</f>
              <numCache>
                <formatCode>General</formatCode>
                <ptCount val="11"/>
                <pt idx="0">
                  <v>31</v>
                </pt>
                <pt idx="1">
                  <v>11</v>
                </pt>
                <pt idx="2">
                  <v>7</v>
                </pt>
                <pt idx="3">
                  <v>4</v>
                </pt>
                <pt idx="4">
                  <v>4</v>
                </pt>
                <pt idx="5">
                  <v>3</v>
                </pt>
                <pt idx="6">
                  <v>2</v>
                </pt>
                <pt idx="7">
                  <v>2</v>
                </pt>
                <pt idx="8">
                  <v>2</v>
                </pt>
                <pt idx="9">
                  <v>1</v>
                </pt>
                <pt idx="10">
                  <v>14</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Dashboard!$E$64:$E$72</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Dashboard!$F$64:$F$72</f>
              <numCache>
                <formatCode>General</formatCode>
                <ptCount val="9"/>
                <pt idx="0">
                  <v>26</v>
                </pt>
                <pt idx="1">
                  <v>30</v>
                </pt>
                <pt idx="2">
                  <v>3</v>
                </pt>
                <pt idx="3">
                  <v>6</v>
                </pt>
                <pt idx="4">
                  <v>5</v>
                </pt>
                <pt idx="5">
                  <v>4</v>
                </pt>
                <pt idx="6">
                  <v>2</v>
                </pt>
                <pt idx="7">
                  <v>2</v>
                </pt>
                <pt idx="8">
                  <v>3</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W94" headerRowCount="1" totalsRowShown="0" headerRowDxfId="30" dataDxfId="29">
  <autoFilter ref="A1:W94"/>
  <tableColumns count="23">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37" headerRowCount="1" totalsRowShown="0" headerRowDxfId="6" dataDxfId="5">
  <autoFilter ref="A3:E137"/>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W94"/>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row>
    <row r="7">
      <c r="A7" s="35" t="n">
        <v>46054</v>
      </c>
      <c r="B7" s="37" t="n">
        <v>46062</v>
      </c>
      <c r="C7" s="33" t="inlineStr">
        <is>
          <t>Bankruptcy</t>
        </is>
      </c>
      <c r="D7" s="33" t="inlineStr">
        <is>
          <t>Schneider Electric</t>
        </is>
      </c>
      <c r="E7" s="39" t="n">
        <v>1</v>
      </c>
      <c r="F7" s="33" t="inlineStr">
        <is>
          <t>Insolvency event (supplier not captured)</t>
        </is>
      </c>
      <c r="G7" s="33" t="inlineStr">
        <is>
          <t>Complaint</t>
        </is>
      </c>
      <c r="H7" s="33" t="inlineStr">
        <is>
          <t>Missed insolvency alert</t>
        </is>
      </c>
      <c r="I7" s="33" t="inlineStr">
        <is>
          <t>Product</t>
        </is>
      </c>
      <c r="J7" s="33" t="inlineStr">
        <is>
          <t>Source Coverage</t>
        </is>
      </c>
      <c r="K7" s="33" t="inlineStr">
        <is>
          <t>Improvement</t>
        </is>
      </c>
      <c r="L7" s="33" t="inlineStr">
        <is>
          <t>Fixed</t>
        </is>
      </c>
      <c r="M7" s="33" t="inlineStr">
        <is>
          <t>Dynamic Source Discovery</t>
        </is>
      </c>
      <c r="N7" s="33" t="inlineStr">
        <is>
          <t>Yes</t>
        </is>
      </c>
      <c r="O7" s="33" t="inlineStr">
        <is>
          <t>Insolvency miss due to source gap; RCA finalized and shared with customer.</t>
        </is>
      </c>
      <c r="P7" s="33" t="n"/>
      <c r="Q7" s="33" t="inlineStr">
        <is>
          <t>Yes</t>
        </is>
      </c>
      <c r="R7" s="39" t="n">
        <v>2</v>
      </c>
      <c r="S7" s="39" t="n"/>
      <c r="T7" s="35" t="n">
        <v>46054</v>
      </c>
      <c r="U7" s="33" t="inlineStr">
        <is>
          <t>Medium</t>
        </is>
      </c>
      <c r="V7" s="33" t="inlineStr">
        <is>
          <t>Dynamic Source Discovery</t>
        </is>
      </c>
    </row>
    <row r="8">
      <c r="A8" s="35" t="n">
        <v>46054</v>
      </c>
      <c r="B8" s="37" t="n">
        <v>46070</v>
      </c>
      <c r="C8" s="33" t="inlineStr">
        <is>
          <t>Geopolitical</t>
        </is>
      </c>
      <c r="D8" s="33" t="inlineStr">
        <is>
          <t>Nestle Global</t>
        </is>
      </c>
      <c r="E8" s="39" t="n">
        <v>1</v>
      </c>
      <c r="F8" s="33" t="inlineStr">
        <is>
          <t>"Update 7: US Armed Forces Capture Venezuelan President…"</t>
        </is>
      </c>
      <c r="G8" s="33" t="inlineStr">
        <is>
          <t>Complaint</t>
        </is>
      </c>
      <c r="H8" s="33" t="inlineStr">
        <is>
          <t>Severity / consolidation handling concern</t>
        </is>
      </c>
      <c r="I8" s="33" t="inlineStr">
        <is>
          <t>Process</t>
        </is>
      </c>
      <c r="J8" s="33" t="inlineStr">
        <is>
          <t>Strategy</t>
        </is>
      </c>
      <c r="K8" s="33" t="inlineStr">
        <is>
          <t>Improvement</t>
        </is>
      </c>
      <c r="L8" s="33" t="inlineStr">
        <is>
          <t>Clarification Provided</t>
        </is>
      </c>
      <c r="M8" s="33" t="inlineStr">
        <is>
          <t>Severity logic transparency for API/control tower users</t>
        </is>
      </c>
      <c r="N8" s="33" t="inlineStr">
        <is>
          <t>Yes</t>
        </is>
      </c>
      <c r="O8" s="33" t="inlineStr">
        <is>
          <t>Customer questioned severity/consolidation handling; rationale explained for single-thread WarRoom approach.</t>
        </is>
      </c>
      <c r="P8" s="33" t="n"/>
      <c r="Q8" s="33" t="inlineStr">
        <is>
          <t>No</t>
        </is>
      </c>
      <c r="R8" s="39" t="n">
        <v>2</v>
      </c>
      <c r="S8" s="39" t="n"/>
      <c r="T8" s="35" t="n">
        <v>46054</v>
      </c>
      <c r="U8" s="33" t="inlineStr">
        <is>
          <t>Medium</t>
        </is>
      </c>
      <c r="V8" s="33" t="inlineStr">
        <is>
          <t>Other Control Automation</t>
        </is>
      </c>
    </row>
    <row r="9">
      <c r="A9" s="35" t="n">
        <v>46054</v>
      </c>
      <c r="B9" s="37" t="n">
        <v>46073</v>
      </c>
      <c r="C9" s="33" t="inlineStr">
        <is>
          <t>Extreme Weather</t>
        </is>
      </c>
      <c r="D9" s="33" t="inlineStr">
        <is>
          <t>Ford</t>
        </is>
      </c>
      <c r="E9" s="39" t="n">
        <v>1</v>
      </c>
      <c r="F9" s="33" t="inlineStr">
        <is>
          <t>Snowstorm Forecast Not Captured</t>
        </is>
      </c>
      <c r="G9" s="33" t="inlineStr">
        <is>
          <t>Complaint</t>
        </is>
      </c>
      <c r="H9" s="33" t="inlineStr">
        <is>
          <t>Missed Event</t>
        </is>
      </c>
      <c r="I9" s="33" t="inlineStr">
        <is>
          <t>People</t>
        </is>
      </c>
      <c r="J9" s="33" t="inlineStr">
        <is>
          <t>Event Identification</t>
        </is>
      </c>
      <c r="K9" s="33" t="inlineStr">
        <is>
          <t>Improvement</t>
        </is>
      </c>
      <c r="L9" s="33" t="inlineStr">
        <is>
          <t>Clarification Provided</t>
        </is>
      </c>
      <c r="M9" s="33" t="inlineStr">
        <is>
          <t>Forecast classification logic</t>
        </is>
      </c>
      <c r="N9" s="33" t="inlineStr">
        <is>
          <t>No</t>
        </is>
      </c>
      <c r="O9" s="33" t="inlineStr">
        <is>
          <t>Snowstorm moved to monitoring incorrectly; decision explained to customer.</t>
        </is>
      </c>
      <c r="P9" s="33" t="n"/>
      <c r="Q9" s="33" t="inlineStr">
        <is>
          <t>Yes</t>
        </is>
      </c>
      <c r="R9" s="39" t="n">
        <v>2</v>
      </c>
      <c r="S9" s="39" t="n"/>
      <c r="T9" s="35" t="n">
        <v>46054</v>
      </c>
      <c r="U9" s="33" t="inlineStr">
        <is>
          <t>Medium</t>
        </is>
      </c>
      <c r="V9" s="33" t="inlineStr">
        <is>
          <t>Other Control Automation</t>
        </is>
      </c>
    </row>
    <row r="10">
      <c r="A10" s="35" t="n">
        <v>46054</v>
      </c>
      <c r="B10" s="37" t="n">
        <v>46073</v>
      </c>
      <c r="C10" s="33" t="inlineStr">
        <is>
          <t>Labor Disruption</t>
        </is>
      </c>
      <c r="D10" s="33" t="inlineStr">
        <is>
          <t>Caterpillar</t>
        </is>
      </c>
      <c r="E10" s="39" t="n">
        <v>1</v>
      </c>
      <c r="F10" s="33" t="inlineStr">
        <is>
          <t>Spain railway strike (event not converted to WarRoom)</t>
        </is>
      </c>
      <c r="G10" s="33" t="inlineStr">
        <is>
          <t>Complaint</t>
        </is>
      </c>
      <c r="H10" s="33" t="inlineStr">
        <is>
          <t>WarRoom not created despite nationwide disruption</t>
        </is>
      </c>
      <c r="I10" s="33" t="inlineStr">
        <is>
          <t>Product</t>
        </is>
      </c>
      <c r="J10" s="33" t="inlineStr">
        <is>
          <t>Review</t>
        </is>
      </c>
      <c r="K10" s="33" t="inlineStr">
        <is>
          <t>Improvement</t>
        </is>
      </c>
      <c r="L10" s="33" t="inlineStr">
        <is>
          <t>Fixed</t>
        </is>
      </c>
      <c r="M10" s="33" t="inlineStr">
        <is>
          <t>Escalation automation</t>
        </is>
      </c>
      <c r="N10" s="33" t="inlineStr">
        <is>
          <t>Yes</t>
        </is>
      </c>
      <c r="O10" s="33" t="inlineStr">
        <is>
          <t>AI classification bias + missed human escalation; WarRoom created after reassessment. NC issued.</t>
        </is>
      </c>
      <c r="P10" s="33" t="n"/>
      <c r="Q10" s="33" t="inlineStr">
        <is>
          <t>Yes</t>
        </is>
      </c>
      <c r="R10" s="39" t="n">
        <v>2</v>
      </c>
      <c r="S10" s="39" t="n"/>
      <c r="T10" s="35" t="n">
        <v>46054</v>
      </c>
      <c r="U10" s="33" t="inlineStr">
        <is>
          <t>Medium</t>
        </is>
      </c>
      <c r="V10" s="33" t="inlineStr">
        <is>
          <t>WarRoom &amp; Decision Validation</t>
        </is>
      </c>
    </row>
    <row r="11">
      <c r="A11" s="35" t="n">
        <v>46054</v>
      </c>
      <c r="B11" s="37" t="n">
        <v>46076</v>
      </c>
      <c r="C11" s="33" t="inlineStr">
        <is>
          <t>Geopolitical</t>
        </is>
      </c>
      <c r="D11" s="33" t="inlineStr">
        <is>
          <t>Roche</t>
        </is>
      </c>
      <c r="E11" s="39" t="n">
        <v>1</v>
      </c>
      <c r="F11" s="33" t="inlineStr">
        <is>
          <t>"Military Operation Against CJNG Cartel Triggers Multi-State Violence in Mexico"</t>
        </is>
      </c>
      <c r="G11" s="33" t="inlineStr">
        <is>
          <t>Complaint</t>
        </is>
      </c>
      <c r="H11" s="33" t="inlineStr">
        <is>
          <t>Coverage Verification Request</t>
        </is>
      </c>
      <c r="I11" s="33" t="inlineStr">
        <is>
          <t>Process</t>
        </is>
      </c>
      <c r="J11" s="33" t="inlineStr">
        <is>
          <t>Visibility</t>
        </is>
      </c>
      <c r="K11" s="33" t="inlineStr">
        <is>
          <t>Improvement</t>
        </is>
      </c>
      <c r="L11" s="33" t="inlineStr">
        <is>
          <t>Clarification Provided</t>
        </is>
      </c>
      <c r="M11" s="33" t="inlineStr">
        <is>
          <t>Validation automation</t>
        </is>
      </c>
      <c r="N11" s="33" t="inlineStr">
        <is>
          <t>Yes</t>
        </is>
      </c>
      <c r="O11" s="33" t="inlineStr">
        <is>
          <t>Customer said event not reported; EW confirmed WarRoom already published and delivery verified.</t>
        </is>
      </c>
      <c r="P11" s="33" t="n"/>
      <c r="Q11" s="33" t="inlineStr">
        <is>
          <t>No</t>
        </is>
      </c>
      <c r="R11" s="39" t="n">
        <v>2</v>
      </c>
      <c r="S11" s="39" t="n"/>
      <c r="T11" s="35" t="n">
        <v>46054</v>
      </c>
      <c r="U11" s="33" t="inlineStr">
        <is>
          <t>Medium</t>
        </is>
      </c>
      <c r="V11" s="33" t="inlineStr">
        <is>
          <t>Notification Visibility Monitoring</t>
        </is>
      </c>
    </row>
    <row r="12">
      <c r="A12" s="35" t="n">
        <v>46054</v>
      </c>
      <c r="B12" s="37" t="n">
        <v>46078</v>
      </c>
      <c r="C12" s="33" t="inlineStr">
        <is>
          <t>Leadership Transition</t>
        </is>
      </c>
      <c r="D12" s="33" t="inlineStr">
        <is>
          <t>Eaton</t>
        </is>
      </c>
      <c r="E12" s="39" t="n">
        <v>1</v>
      </c>
      <c r="F12" s="33" t="inlineStr">
        <is>
          <t>Duplicate WarRooms: "Xometry Announces CEO Succession Plan" + "Xometry Appoints New CEO"</t>
        </is>
      </c>
      <c r="G12" s="33" t="inlineStr">
        <is>
          <t>Complaint</t>
        </is>
      </c>
      <c r="H12" s="33" t="inlineStr">
        <is>
          <t>Duplicate WarRooms</t>
        </is>
      </c>
      <c r="I12" s="33" t="inlineStr">
        <is>
          <t>People</t>
        </is>
      </c>
      <c r="J12" s="33" t="inlineStr">
        <is>
          <t>Duplication</t>
        </is>
      </c>
      <c r="K12" s="33" t="inlineStr">
        <is>
          <t>Improvement</t>
        </is>
      </c>
      <c r="L12" s="33" t="inlineStr">
        <is>
          <t>Fixed</t>
        </is>
      </c>
      <c r="M12" s="33" t="inlineStr">
        <is>
          <t>Duplicate detection</t>
        </is>
      </c>
      <c r="N12" s="33" t="inlineStr">
        <is>
          <t>Yes</t>
        </is>
      </c>
      <c r="O12" s="33" t="inlineStr">
        <is>
          <t>Duplicate WarRooms created; control failure acknowledged. NC raised for decision-making gap.</t>
        </is>
      </c>
      <c r="P12" s="33" t="n"/>
      <c r="Q12" s="33" t="inlineStr">
        <is>
          <t>No</t>
        </is>
      </c>
      <c r="R12" s="39" t="n">
        <v>2</v>
      </c>
      <c r="S12" s="39" t="n"/>
      <c r="T12" s="35" t="n">
        <v>46054</v>
      </c>
      <c r="U12" s="33" t="inlineStr">
        <is>
          <t>Medium</t>
        </is>
      </c>
      <c r="V12" s="33" t="inlineStr">
        <is>
          <t>Cluster Integrity &amp; Duplicate Prevention</t>
        </is>
      </c>
    </row>
    <row r="13">
      <c r="A13" s="35" t="n">
        <v>46082</v>
      </c>
      <c r="B13" s="37" t="n">
        <v>46085</v>
      </c>
      <c r="C13" s="33" t="inlineStr">
        <is>
          <t>Protest/Riot</t>
        </is>
      </c>
      <c r="D13" s="33" t="inlineStr">
        <is>
          <t>Ford</t>
        </is>
      </c>
      <c r="E13" s="39" t="n">
        <v>1</v>
      </c>
      <c r="F13" s="33" t="inlineStr">
        <is>
          <t>"Transporters Threaten Potential Border Blockades Across Bosnia and Herzegovina"</t>
        </is>
      </c>
      <c r="G13" s="33" t="inlineStr">
        <is>
          <t>Complaint</t>
        </is>
      </c>
      <c r="H13" s="33" t="inlineStr">
        <is>
          <t>Missed alert / event not captured</t>
        </is>
      </c>
      <c r="I13" s="33" t="inlineStr">
        <is>
          <t>Product</t>
        </is>
      </c>
      <c r="J13" s="33" t="inlineStr">
        <is>
          <t>Keyword Update</t>
        </is>
      </c>
      <c r="K13" s="33" t="inlineStr">
        <is>
          <t>Improvement</t>
        </is>
      </c>
      <c r="L13" s="33" t="inlineStr">
        <is>
          <t>Fixed</t>
        </is>
      </c>
      <c r="M13" s="33" t="inlineStr">
        <is>
          <t>Dynamic Source Discovery</t>
        </is>
      </c>
      <c r="N13" s="33" t="inlineStr">
        <is>
          <t>Yes</t>
        </is>
      </c>
      <c r="O13" s="33" t="inlineStr">
        <is>
          <t>Feeds not ingested; vendor source and keywords added after customer escalation.</t>
        </is>
      </c>
      <c r="P13" s="33" t="n"/>
      <c r="Q13" s="33" t="inlineStr">
        <is>
          <t>Yes</t>
        </is>
      </c>
      <c r="R13" s="39" t="n">
        <v>3</v>
      </c>
      <c r="S13" s="39" t="n"/>
      <c r="T13" s="35" t="n">
        <v>46082</v>
      </c>
      <c r="U13" s="33" t="inlineStr">
        <is>
          <t>Medium</t>
        </is>
      </c>
      <c r="V13" s="33" t="inlineStr">
        <is>
          <t>Dynamic Source Discovery</t>
        </is>
      </c>
    </row>
    <row r="14">
      <c r="A14" s="35" t="n">
        <v>46082</v>
      </c>
      <c r="B14" s="37" t="n">
        <v>46085</v>
      </c>
      <c r="C14" s="33" t="inlineStr">
        <is>
          <t>Bankruptcy</t>
        </is>
      </c>
      <c r="D14" s="33" t="inlineStr">
        <is>
          <t>Eaton</t>
        </is>
      </c>
      <c r="E14" s="39" t="n">
        <v>1</v>
      </c>
      <c r="F14" s="33" t="inlineStr">
        <is>
          <t>"DRUTEC Druckguss &amp; Montagetechnik GmbH + Co. KG Files for Insolvency in Germany"</t>
        </is>
      </c>
      <c r="G14" s="33" t="inlineStr">
        <is>
          <t>Complaint</t>
        </is>
      </c>
      <c r="H14" s="33" t="inlineStr">
        <is>
          <t>Missed insolvency event</t>
        </is>
      </c>
      <c r="I14" s="33" t="inlineStr">
        <is>
          <t>Product</t>
        </is>
      </c>
      <c r="J14" s="33" t="inlineStr">
        <is>
          <t>Source Coverage</t>
        </is>
      </c>
      <c r="K14" s="33" t="inlineStr">
        <is>
          <t>Improvement</t>
        </is>
      </c>
      <c r="L14" s="33" t="inlineStr">
        <is>
          <t>Fixed</t>
        </is>
      </c>
      <c r="M14" s="33" t="inlineStr">
        <is>
          <t>Dynamic Source Discovery</t>
        </is>
      </c>
      <c r="N14" s="33" t="inlineStr">
        <is>
          <t>Yes</t>
        </is>
      </c>
      <c r="O14" s="33" t="inlineStr">
        <is>
          <t>DRUTEC bankruptcy feeds not captured; sources not in vendor network. Vendor addition requested.</t>
        </is>
      </c>
      <c r="P14" s="33" t="n"/>
      <c r="Q14" s="33" t="inlineStr">
        <is>
          <t>Yes</t>
        </is>
      </c>
      <c r="R14" s="39" t="n">
        <v>3</v>
      </c>
      <c r="S14" s="39" t="n"/>
      <c r="T14" s="35" t="n">
        <v>46082</v>
      </c>
      <c r="U14" s="33" t="inlineStr">
        <is>
          <t>Medium</t>
        </is>
      </c>
      <c r="V14" s="33" t="inlineStr">
        <is>
          <t>Dynamic Source Discovery</t>
        </is>
      </c>
    </row>
    <row r="15">
      <c r="A15" s="35" t="n">
        <v>46082</v>
      </c>
      <c r="B15" s="37" t="n">
        <v>46091</v>
      </c>
      <c r="C15" s="33" t="inlineStr">
        <is>
          <t>Factory Fire</t>
        </is>
      </c>
      <c r="D15" s="33" t="inlineStr">
        <is>
          <t>Ford</t>
        </is>
      </c>
      <c r="E15" s="39" t="n">
        <v>1</v>
      </c>
      <c r="F15" s="33" t="inlineStr">
        <is>
          <t>"Eason &amp; Co Notifies Of Fire Incident In Area Its Factory" (customer wording)</t>
        </is>
      </c>
      <c r="G15" s="33" t="inlineStr">
        <is>
          <t>Inquiry</t>
        </is>
      </c>
      <c r="H15" s="33" t="inlineStr">
        <is>
          <t>Event not triggered / not notified</t>
        </is>
      </c>
      <c r="I15" s="33" t="inlineStr">
        <is>
          <t>Product</t>
        </is>
      </c>
      <c r="J15" s="33" t="inlineStr">
        <is>
          <t>Mapping</t>
        </is>
      </c>
      <c r="K15" s="33" t="inlineStr">
        <is>
          <t>Improvement</t>
        </is>
      </c>
      <c r="L15" s="33" t="inlineStr">
        <is>
          <t>Clarification Provided</t>
        </is>
      </c>
      <c r="M15" s="33" t="inlineStr">
        <is>
          <t>Customer-facing "not mapped" explanation template + What-If guidance</t>
        </is>
      </c>
      <c r="N15" s="33" t="inlineStr">
        <is>
          <t>No</t>
        </is>
      </c>
      <c r="O15" s="33" t="inlineStr">
        <is>
          <t>Event not triggered due to company not mapped as Ford supplier; explanation provided.</t>
        </is>
      </c>
      <c r="P15" s="33" t="n"/>
      <c r="Q15" s="33" t="inlineStr">
        <is>
          <t>Yes</t>
        </is>
      </c>
      <c r="R15" s="39" t="n">
        <v>3</v>
      </c>
      <c r="S15" s="39" t="n"/>
      <c r="T15" s="35" t="n">
        <v>46082</v>
      </c>
      <c r="U15" s="33" t="inlineStr">
        <is>
          <t>Medium</t>
        </is>
      </c>
      <c r="V15" s="33" t="inlineStr">
        <is>
          <t>Entity &amp; Supplier Resolution</t>
        </is>
      </c>
    </row>
    <row r="16">
      <c r="A16" s="35" t="n">
        <v>46082</v>
      </c>
      <c r="B16" s="37" t="n">
        <v>46092</v>
      </c>
      <c r="C16" s="33" t="inlineStr">
        <is>
          <t>Bankruptcy</t>
        </is>
      </c>
      <c r="D16" s="33" t="inlineStr">
        <is>
          <t>Ford</t>
        </is>
      </c>
      <c r="E16" s="39" t="n">
        <v>1</v>
      </c>
      <c r="F16" s="33" t="inlineStr">
        <is>
          <t>"French Court Declines Accelerated Safeguard Plan for Saint Jean Industries"</t>
        </is>
      </c>
      <c r="G16" s="33" t="inlineStr">
        <is>
          <t>Complaint</t>
        </is>
      </c>
      <c r="H16" s="33" t="inlineStr">
        <is>
          <t>Missing Resilinc alert / insolvency not captured</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Insolvency feeds not captured; vendor working on adding source.</t>
        </is>
      </c>
      <c r="P16" s="33" t="n"/>
      <c r="Q16" s="33" t="inlineStr">
        <is>
          <t>Yes</t>
        </is>
      </c>
      <c r="R16" s="39" t="n">
        <v>3</v>
      </c>
      <c r="S16" s="39" t="n"/>
      <c r="T16" s="35" t="n">
        <v>46082</v>
      </c>
      <c r="U16" s="33" t="inlineStr">
        <is>
          <t>Medium</t>
        </is>
      </c>
      <c r="V16" s="33" t="inlineStr">
        <is>
          <t>Dynamic Source Discovery</t>
        </is>
      </c>
    </row>
    <row r="17">
      <c r="A17" s="35" t="n">
        <v>46082</v>
      </c>
      <c r="B17" s="37" t="n">
        <v>46097</v>
      </c>
      <c r="C17" s="33" t="inlineStr">
        <is>
          <t>Cyber Attack</t>
        </is>
      </c>
      <c r="D17" s="33" t="inlineStr">
        <is>
          <t>UVM Health Network</t>
        </is>
      </c>
      <c r="E17" s="39" t="n">
        <v>1</v>
      </c>
      <c r="F17" s="33" t="inlineStr">
        <is>
          <t>WarRoom visibility: "Cyber Attack Disrupts Operations at Stryker Corporation"</t>
        </is>
      </c>
      <c r="G17" s="33" t="inlineStr">
        <is>
          <t>Complaint</t>
        </is>
      </c>
      <c r="H17" s="33" t="inlineStr">
        <is>
          <t>WarRoom visibility affected by customer profile filters</t>
        </is>
      </c>
      <c r="I17" s="33" t="inlineStr">
        <is>
          <t>Process</t>
        </is>
      </c>
      <c r="J17" s="33" t="inlineStr">
        <is>
          <t>Visibility</t>
        </is>
      </c>
      <c r="K17" s="33" t="inlineStr">
        <is>
          <t>Improvement</t>
        </is>
      </c>
      <c r="L17" s="33" t="inlineStr">
        <is>
          <t>Clarification Provided</t>
        </is>
      </c>
      <c r="M17" s="33" t="inlineStr">
        <is>
          <t>Preventive UI prompt: "Unsaved preference changes" + default include Resilinc for WarRoom view</t>
        </is>
      </c>
      <c r="N17" s="33" t="inlineStr">
        <is>
          <t>No</t>
        </is>
      </c>
      <c r="O17" s="33" t="inlineStr">
        <is>
          <t>WarRoom not visible due to user preference filtering out Resilinc; customer advised to update settings.</t>
        </is>
      </c>
      <c r="P17" s="33" t="n"/>
      <c r="Q17" s="33" t="inlineStr">
        <is>
          <t>No</t>
        </is>
      </c>
      <c r="R17" s="39" t="n">
        <v>3</v>
      </c>
      <c r="S17" s="39" t="n"/>
      <c r="T17" s="35" t="n">
        <v>46082</v>
      </c>
      <c r="U17" s="33" t="inlineStr">
        <is>
          <t>Medium</t>
        </is>
      </c>
      <c r="V17" s="33" t="inlineStr">
        <is>
          <t>Notification Visibility Monitoring</t>
        </is>
      </c>
    </row>
    <row r="18">
      <c r="A18" s="35" t="n">
        <v>46082</v>
      </c>
      <c r="B18" s="37" t="n">
        <v>46097</v>
      </c>
      <c r="C18" s="33" t="inlineStr">
        <is>
          <t>Cyber Attack</t>
        </is>
      </c>
      <c r="D18" s="33" t="inlineStr">
        <is>
          <t>UVM Health Network</t>
        </is>
      </c>
      <c r="E18" s="39" t="n">
        <v>1</v>
      </c>
      <c r="F18" s="33" t="inlineStr">
        <is>
          <t>"Data Breach Reported at Intuitive Surgical Following Phishing Attack"</t>
        </is>
      </c>
      <c r="G18" s="33" t="inlineStr">
        <is>
          <t>Complaint</t>
        </is>
      </c>
      <c r="H18" s="33" t="inlineStr">
        <is>
          <t>Missing EventWatch coverage / feeds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Phishing incident feeds not captured; WarRoom published after investigation.</t>
        </is>
      </c>
      <c r="P18" s="33" t="n"/>
      <c r="Q18" s="33" t="inlineStr">
        <is>
          <t>Yes</t>
        </is>
      </c>
      <c r="R18" s="39" t="n">
        <v>3</v>
      </c>
      <c r="S18" s="39" t="n"/>
      <c r="T18" s="35" t="n">
        <v>46082</v>
      </c>
      <c r="U18" s="33" t="inlineStr">
        <is>
          <t>Medium</t>
        </is>
      </c>
      <c r="V18" s="33" t="inlineStr">
        <is>
          <t>Dynamic Source Discovery</t>
        </is>
      </c>
    </row>
    <row r="19">
      <c r="A19" s="35" t="n">
        <v>46082</v>
      </c>
      <c r="B19" s="37" t="n">
        <v>46099</v>
      </c>
      <c r="C19" s="33" t="inlineStr">
        <is>
          <t>Supply Shortage</t>
        </is>
      </c>
      <c r="D19" s="33" t="inlineStr">
        <is>
          <t>Caterpillar</t>
        </is>
      </c>
      <c r="E19" s="39" t="n">
        <v>1</v>
      </c>
      <c r="F19" s="33" t="inlineStr">
        <is>
          <t>"LPG and LNG Gas Shortage Triggers Nationwide Industrial Disruptions Across India"</t>
        </is>
      </c>
      <c r="G19" s="33" t="inlineStr">
        <is>
          <t>Complaint</t>
        </is>
      </c>
      <c r="H19" s="33" t="inlineStr">
        <is>
          <t>Delay in creating separate WarRoom / delayed escalation</t>
        </is>
      </c>
      <c r="I19" s="33" t="inlineStr">
        <is>
          <t>Product</t>
        </is>
      </c>
      <c r="J19" s="33" t="inlineStr">
        <is>
          <t>Review</t>
        </is>
      </c>
      <c r="K19" s="33" t="inlineStr">
        <is>
          <t>Improvement</t>
        </is>
      </c>
      <c r="L19" s="33" t="inlineStr">
        <is>
          <t>Fixed</t>
        </is>
      </c>
      <c r="M19" s="33" t="inlineStr">
        <is>
          <t>Escalation automation</t>
        </is>
      </c>
      <c r="N19" s="33" t="inlineStr">
        <is>
          <t>Yes</t>
        </is>
      </c>
      <c r="O19" s="33" t="inlineStr">
        <is>
          <t>AI classified LPG shortage as Non-Event; human review missed embedded company-impact articles. Dedicated WarRoom created.</t>
        </is>
      </c>
      <c r="P19" s="33" t="n"/>
      <c r="Q19" s="33" t="inlineStr">
        <is>
          <t>Yes</t>
        </is>
      </c>
      <c r="R19" s="39" t="n">
        <v>3</v>
      </c>
      <c r="S19" s="39" t="n"/>
      <c r="T19" s="35" t="n">
        <v>46082</v>
      </c>
      <c r="U19" s="33" t="inlineStr">
        <is>
          <t>Medium</t>
        </is>
      </c>
      <c r="V19" s="33" t="inlineStr">
        <is>
          <t>WarRoom &amp; Decision Validation</t>
        </is>
      </c>
    </row>
    <row r="20">
      <c r="A20" s="35" t="n">
        <v>46082</v>
      </c>
      <c r="B20" s="37" t="n">
        <v>46104</v>
      </c>
      <c r="C20" s="33" t="inlineStr">
        <is>
          <t>Factory Fire</t>
        </is>
      </c>
      <c r="D20" s="33" t="inlineStr">
        <is>
          <t>Ford</t>
        </is>
      </c>
      <c r="E20" s="39" t="n">
        <v>1</v>
      </c>
      <c r="F20" s="33" t="inlineStr">
        <is>
          <t>"Fire at the Fuyao Glass America Site in Moraine, Ohio, USA"</t>
        </is>
      </c>
      <c r="G20" s="33" t="inlineStr">
        <is>
          <t>Complaint</t>
        </is>
      </c>
      <c r="H20" s="33" t="inlineStr">
        <is>
          <t>Missed alert / event not captured</t>
        </is>
      </c>
      <c r="I20" s="33" t="inlineStr">
        <is>
          <t>Product</t>
        </is>
      </c>
      <c r="J20" s="33" t="inlineStr">
        <is>
          <t>Source Coverage</t>
        </is>
      </c>
      <c r="K20" s="33" t="inlineStr">
        <is>
          <t>Bug</t>
        </is>
      </c>
      <c r="L20" s="33" t="inlineStr">
        <is>
          <t>Fixed</t>
        </is>
      </c>
      <c r="M20" s="33" t="inlineStr">
        <is>
          <t>Dynamic Source Discovery</t>
        </is>
      </c>
      <c r="N20" s="33" t="inlineStr">
        <is>
          <t>Yes</t>
        </is>
      </c>
      <c r="O20" s="33" t="inlineStr">
        <is>
          <t>Open-source articles not ingested; Engineering bug identified in feed harvesting. Patch planned.</t>
        </is>
      </c>
      <c r="P20" s="33" t="n"/>
      <c r="Q20" s="33" t="inlineStr">
        <is>
          <t>Yes</t>
        </is>
      </c>
      <c r="R20" s="39" t="n">
        <v>3</v>
      </c>
      <c r="S20" s="39" t="n"/>
      <c r="T20" s="35" t="n">
        <v>46082</v>
      </c>
      <c r="U20" s="33" t="inlineStr">
        <is>
          <t>Medium</t>
        </is>
      </c>
      <c r="V20" s="33" t="inlineStr">
        <is>
          <t>Dynamic Source Discovery</t>
        </is>
      </c>
    </row>
    <row r="21">
      <c r="A21" s="35" t="n">
        <v>46082</v>
      </c>
      <c r="B21" s="37" t="n">
        <v>46106</v>
      </c>
      <c r="C21" s="33" t="inlineStr">
        <is>
          <t>Regulatory Change</t>
        </is>
      </c>
      <c r="D21" s="33" t="inlineStr">
        <is>
          <t>HPE</t>
        </is>
      </c>
      <c r="E21" s="39" t="n">
        <v>1</v>
      </c>
      <c r="F21" s="33" t="inlineStr">
        <is>
          <t>"Microsoft Azure account raised SEC notification delay (Jan 2025)"</t>
        </is>
      </c>
      <c r="G21" s="33" t="inlineStr">
        <is>
          <t>Complaint</t>
        </is>
      </c>
      <c r="H21" s="33" t="inlineStr">
        <is>
          <t>SEC notification not captured/provided on time</t>
        </is>
      </c>
      <c r="I21" s="33" t="inlineStr">
        <is>
          <t>People</t>
        </is>
      </c>
      <c r="J21" s="33" t="inlineStr">
        <is>
          <t>Process Clarification</t>
        </is>
      </c>
      <c r="K21" s="33" t="inlineStr">
        <is>
          <t>Improvement</t>
        </is>
      </c>
      <c r="L21" s="33" t="inlineStr">
        <is>
          <t>Clarification Provided</t>
        </is>
      </c>
      <c r="M21" s="33" t="inlineStr">
        <is>
          <t>Regulatory feed timeliness checks + publication timestamp comparison</t>
        </is>
      </c>
      <c r="N21" s="33" t="inlineStr">
        <is>
          <t>Yes</t>
        </is>
      </c>
      <c r="O21" s="33" t="inlineStr">
        <is>
          <t>SEC notification delay investigation requested; awaiting closure inputs.</t>
        </is>
      </c>
      <c r="P21" s="33" t="n"/>
      <c r="Q21" s="33" t="inlineStr">
        <is>
          <t>Yes</t>
        </is>
      </c>
      <c r="R21" s="39" t="n">
        <v>3</v>
      </c>
      <c r="S21" s="39" t="n"/>
      <c r="T21" s="35" t="n">
        <v>46082</v>
      </c>
      <c r="U21" s="33" t="inlineStr">
        <is>
          <t>Medium</t>
        </is>
      </c>
      <c r="V21" s="33" t="inlineStr">
        <is>
          <t>Dynamic Source Discovery</t>
        </is>
      </c>
    </row>
    <row r="22">
      <c r="A22" s="35" t="n">
        <v>46082</v>
      </c>
      <c r="B22" s="37" t="n">
        <v>46107</v>
      </c>
      <c r="C22" s="33" t="inlineStr">
        <is>
          <t>Labor Disruption</t>
        </is>
      </c>
      <c r="D22" s="33" t="inlineStr">
        <is>
          <t>Ford</t>
        </is>
      </c>
      <c r="E22" s="39" t="n">
        <v>1</v>
      </c>
      <c r="F22" s="33" t="inlineStr">
        <is>
          <t>"Workers Strike at Freudenberg-NOK Sealing Technologies in Findlay, Ohio, USA"</t>
        </is>
      </c>
      <c r="G22" s="33" t="inlineStr">
        <is>
          <t>Complaint</t>
        </is>
      </c>
      <c r="H22" s="33" t="inlineStr">
        <is>
          <t>Missing Automotive industry tag (customer tracking missed it)</t>
        </is>
      </c>
      <c r="I22" s="33" t="inlineStr">
        <is>
          <t>People</t>
        </is>
      </c>
      <c r="J22" s="33" t="inlineStr">
        <is>
          <t>Tagging</t>
        </is>
      </c>
      <c r="K22" s="33" t="inlineStr">
        <is>
          <t>Improvement</t>
        </is>
      </c>
      <c r="L22" s="33" t="inlineStr">
        <is>
          <t>Fixed</t>
        </is>
      </c>
      <c r="M22" s="33" t="inlineStr">
        <is>
          <t>Auto-tagging</t>
        </is>
      </c>
      <c r="N22" s="33" t="inlineStr">
        <is>
          <t>Yes</t>
        </is>
      </c>
      <c r="O22" s="33" t="inlineStr">
        <is>
          <t>Automotive tag missed during publishing; oversight acknowledged. Review process reinforced.</t>
        </is>
      </c>
      <c r="P22" s="33" t="n"/>
      <c r="Q22" s="33" t="inlineStr">
        <is>
          <t>Yes</t>
        </is>
      </c>
      <c r="R22" s="39" t="n">
        <v>3</v>
      </c>
      <c r="S22" s="39" t="n"/>
      <c r="T22" s="35" t="n">
        <v>46082</v>
      </c>
      <c r="U22" s="33" t="inlineStr">
        <is>
          <t>Medium</t>
        </is>
      </c>
      <c r="V22" s="33" t="inlineStr">
        <is>
          <t>Automated Industry Tagging</t>
        </is>
      </c>
    </row>
    <row r="23">
      <c r="A23" s="35" t="n">
        <v>46082</v>
      </c>
      <c r="B23" s="37" t="n">
        <v>46109</v>
      </c>
      <c r="C23" s="33" t="inlineStr">
        <is>
          <t>Extreme Weather</t>
        </is>
      </c>
      <c r="D23" s="33" t="inlineStr">
        <is>
          <t>Ford</t>
        </is>
      </c>
      <c r="E23" s="39" t="n">
        <v>1</v>
      </c>
      <c r="F23" s="33" t="inlineStr">
        <is>
          <t>"Missed Severe Weather Alert – Midwest USA (March 26, 2026)" (customer wording)</t>
        </is>
      </c>
      <c r="G23" s="33" t="inlineStr">
        <is>
          <t>Complaint</t>
        </is>
      </c>
      <c r="H23" s="33" t="inlineStr">
        <is>
          <t>Missed severe weather alert</t>
        </is>
      </c>
      <c r="I23" s="33" t="inlineStr">
        <is>
          <t>People</t>
        </is>
      </c>
      <c r="J23" s="33" t="inlineStr">
        <is>
          <t>Event Identification</t>
        </is>
      </c>
      <c r="K23" s="33" t="inlineStr">
        <is>
          <t>Improvement</t>
        </is>
      </c>
      <c r="L23" s="33" t="inlineStr">
        <is>
          <t>Clarification Provided</t>
        </is>
      </c>
      <c r="M23" s="33" t="inlineStr">
        <is>
          <t>Escalation automation</t>
        </is>
      </c>
      <c r="N23" s="33" t="inlineStr">
        <is>
          <t>Yes</t>
        </is>
      </c>
      <c r="O23" s="33" t="inlineStr">
        <is>
          <t>Severe weather alert missed; response already provided on 27-Mar-26.</t>
        </is>
      </c>
      <c r="P23" s="33" t="n"/>
      <c r="Q23" s="33" t="inlineStr">
        <is>
          <t>Yes</t>
        </is>
      </c>
      <c r="R23" s="39" t="n">
        <v>3</v>
      </c>
      <c r="S23" s="39" t="n"/>
      <c r="T23" s="35" t="n">
        <v>46082</v>
      </c>
      <c r="U23" s="33" t="inlineStr">
        <is>
          <t>Medium</t>
        </is>
      </c>
      <c r="V23" s="33" t="inlineStr">
        <is>
          <t>WarRoom &amp; Decision Validation</t>
        </is>
      </c>
    </row>
    <row r="24">
      <c r="A24" s="35" t="n">
        <v>46082</v>
      </c>
      <c r="B24" s="37" t="n">
        <v>46112</v>
      </c>
      <c r="C24" s="33" t="inlineStr">
        <is>
          <t>Cyber Attack</t>
        </is>
      </c>
      <c r="D24" s="33" t="inlineStr">
        <is>
          <t>Ford</t>
        </is>
      </c>
      <c r="E24" s="39" t="n">
        <v>1</v>
      </c>
      <c r="F24" s="33" t="inlineStr">
        <is>
          <t>"RESILINC - Delayed Alert for Murata Manufacturing Cyber Attack"</t>
        </is>
      </c>
      <c r="G24" s="33" t="inlineStr">
        <is>
          <t>Complaint</t>
        </is>
      </c>
      <c r="H24" s="33" t="inlineStr">
        <is>
          <t>Delayed alert / WarRoom created late</t>
        </is>
      </c>
      <c r="I24" s="33" t="inlineStr">
        <is>
          <t>Product</t>
        </is>
      </c>
      <c r="J24" s="33" t="inlineStr">
        <is>
          <t>Source Coverage</t>
        </is>
      </c>
      <c r="K24" s="33" t="inlineStr">
        <is>
          <t>Improvement</t>
        </is>
      </c>
      <c r="L24" s="33" t="inlineStr">
        <is>
          <t>Fixed</t>
        </is>
      </c>
      <c r="M24" s="33" t="inlineStr">
        <is>
          <t>Dynamic Source Discovery</t>
        </is>
      </c>
      <c r="N24" s="33" t="inlineStr">
        <is>
          <t>Yes</t>
        </is>
      </c>
      <c r="O24" s="33" t="inlineStr">
        <is>
          <t>25-day delay: Initial source blocked + misclassification. RCA shared with retraining plan.</t>
        </is>
      </c>
      <c r="P24" s="33" t="inlineStr">
        <is>
          <t>25 days</t>
        </is>
      </c>
      <c r="Q24" s="33" t="inlineStr">
        <is>
          <t>Yes</t>
        </is>
      </c>
      <c r="R24" s="39" t="n">
        <v>3</v>
      </c>
      <c r="S24" s="39" t="n">
        <v>600</v>
      </c>
      <c r="T24" s="35" t="n">
        <v>46082</v>
      </c>
      <c r="U24" s="33" t="inlineStr">
        <is>
          <t>Medium</t>
        </is>
      </c>
      <c r="V24" s="33" t="inlineStr">
        <is>
          <t>Dynamic Source Discovery</t>
        </is>
      </c>
    </row>
    <row r="25">
      <c r="A25" s="35" t="n">
        <v>46113</v>
      </c>
      <c r="B25" s="37" t="n">
        <v>46113</v>
      </c>
      <c r="C25" s="33" t="inlineStr">
        <is>
          <t>Cyber Attack</t>
        </is>
      </c>
      <c r="D25" s="33" t="inlineStr">
        <is>
          <t>Ford</t>
        </is>
      </c>
      <c r="E25" s="39" t="n">
        <v>1</v>
      </c>
      <c r="F25" s="33" t="inlineStr">
        <is>
          <t>Delay in Alert Issuance and WarRoom Creation – Murata Cyber Attack</t>
        </is>
      </c>
      <c r="G25" s="33" t="inlineStr">
        <is>
          <t>Complaint</t>
        </is>
      </c>
      <c r="H25" s="33" t="inlineStr">
        <is>
          <t>Delayed Event</t>
        </is>
      </c>
      <c r="I25" s="33" t="inlineStr">
        <is>
          <t>People</t>
        </is>
      </c>
      <c r="J25" s="33" t="inlineStr">
        <is>
          <t>Prioritization</t>
        </is>
      </c>
      <c r="K25" s="33" t="inlineStr">
        <is>
          <t>Improvement</t>
        </is>
      </c>
      <c r="L25" s="33" t="inlineStr">
        <is>
          <t>Fixed</t>
        </is>
      </c>
      <c r="M25" s="33" t="inlineStr">
        <is>
          <t>Source coverage expansion</t>
        </is>
      </c>
      <c r="N25" s="33" t="inlineStr">
        <is>
          <t>Yes</t>
        </is>
      </c>
      <c r="O25" s="33" t="inlineStr">
        <is>
          <t>25-day delay flagged by customer; blocked source + misclassification. Retraining completed.</t>
        </is>
      </c>
      <c r="P25" s="33" t="inlineStr">
        <is>
          <t>25 days</t>
        </is>
      </c>
      <c r="Q25" s="33" t="inlineStr">
        <is>
          <t>Yes</t>
        </is>
      </c>
      <c r="R25" s="39" t="n">
        <v>4</v>
      </c>
      <c r="S25" s="39" t="n">
        <v>600</v>
      </c>
      <c r="T25" s="35" t="n">
        <v>46113</v>
      </c>
      <c r="U25" s="33" t="inlineStr">
        <is>
          <t>Medium</t>
        </is>
      </c>
      <c r="V25" s="33" t="inlineStr">
        <is>
          <t>Dynamic Source Discovery</t>
        </is>
      </c>
    </row>
    <row r="26">
      <c r="A26" s="35" t="n">
        <v>46113</v>
      </c>
      <c r="B26" s="37" t="n">
        <v>46114</v>
      </c>
      <c r="C26" s="33" t="inlineStr">
        <is>
          <t>Factory Fire</t>
        </is>
      </c>
      <c r="D26" s="33" t="inlineStr">
        <is>
          <t>Ford</t>
        </is>
      </c>
      <c r="E26" s="39" t="n">
        <v>1</v>
      </c>
      <c r="F26" s="33" t="inlineStr">
        <is>
          <t>FORD MOTOR– Missing Automotive Tag in Event Watch Alert</t>
        </is>
      </c>
      <c r="G26" s="33" t="inlineStr">
        <is>
          <t>Complaint</t>
        </is>
      </c>
      <c r="H26" s="33" t="inlineStr">
        <is>
          <t>Incorrect Industry selection</t>
        </is>
      </c>
      <c r="I26" s="33" t="inlineStr">
        <is>
          <t>Product</t>
        </is>
      </c>
      <c r="J26" s="33" t="inlineStr">
        <is>
          <t>Industry selection</t>
        </is>
      </c>
      <c r="K26" s="33" t="inlineStr">
        <is>
          <t>Improvement</t>
        </is>
      </c>
      <c r="L26" s="33" t="inlineStr">
        <is>
          <t>Clarification Provided</t>
        </is>
      </c>
      <c r="M26" s="33" t="inlineStr">
        <is>
          <t>Auto-tagging</t>
        </is>
      </c>
      <c r="N26" s="33" t="inlineStr">
        <is>
          <t>Yes</t>
        </is>
      </c>
      <c r="O26" s="33" t="inlineStr">
        <is>
          <t>Missing Automotive tag; long-term enhancement roadmap communicated.</t>
        </is>
      </c>
      <c r="P26" s="33" t="n"/>
      <c r="Q26" s="33" t="inlineStr">
        <is>
          <t>No</t>
        </is>
      </c>
      <c r="R26" s="39" t="n">
        <v>4</v>
      </c>
      <c r="S26" s="39" t="n"/>
      <c r="T26" s="35" t="n">
        <v>46113</v>
      </c>
      <c r="U26" s="33" t="inlineStr">
        <is>
          <t>Medium</t>
        </is>
      </c>
      <c r="V26" s="33" t="inlineStr">
        <is>
          <t>Automated Industry Tagging</t>
        </is>
      </c>
    </row>
    <row r="27">
      <c r="A27" s="35" t="n">
        <v>46113</v>
      </c>
      <c r="B27" s="37" t="n">
        <v>46121</v>
      </c>
      <c r="C27" s="33" t="inlineStr">
        <is>
          <t>Geopolitical</t>
        </is>
      </c>
      <c r="D27" s="33" t="inlineStr">
        <is>
          <t>Ford</t>
        </is>
      </c>
      <c r="E27" s="39" t="n">
        <v>1</v>
      </c>
      <c r="F27" s="33" t="inlineStr">
        <is>
          <t>Truckers and Farmers Block Highways Across Mexico in Nationwide Strike</t>
        </is>
      </c>
      <c r="G27" s="33" t="inlineStr">
        <is>
          <t>Complaint</t>
        </is>
      </c>
      <c r="H27" s="33" t="inlineStr">
        <is>
          <t>Missed Event</t>
        </is>
      </c>
      <c r="I27" s="33" t="inlineStr">
        <is>
          <t>People</t>
        </is>
      </c>
      <c r="J27" s="33" t="inlineStr">
        <is>
          <t>Event Identification</t>
        </is>
      </c>
      <c r="K27" s="33" t="inlineStr">
        <is>
          <t>Improvement</t>
        </is>
      </c>
      <c r="L27" s="33" t="inlineStr">
        <is>
          <t>Fixed</t>
        </is>
      </c>
      <c r="M27" s="33" t="inlineStr">
        <is>
          <t>Geo-detection enhancement</t>
        </is>
      </c>
      <c r="N27" s="33" t="inlineStr">
        <is>
          <t>Yes</t>
        </is>
      </c>
      <c r="O27" s="33" t="inlineStr">
        <is>
          <t>AI correctly classified, but analyst assessed as localized/temporary. NC logged; post-incident review done.</t>
        </is>
      </c>
      <c r="P27" s="33" t="n"/>
      <c r="Q27" s="33" t="inlineStr">
        <is>
          <t>Yes</t>
        </is>
      </c>
      <c r="R27" s="39" t="n">
        <v>4</v>
      </c>
      <c r="S27" s="39" t="n"/>
      <c r="T27" s="35" t="n">
        <v>46113</v>
      </c>
      <c r="U27" s="33" t="inlineStr">
        <is>
          <t>Medium</t>
        </is>
      </c>
      <c r="V27" s="33" t="inlineStr">
        <is>
          <t>AI-Assisted Geofencing</t>
        </is>
      </c>
    </row>
    <row r="28">
      <c r="A28" s="35" t="n">
        <v>46113</v>
      </c>
      <c r="B28" s="37" t="n">
        <v>46121</v>
      </c>
      <c r="C28" s="33" t="inlineStr">
        <is>
          <t>Factory Fire</t>
        </is>
      </c>
      <c r="D28" s="33" t="inlineStr">
        <is>
          <t>Ford</t>
        </is>
      </c>
      <c r="E28" s="39" t="n">
        <v>1</v>
      </c>
      <c r="F28" s="33" t="inlineStr">
        <is>
          <t>Fire at the Linamar Corporation Facility in Fruitport, Michigan, USA</t>
        </is>
      </c>
      <c r="G28" s="33" t="inlineStr">
        <is>
          <t>Complaint</t>
        </is>
      </c>
      <c r="H28" s="33" t="inlineStr">
        <is>
          <t>Missed Event</t>
        </is>
      </c>
      <c r="I28" s="33" t="inlineStr">
        <is>
          <t>People</t>
        </is>
      </c>
      <c r="J28" s="33" t="inlineStr">
        <is>
          <t>Event Identification</t>
        </is>
      </c>
      <c r="K28" s="33" t="inlineStr">
        <is>
          <t>Improvement</t>
        </is>
      </c>
      <c r="L28" s="33" t="inlineStr">
        <is>
          <t>Fixed</t>
        </is>
      </c>
      <c r="M28" s="33" t="inlineStr">
        <is>
          <t>Signal extraction for company/facility + location confidence + incident cues</t>
        </is>
      </c>
      <c r="N28" s="33" t="inlineStr">
        <is>
          <t>Yes</t>
        </is>
      </c>
      <c r="O28" s="33" t="inlineStr">
        <is>
          <t>AI correctly classified, but human review missed company-facility validation. NC logged.</t>
        </is>
      </c>
      <c r="P28" s="33" t="n"/>
      <c r="Q28" s="33" t="inlineStr">
        <is>
          <t>Yes</t>
        </is>
      </c>
      <c r="R28" s="39" t="n">
        <v>4</v>
      </c>
      <c r="S28" s="39" t="n"/>
      <c r="T28" s="35" t="n">
        <v>46113</v>
      </c>
      <c r="U28" s="33" t="inlineStr">
        <is>
          <t>Medium</t>
        </is>
      </c>
      <c r="V28" s="33" t="inlineStr">
        <is>
          <t>Entity &amp; Supplier Resolution</t>
        </is>
      </c>
    </row>
    <row r="29">
      <c r="A29" s="35" t="n">
        <v>46113</v>
      </c>
      <c r="B29" s="37" t="n">
        <v>46126</v>
      </c>
      <c r="C29" s="33" t="inlineStr">
        <is>
          <t>Bankruptcy</t>
        </is>
      </c>
      <c r="D29" s="33" t="inlineStr">
        <is>
          <t>Eaton</t>
        </is>
      </c>
      <c r="E29" s="39" t="n">
        <v>1</v>
      </c>
      <c r="F29" s="33" t="inlineStr">
        <is>
          <t>EATON – Missed event RCA request (Bankruptcy event)</t>
        </is>
      </c>
      <c r="G29" s="33" t="inlineStr">
        <is>
          <t>Complaint</t>
        </is>
      </c>
      <c r="H29" s="33" t="inlineStr">
        <is>
          <t>Missed Event</t>
        </is>
      </c>
      <c r="I29" s="33" t="inlineStr">
        <is>
          <t>Product</t>
        </is>
      </c>
      <c r="J29" s="33" t="inlineStr">
        <is>
          <t>Event Identification</t>
        </is>
      </c>
      <c r="K29" s="33" t="inlineStr">
        <is>
          <t>Improvement</t>
        </is>
      </c>
      <c r="L29" s="33" t="inlineStr">
        <is>
          <t>Fixed</t>
        </is>
      </c>
      <c r="M29" s="33" t="inlineStr">
        <is>
          <t>Source coverage expansion</t>
        </is>
      </c>
      <c r="N29" s="33" t="inlineStr">
        <is>
          <t>Yes</t>
        </is>
      </c>
      <c r="O29" s="33" t="inlineStr">
        <is>
          <t>Bankruptcy miss due to vendor source gap; sources added by vendor.</t>
        </is>
      </c>
      <c r="P29" s="33" t="n"/>
      <c r="Q29" s="33" t="inlineStr">
        <is>
          <t>Yes</t>
        </is>
      </c>
      <c r="R29" s="39" t="n">
        <v>4</v>
      </c>
      <c r="S29" s="39" t="n"/>
      <c r="T29" s="35" t="n">
        <v>46113</v>
      </c>
      <c r="U29" s="33" t="inlineStr">
        <is>
          <t>Medium</t>
        </is>
      </c>
      <c r="V29" s="33" t="inlineStr">
        <is>
          <t>Dynamic Source Discovery</t>
        </is>
      </c>
    </row>
    <row r="30">
      <c r="A30" s="35" t="n">
        <v>46113</v>
      </c>
      <c r="B30" s="37" t="n">
        <v>46126</v>
      </c>
      <c r="C30" s="33" t="inlineStr">
        <is>
          <t>Geopolitical</t>
        </is>
      </c>
      <c r="D30" s="33" t="inlineStr">
        <is>
          <t>Eaton</t>
        </is>
      </c>
      <c r="E30" s="39" t="n">
        <v>1</v>
      </c>
      <c r="F30" s="33" t="inlineStr">
        <is>
          <t>EATON – Missed event RCA request (Border closing event)</t>
        </is>
      </c>
      <c r="G30" s="33" t="inlineStr">
        <is>
          <t>Complaint</t>
        </is>
      </c>
      <c r="H30" s="33" t="inlineStr">
        <is>
          <t>Missed Event</t>
        </is>
      </c>
      <c r="I30" s="33" t="inlineStr">
        <is>
          <t>Product</t>
        </is>
      </c>
      <c r="J30" s="33" t="inlineStr">
        <is>
          <t>Event Identification</t>
        </is>
      </c>
      <c r="K30" s="33" t="inlineStr">
        <is>
          <t>Improvement</t>
        </is>
      </c>
      <c r="L30" s="33" t="inlineStr">
        <is>
          <t>Fixed</t>
        </is>
      </c>
      <c r="M30" s="33" t="inlineStr">
        <is>
          <t>Keyword expansion</t>
        </is>
      </c>
      <c r="N30" s="33" t="inlineStr">
        <is>
          <t>Yes</t>
        </is>
      </c>
      <c r="O30" s="33" t="inlineStr">
        <is>
          <t>Border closing miss due to foreign-language keyword gap; keywords added.</t>
        </is>
      </c>
      <c r="P30" s="33" t="n"/>
      <c r="Q30" s="33" t="inlineStr">
        <is>
          <t>Yes</t>
        </is>
      </c>
      <c r="R30" s="39" t="n">
        <v>4</v>
      </c>
      <c r="S30" s="39" t="n"/>
      <c r="T30" s="35" t="n">
        <v>46113</v>
      </c>
      <c r="U30" s="33" t="inlineStr">
        <is>
          <t>Medium</t>
        </is>
      </c>
      <c r="V30" s="33" t="inlineStr">
        <is>
          <t>Multilingual Keyword Expansion</t>
        </is>
      </c>
    </row>
    <row r="31">
      <c r="A31" s="35" t="n">
        <v>46113</v>
      </c>
      <c r="B31" s="37" t="n">
        <v>46128</v>
      </c>
      <c r="C31" s="33" t="inlineStr">
        <is>
          <t>Regulatory Change</t>
        </is>
      </c>
      <c r="D31" s="33" t="inlineStr">
        <is>
          <t>Caterpillar</t>
        </is>
      </c>
      <c r="E31" s="39" t="n">
        <v>1</v>
      </c>
      <c r="F31" s="33" t="inlineStr">
        <is>
          <t>Customer Query: Missing EventWatch Coverage for Hengli Hydraulic Incident</t>
        </is>
      </c>
      <c r="G31" s="33" t="inlineStr">
        <is>
          <t>Complaint</t>
        </is>
      </c>
      <c r="H31" s="33" t="inlineStr">
        <is>
          <t>Missed Event</t>
        </is>
      </c>
      <c r="I31" s="33" t="inlineStr">
        <is>
          <t>Product</t>
        </is>
      </c>
      <c r="J31" s="33" t="inlineStr">
        <is>
          <t>Event Identification</t>
        </is>
      </c>
      <c r="K31" s="33" t="inlineStr">
        <is>
          <t>Improvement</t>
        </is>
      </c>
      <c r="L31" s="33" t="inlineStr">
        <is>
          <t>Fixed</t>
        </is>
      </c>
      <c r="M31" s="33" t="inlineStr">
        <is>
          <t>Keyword expansion</t>
        </is>
      </c>
      <c r="N31" s="33" t="inlineStr">
        <is>
          <t>Yes</t>
        </is>
      </c>
      <c r="O31" s="33" t="inlineStr">
        <is>
          <t>3/4 articles not captured by vendor; 1 Chinese article missed due to keyword gap. Enhancement planned.</t>
        </is>
      </c>
      <c r="P31" s="33" t="n"/>
      <c r="Q31" s="33" t="inlineStr">
        <is>
          <t>Yes</t>
        </is>
      </c>
      <c r="R31" s="39" t="n">
        <v>4</v>
      </c>
      <c r="S31" s="39" t="n"/>
      <c r="T31" s="35" t="n">
        <v>46113</v>
      </c>
      <c r="U31" s="33" t="inlineStr">
        <is>
          <t>Medium</t>
        </is>
      </c>
      <c r="V31" s="33" t="inlineStr">
        <is>
          <t>Multilingual Keyword Expansion</t>
        </is>
      </c>
    </row>
    <row r="32">
      <c r="A32" s="35" t="n">
        <v>46113</v>
      </c>
      <c r="B32" s="37" t="n">
        <v>46134</v>
      </c>
      <c r="C32" s="33" t="inlineStr">
        <is>
          <t>Earthquake</t>
        </is>
      </c>
      <c r="D32" s="33" t="inlineStr">
        <is>
          <t>Ford</t>
        </is>
      </c>
      <c r="E32" s="39" t="n">
        <v>1</v>
      </c>
      <c r="F32" s="33" t="inlineStr">
        <is>
          <t>Missing Alerts - 5.0 Magnitude Earthquake in San Carlos, Mexico - INC5833769</t>
        </is>
      </c>
      <c r="G32" s="34" t="inlineStr">
        <is>
          <t>Inquiry</t>
        </is>
      </c>
      <c r="H32" s="33" t="inlineStr">
        <is>
          <t>Coverage Verification Request</t>
        </is>
      </c>
      <c r="I32" s="33" t="inlineStr">
        <is>
          <t>Process</t>
        </is>
      </c>
      <c r="J32" s="33" t="inlineStr">
        <is>
          <t>Process Clarification</t>
        </is>
      </c>
      <c r="K32" s="33" t="inlineStr">
        <is>
          <t>Improvement</t>
        </is>
      </c>
      <c r="L32" s="33" t="inlineStr">
        <is>
          <t>Clarification Provided</t>
        </is>
      </c>
      <c r="M32" s="33" t="inlineStr">
        <is>
          <t>Automated disruption-signal checklist before NI closure for borderline EQs</t>
        </is>
      </c>
      <c r="N32" s="33" t="inlineStr">
        <is>
          <t>No</t>
        </is>
      </c>
      <c r="O32" s="33" t="inlineStr">
        <is>
          <t>Feeds captured but no confirmed disruptions found; magnitude alone not sufficient per thresholds.</t>
        </is>
      </c>
      <c r="P32" s="33" t="n"/>
      <c r="Q32" s="33" t="inlineStr">
        <is>
          <t>No</t>
        </is>
      </c>
      <c r="R32" s="39" t="n">
        <v>4</v>
      </c>
      <c r="S32" s="39" t="n"/>
      <c r="T32" s="35" t="n">
        <v>46113</v>
      </c>
      <c r="U32" s="33" t="inlineStr">
        <is>
          <t>Medium</t>
        </is>
      </c>
      <c r="V32" s="33" t="inlineStr">
        <is>
          <t>Other Control Automation</t>
        </is>
      </c>
    </row>
    <row r="33">
      <c r="A33" s="35" t="n">
        <v>46113</v>
      </c>
      <c r="B33" s="37" t="n">
        <v>46141</v>
      </c>
      <c r="C33" s="33" t="inlineStr">
        <is>
          <t>Earthquake</t>
        </is>
      </c>
      <c r="D33" s="33" t="inlineStr">
        <is>
          <t>Hitachi</t>
        </is>
      </c>
      <c r="E33" s="39" t="n">
        <v>1</v>
      </c>
      <c r="F33" s="33" t="inlineStr">
        <is>
          <t>HITACHI: Missing WarRoom Event for Japan Earthquake</t>
        </is>
      </c>
      <c r="G33" s="33" t="inlineStr">
        <is>
          <t>Complaint</t>
        </is>
      </c>
      <c r="H33" s="33" t="inlineStr">
        <is>
          <t>Geographic Coverage Clarification</t>
        </is>
      </c>
      <c r="I33" s="33" t="inlineStr">
        <is>
          <t>Process</t>
        </is>
      </c>
      <c r="J33" s="33" t="inlineStr">
        <is>
          <t>Process Clarification</t>
        </is>
      </c>
      <c r="K33" s="33" t="inlineStr">
        <is>
          <t>Improvement</t>
        </is>
      </c>
      <c r="L33" s="33" t="inlineStr">
        <is>
          <t>Clarification Provided</t>
        </is>
      </c>
      <c r="M33" s="33" t="inlineStr">
        <is>
          <t>Geo-detection enhancement</t>
        </is>
      </c>
      <c r="N33" s="33" t="inlineStr">
        <is>
          <t>No</t>
        </is>
      </c>
      <c r="O33" s="33" t="inlineStr">
        <is>
          <t>Polygon methodology explained per Thresholds &amp; Guidelines; radius standardized by magnitude/depth.</t>
        </is>
      </c>
      <c r="P33" s="33" t="n"/>
      <c r="Q33" s="33" t="inlineStr">
        <is>
          <t>No</t>
        </is>
      </c>
      <c r="R33" s="39" t="n">
        <v>4</v>
      </c>
      <c r="S33" s="39" t="n"/>
      <c r="T33" s="35" t="n">
        <v>46113</v>
      </c>
      <c r="U33" s="33" t="inlineStr">
        <is>
          <t>Medium</t>
        </is>
      </c>
      <c r="V33" s="33" t="inlineStr">
        <is>
          <t>AI-Assisted Geofencing</t>
        </is>
      </c>
    </row>
    <row r="34">
      <c r="A34" s="35" t="n">
        <v>46113</v>
      </c>
      <c r="B34" s="37" t="n">
        <v>46142</v>
      </c>
      <c r="C34" s="33" t="inlineStr">
        <is>
          <t>Bankruptcy</t>
        </is>
      </c>
      <c r="D34" s="33" t="inlineStr">
        <is>
          <t>Ford</t>
        </is>
      </c>
      <c r="E34" s="39" t="n">
        <v>1</v>
      </c>
      <c r="F34" s="33" t="inlineStr">
        <is>
          <t>Missed Event Alert – Deltal Otomotiv Insolvency Filing (Ford Otosan Impact)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Keyword expansion</t>
        </is>
      </c>
      <c r="N34" s="33" t="inlineStr">
        <is>
          <t>Yes</t>
        </is>
      </c>
      <c r="O34" s="33" t="inlineStr">
        <is>
          <t>Turkish keyword miss + source outside vendor network; keyword update + vendor request initiated.</t>
        </is>
      </c>
      <c r="P34" s="33" t="n"/>
      <c r="Q34" s="33" t="inlineStr">
        <is>
          <t>Yes</t>
        </is>
      </c>
      <c r="R34" s="39" t="n">
        <v>4</v>
      </c>
      <c r="S34" s="39" t="n"/>
      <c r="T34" s="35" t="n">
        <v>46113</v>
      </c>
      <c r="U34" s="33" t="inlineStr">
        <is>
          <t>Medium</t>
        </is>
      </c>
      <c r="V34" s="33" t="inlineStr">
        <is>
          <t>Multilingual Keyword Expansion</t>
        </is>
      </c>
    </row>
    <row r="35">
      <c r="A35" s="35" t="n">
        <v>46113</v>
      </c>
      <c r="B35" s="37" t="n">
        <v>46142</v>
      </c>
      <c r="C35" s="33" t="inlineStr">
        <is>
          <t>Bankruptcy</t>
        </is>
      </c>
      <c r="D35" s="33" t="inlineStr">
        <is>
          <t>Ford</t>
        </is>
      </c>
      <c r="E35" s="39" t="n">
        <v>1</v>
      </c>
      <c r="F35" s="33" t="inlineStr">
        <is>
          <t>Urgent Review Required – Missed Insolvency Event | AluTec GmbH (FORD Escalation)</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Source coverage expansion</t>
        </is>
      </c>
      <c r="N35" s="33" t="inlineStr">
        <is>
          <t>Yes</t>
        </is>
      </c>
      <c r="O35" s="33" t="inlineStr">
        <is>
          <t>Insolvency missed due to unmapped supplier + niche-source limits; bulletin published after escalation. ~28 days delay.</t>
        </is>
      </c>
      <c r="P35" s="33" t="inlineStr">
        <is>
          <t>~28 days (Apr 1 proceedings → Apr 29 publish)</t>
        </is>
      </c>
      <c r="Q35" s="33" t="inlineStr">
        <is>
          <t>Yes</t>
        </is>
      </c>
      <c r="R35" s="39" t="n">
        <v>4</v>
      </c>
      <c r="S35" s="39" t="n">
        <v>672</v>
      </c>
      <c r="T35" s="35" t="n">
        <v>46113</v>
      </c>
      <c r="U35" s="33" t="inlineStr">
        <is>
          <t>Medium</t>
        </is>
      </c>
      <c r="V35" s="33" t="inlineStr">
        <is>
          <t>Dynamic Source Discovery</t>
        </is>
      </c>
    </row>
    <row r="36">
      <c r="A36" s="35" t="n">
        <v>46113</v>
      </c>
      <c r="B36" s="37" t="n">
        <v>46142</v>
      </c>
      <c r="C36" s="33" t="inlineStr">
        <is>
          <t>Extreme Weather</t>
        </is>
      </c>
      <c r="D36" s="33" t="inlineStr">
        <is>
          <t>Collins Aerospace</t>
        </is>
      </c>
      <c r="E36" s="39" t="n">
        <v>1</v>
      </c>
      <c r="F36" s="33" t="inlineStr">
        <is>
          <t>Delay in WarRoom Creation – Tornado Event (Mineral Wells, Texas): Ticket#11211</t>
        </is>
      </c>
      <c r="G36" s="33" t="inlineStr">
        <is>
          <t>Complaint</t>
        </is>
      </c>
      <c r="H36" s="33" t="inlineStr">
        <is>
          <t>Delayed Event</t>
        </is>
      </c>
      <c r="I36" s="33" t="inlineStr">
        <is>
          <t>Process</t>
        </is>
      </c>
      <c r="J36" s="33" t="inlineStr">
        <is>
          <t>Captured Late</t>
        </is>
      </c>
      <c r="K36" s="33" t="inlineStr">
        <is>
          <t>Improvement</t>
        </is>
      </c>
      <c r="L36" s="33" t="inlineStr">
        <is>
          <t>Fixed</t>
        </is>
      </c>
      <c r="M36" s="33" t="inlineStr">
        <is>
          <t>Escalation automation</t>
        </is>
      </c>
      <c r="N36" s="33" t="inlineStr">
        <is>
          <t>Yes</t>
        </is>
      </c>
      <c r="O36" s="33" t="inlineStr">
        <is>
          <t>WarRoom created ~18 hours after tornado; investigation acknowledged.</t>
        </is>
      </c>
      <c r="P36" s="33" t="inlineStr">
        <is>
          <t>18 hours</t>
        </is>
      </c>
      <c r="Q36" s="33" t="inlineStr">
        <is>
          <t>Yes</t>
        </is>
      </c>
      <c r="R36" s="39" t="n">
        <v>4</v>
      </c>
      <c r="S36" s="39" t="n">
        <v>18</v>
      </c>
      <c r="T36" s="35" t="n">
        <v>46113</v>
      </c>
      <c r="U36" s="33" t="inlineStr">
        <is>
          <t>Medium</t>
        </is>
      </c>
      <c r="V36" s="33" t="inlineStr">
        <is>
          <t>WarRoom &amp; Decision Validation</t>
        </is>
      </c>
    </row>
    <row r="37">
      <c r="A37" s="35" t="n">
        <v>46143</v>
      </c>
      <c r="B37" s="37" t="n">
        <v>46143</v>
      </c>
      <c r="C37" s="33" t="inlineStr">
        <is>
          <t>Extreme Weather</t>
        </is>
      </c>
      <c r="D37" s="33" t="inlineStr">
        <is>
          <t>Collins Aerospace</t>
        </is>
      </c>
      <c r="E37" s="39" t="n">
        <v>1</v>
      </c>
      <c r="F37" s="33" t="inlineStr">
        <is>
          <t>Tornado (Mineral Wells, Texas)</t>
        </is>
      </c>
      <c r="G37" s="33" t="inlineStr">
        <is>
          <t>Complaint</t>
        </is>
      </c>
      <c r="H37" s="33" t="inlineStr">
        <is>
          <t>Delayed WarRoom</t>
        </is>
      </c>
      <c r="I37" s="33" t="inlineStr">
        <is>
          <t>People</t>
        </is>
      </c>
      <c r="J37" s="33" t="inlineStr">
        <is>
          <t>Review</t>
        </is>
      </c>
      <c r="K37" s="33" t="inlineStr">
        <is>
          <t>Improvement</t>
        </is>
      </c>
      <c r="L37" s="33" t="inlineStr">
        <is>
          <t>Fixed</t>
        </is>
      </c>
      <c r="M37" s="33" t="inlineStr">
        <is>
          <t>Escalation automation</t>
        </is>
      </c>
      <c r="N37" s="33" t="inlineStr">
        <is>
          <t>Yes</t>
        </is>
      </c>
      <c r="O37" s="33" t="inlineStr">
        <is>
          <t>Tornado occurred Apr 28, WarRoom created Apr 29 (~18 hr delay). System detected but team deprioritized</t>
        </is>
      </c>
      <c r="P37" s="33" t="inlineStr">
        <is>
          <t>~18 hours</t>
        </is>
      </c>
      <c r="Q37" s="33" t="inlineStr">
        <is>
          <t>Yes</t>
        </is>
      </c>
      <c r="R37" s="39" t="n">
        <v>5</v>
      </c>
      <c r="S37" s="39" t="n">
        <v>18</v>
      </c>
      <c r="T37" s="35" t="n">
        <v>46143</v>
      </c>
      <c r="U37" s="33" t="inlineStr">
        <is>
          <t>Medium</t>
        </is>
      </c>
      <c r="V37" s="33" t="inlineStr">
        <is>
          <t>WarRoom &amp; Decision Validation</t>
        </is>
      </c>
    </row>
    <row r="38">
      <c r="A38" s="35" t="n">
        <v>46143</v>
      </c>
      <c r="B38" s="37" t="n">
        <v>46143</v>
      </c>
      <c r="C38" s="33" t="inlineStr">
        <is>
          <t>Bankruptcy</t>
        </is>
      </c>
      <c r="D38" s="33" t="inlineStr">
        <is>
          <t>Ford</t>
        </is>
      </c>
      <c r="E38" s="39" t="n">
        <v>1</v>
      </c>
      <c r="F38" s="33" t="inlineStr">
        <is>
          <t>AluTec GmbH Insolvency (Fürth, Germany)</t>
        </is>
      </c>
      <c r="G38" s="33" t="inlineStr">
        <is>
          <t>Complaint</t>
        </is>
      </c>
      <c r="H38" s="33" t="inlineStr">
        <is>
          <t>Missed Event</t>
        </is>
      </c>
      <c r="I38" s="33" t="inlineStr">
        <is>
          <t>Product</t>
        </is>
      </c>
      <c r="J38" s="33" t="inlineStr">
        <is>
          <t>Event Identification</t>
        </is>
      </c>
      <c r="K38" s="33" t="inlineStr">
        <is>
          <t>Improvement</t>
        </is>
      </c>
      <c r="L38" s="33" t="inlineStr">
        <is>
          <t>Fixed</t>
        </is>
      </c>
      <c r="M38" s="33" t="inlineStr">
        <is>
          <t>Source coverage expansion</t>
        </is>
      </c>
      <c r="N38" s="33" t="inlineStr">
        <is>
          <t>Yes</t>
        </is>
      </c>
      <c r="O38" s="33" t="inlineStr">
        <is>
          <t>Critical missed alert flagged; insolvency opened Apr 1. Source onboarding initiated. ~30 days delay.</t>
        </is>
      </c>
      <c r="P38" s="33" t="inlineStr">
        <is>
          <t>~30 days (Apr 1 → May 1)</t>
        </is>
      </c>
      <c r="Q38" s="33" t="inlineStr">
        <is>
          <t>Yes</t>
        </is>
      </c>
      <c r="R38" s="39" t="n">
        <v>5</v>
      </c>
      <c r="S38" s="39" t="n">
        <v>720</v>
      </c>
      <c r="T38" s="35" t="n">
        <v>46143</v>
      </c>
      <c r="U38" s="33" t="inlineStr">
        <is>
          <t>Medium</t>
        </is>
      </c>
      <c r="V38" s="33" t="inlineStr">
        <is>
          <t>Dynamic Source Discovery</t>
        </is>
      </c>
    </row>
    <row r="39">
      <c r="A39" s="35" t="n">
        <v>46143</v>
      </c>
      <c r="B39" s="37" t="n">
        <v>46143</v>
      </c>
      <c r="C39" s="33" t="inlineStr">
        <is>
          <t>Regulatory Change</t>
        </is>
      </c>
      <c r="D39" s="33" t="inlineStr">
        <is>
          <t>Fedrigoni Group</t>
        </is>
      </c>
      <c r="E39" s="39" t="n">
        <v>1</v>
      </c>
      <c r="F39" s="33" t="inlineStr">
        <is>
          <t>Six paper makers price-fixing fines (South Korea)</t>
        </is>
      </c>
      <c r="G39" s="33" t="inlineStr">
        <is>
          <t>Complaint</t>
        </is>
      </c>
      <c r="H39" s="33" t="inlineStr">
        <is>
          <t>Missed WarRoom</t>
        </is>
      </c>
      <c r="I39" s="33" t="inlineStr">
        <is>
          <t>Product</t>
        </is>
      </c>
      <c r="J39" s="33" t="inlineStr">
        <is>
          <t>Keyword Update</t>
        </is>
      </c>
      <c r="K39" s="33" t="inlineStr">
        <is>
          <t>Improvement</t>
        </is>
      </c>
      <c r="L39" s="33" t="inlineStr">
        <is>
          <t>Fixed</t>
        </is>
      </c>
      <c r="M39" s="33" t="inlineStr">
        <is>
          <t>Dynamic Source Discovery</t>
        </is>
      </c>
      <c r="N39" s="33" t="inlineStr">
        <is>
          <t>Yes</t>
        </is>
      </c>
      <c r="O39" s="33" t="inlineStr">
        <is>
          <t>WarRoom not found for paper firms; keyword gap confirmed. WarRoom created Apr 30; keywords updated.</t>
        </is>
      </c>
      <c r="P39" s="33" t="n"/>
      <c r="Q39" s="33" t="inlineStr">
        <is>
          <t>Yes</t>
        </is>
      </c>
      <c r="R39" s="39" t="n">
        <v>5</v>
      </c>
      <c r="S39" s="39" t="n"/>
      <c r="T39" s="35" t="n">
        <v>46143</v>
      </c>
      <c r="U39" s="33" t="inlineStr">
        <is>
          <t>Medium</t>
        </is>
      </c>
      <c r="V39" s="33" t="inlineStr">
        <is>
          <t>Dynamic Source Discovery</t>
        </is>
      </c>
    </row>
    <row r="40">
      <c r="A40" s="35" t="n">
        <v>46143</v>
      </c>
      <c r="B40" s="37" t="n">
        <v>46147</v>
      </c>
      <c r="C40" s="33" t="inlineStr">
        <is>
          <t>Bankruptcy</t>
        </is>
      </c>
      <c r="D40" s="33" t="inlineStr">
        <is>
          <t>Ford</t>
        </is>
      </c>
      <c r="E40" s="39" t="n">
        <v>1</v>
      </c>
      <c r="F40" s="33" t="inlineStr">
        <is>
          <t>Trinseo "Misses Interest Payments…" (SIC not triggered)</t>
        </is>
      </c>
      <c r="G40" s="33" t="inlineStr">
        <is>
          <t>Complaint</t>
        </is>
      </c>
      <c r="H40" s="33" t="inlineStr">
        <is>
          <t>Incorrect Action</t>
        </is>
      </c>
      <c r="I40" s="33" t="inlineStr">
        <is>
          <t>Product</t>
        </is>
      </c>
      <c r="J40" s="33" t="inlineStr">
        <is>
          <t>Policy/Logic</t>
        </is>
      </c>
      <c r="K40" s="33" t="inlineStr">
        <is>
          <t>Improvement</t>
        </is>
      </c>
      <c r="L40" s="33" t="inlineStr">
        <is>
          <t>Clarification Provided</t>
        </is>
      </c>
      <c r="M40" s="33" t="inlineStr">
        <is>
          <t>SIC trigger logic review for financial risk events</t>
        </is>
      </c>
      <c r="N40" s="33" t="inlineStr">
        <is>
          <t>No</t>
        </is>
      </c>
      <c r="O40" s="33" t="inlineStr">
        <is>
          <t>Customer asked if SIC can be enabled for financial risk events; policy clarification provided.</t>
        </is>
      </c>
      <c r="P40" s="33" t="n"/>
      <c r="Q40" s="33" t="inlineStr">
        <is>
          <t>No</t>
        </is>
      </c>
      <c r="R40" s="39" t="n">
        <v>5</v>
      </c>
      <c r="S40" s="39" t="n"/>
      <c r="T40" s="35" t="n">
        <v>46143</v>
      </c>
      <c r="U40" s="33" t="inlineStr">
        <is>
          <t>Medium</t>
        </is>
      </c>
      <c r="V40" s="33" t="inlineStr">
        <is>
          <t>Other Control Automation</t>
        </is>
      </c>
    </row>
    <row r="41">
      <c r="A41" s="35" t="n">
        <v>46143</v>
      </c>
      <c r="B41" s="37" t="n">
        <v>46149</v>
      </c>
      <c r="C41" s="33" t="inlineStr">
        <is>
          <t>Regulatory Change</t>
        </is>
      </c>
      <c r="D41" s="33" t="inlineStr">
        <is>
          <t>GM</t>
        </is>
      </c>
      <c r="E41" s="39" t="n">
        <v>1</v>
      </c>
      <c r="F41" s="33" t="inlineStr">
        <is>
          <t>OFAC alert: "Sanctions Risks of Iranian Demands for Strait of Hormuz Passage"</t>
        </is>
      </c>
      <c r="G41" s="33" t="inlineStr">
        <is>
          <t>Complaint</t>
        </is>
      </c>
      <c r="H41" s="33" t="inlineStr">
        <is>
          <t>Missed Event</t>
        </is>
      </c>
      <c r="I41" s="33" t="inlineStr">
        <is>
          <t>People</t>
        </is>
      </c>
      <c r="J41" s="33" t="inlineStr">
        <is>
          <t>Review</t>
        </is>
      </c>
      <c r="K41" s="33" t="inlineStr">
        <is>
          <t>Improvement</t>
        </is>
      </c>
      <c r="L41" s="33" t="inlineStr">
        <is>
          <t>Fixed</t>
        </is>
      </c>
      <c r="M41" s="33" t="inlineStr">
        <is>
          <t>Escalation automation</t>
        </is>
      </c>
      <c r="N41" s="33" t="inlineStr">
        <is>
          <t>Yes</t>
        </is>
      </c>
      <c r="O41" s="33" t="inlineStr">
        <is>
          <t>Feeds captured but classified as not impactful; NI review missed. Re-evaluated and published</t>
        </is>
      </c>
      <c r="P41" s="33" t="n"/>
      <c r="Q41" s="33" t="inlineStr">
        <is>
          <t>Yes</t>
        </is>
      </c>
      <c r="R41" s="39" t="n">
        <v>5</v>
      </c>
      <c r="S41" s="39" t="n"/>
      <c r="T41" s="35" t="n">
        <v>46143</v>
      </c>
      <c r="U41" s="33" t="inlineStr">
        <is>
          <t>Medium</t>
        </is>
      </c>
      <c r="V41" s="33" t="inlineStr">
        <is>
          <t>WarRoom &amp; Decision Validation</t>
        </is>
      </c>
    </row>
    <row r="42">
      <c r="A42" s="35" t="n">
        <v>46143</v>
      </c>
      <c r="B42" s="37" t="n">
        <v>46149</v>
      </c>
      <c r="C42" s="33" t="inlineStr">
        <is>
          <t>Regulatory Change</t>
        </is>
      </c>
      <c r="D42" s="33" t="inlineStr">
        <is>
          <t>Ford</t>
        </is>
      </c>
      <c r="E42" s="39" t="n">
        <v>1</v>
      </c>
      <c r="F42" s="33" t="inlineStr">
        <is>
          <t>Yangzhou Yangjie EU sanctions listing</t>
        </is>
      </c>
      <c r="G42" s="33" t="inlineStr">
        <is>
          <t>Complaint</t>
        </is>
      </c>
      <c r="H42" s="33" t="inlineStr">
        <is>
          <t>Missed / Delayed Event</t>
        </is>
      </c>
      <c r="I42" s="33" t="inlineStr">
        <is>
          <t>Product</t>
        </is>
      </c>
      <c r="J42" s="33" t="inlineStr">
        <is>
          <t>Keyword Update</t>
        </is>
      </c>
      <c r="K42" s="33" t="inlineStr">
        <is>
          <t>Improvement</t>
        </is>
      </c>
      <c r="L42" s="33" t="inlineStr">
        <is>
          <t>Fixed</t>
        </is>
      </c>
      <c r="M42" s="33" t="inlineStr">
        <is>
          <t>Dynamic Source Discovery</t>
        </is>
      </c>
      <c r="N42" s="33" t="inlineStr">
        <is>
          <t>Yes</t>
        </is>
      </c>
      <c r="O42" s="33" t="inlineStr">
        <is>
          <t>Sanctions compliance demanded; keyword gap confirmed. WarRoom created after customer email.</t>
        </is>
      </c>
      <c r="P42" s="33" t="n"/>
      <c r="Q42" s="33" t="inlineStr">
        <is>
          <t>Yes</t>
        </is>
      </c>
      <c r="R42" s="39" t="n">
        <v>5</v>
      </c>
      <c r="S42" s="39" t="n"/>
      <c r="T42" s="35" t="n">
        <v>46143</v>
      </c>
      <c r="U42" s="33" t="inlineStr">
        <is>
          <t>Medium</t>
        </is>
      </c>
      <c r="V42" s="33" t="inlineStr">
        <is>
          <t>Dynamic Source Discovery</t>
        </is>
      </c>
    </row>
    <row r="43">
      <c r="A43" s="35" t="n">
        <v>46143</v>
      </c>
      <c r="B43" s="37" t="n">
        <v>46154</v>
      </c>
      <c r="C43" s="33" t="inlineStr">
        <is>
          <t>Cyber Attack</t>
        </is>
      </c>
      <c r="D43" s="33" t="inlineStr">
        <is>
          <t>Eaton</t>
        </is>
      </c>
      <c r="E43" s="39" t="n">
        <v>1</v>
      </c>
      <c r="F43" s="33" t="inlineStr">
        <is>
          <t>Axios npm package compromise (Mar 31)</t>
        </is>
      </c>
      <c r="G43" s="33" t="inlineStr">
        <is>
          <t>Complaint</t>
        </is>
      </c>
      <c r="H43" s="33" t="inlineStr">
        <is>
          <t>Coverage Verification Request</t>
        </is>
      </c>
      <c r="I43" s="33" t="inlineStr">
        <is>
          <t>Process</t>
        </is>
      </c>
      <c r="J43" s="33" t="inlineStr">
        <is>
          <t>Process Clarification</t>
        </is>
      </c>
      <c r="K43" s="33" t="inlineStr">
        <is>
          <t>Improvement</t>
        </is>
      </c>
      <c r="L43" s="33" t="inlineStr">
        <is>
          <t>Clarification Provided</t>
        </is>
      </c>
      <c r="M43" s="33" t="inlineStr">
        <is>
          <t>Relevancy logic review</t>
        </is>
      </c>
      <c r="N43" s="33" t="inlineStr">
        <is>
          <t>Yes</t>
        </is>
      </c>
      <c r="O43" s="33" t="inlineStr">
        <is>
          <t>Customer asked RCA for Axios npm compromise; classified not relevant based on mapping + no operational disruption.</t>
        </is>
      </c>
      <c r="P43" s="33" t="n"/>
      <c r="Q43" s="33" t="inlineStr">
        <is>
          <t>No</t>
        </is>
      </c>
      <c r="R43" s="39" t="n">
        <v>5</v>
      </c>
      <c r="S43" s="39" t="n"/>
      <c r="T43" s="35" t="n">
        <v>46143</v>
      </c>
      <c r="U43" s="33" t="inlineStr">
        <is>
          <t>Medium</t>
        </is>
      </c>
      <c r="V43" s="33" t="inlineStr">
        <is>
          <t>Other Control Automation</t>
        </is>
      </c>
    </row>
    <row r="44">
      <c r="A44" s="35" t="n">
        <v>46143</v>
      </c>
      <c r="B44" s="37" t="n">
        <v>46154</v>
      </c>
      <c r="C44" s="33" t="inlineStr">
        <is>
          <t>Cyber Attack</t>
        </is>
      </c>
      <c r="D44" s="33" t="inlineStr">
        <is>
          <t>NVIDIA</t>
        </is>
      </c>
      <c r="E44" s="39" t="n">
        <v>1</v>
      </c>
      <c r="F44" s="33" t="inlineStr">
        <is>
          <t>Foxconn cyber incident (outage → ransomware confirmation)</t>
        </is>
      </c>
      <c r="G44" s="33" t="inlineStr">
        <is>
          <t>Complaint</t>
        </is>
      </c>
      <c r="H44" s="33" t="inlineStr">
        <is>
          <t>Missed + Delayed Reporting</t>
        </is>
      </c>
      <c r="I44" s="33" t="inlineStr">
        <is>
          <t>People</t>
        </is>
      </c>
      <c r="J44" s="33" t="inlineStr">
        <is>
          <t>Review</t>
        </is>
      </c>
      <c r="K44" s="33" t="inlineStr">
        <is>
          <t>Improvement</t>
        </is>
      </c>
      <c r="L44" s="33" t="inlineStr">
        <is>
          <t>Fixed</t>
        </is>
      </c>
      <c r="M44" s="33" t="inlineStr">
        <is>
          <t>Escalation automation</t>
        </is>
      </c>
      <c r="N44" s="33" t="inlineStr">
        <is>
          <t>Yes</t>
        </is>
      </c>
      <c r="O44" s="33" t="inlineStr">
        <is>
          <t>Outage should have been reported May 6 but missed; cyber reporting delayed ~6 days. Data Science review ongoing.</t>
        </is>
      </c>
      <c r="P44" s="33" t="inlineStr">
        <is>
          <t>~6 days (May 6 outage → May 12 report)</t>
        </is>
      </c>
      <c r="Q44" s="33" t="inlineStr">
        <is>
          <t>Yes</t>
        </is>
      </c>
      <c r="R44" s="39" t="n">
        <v>5</v>
      </c>
      <c r="S44" s="39" t="n">
        <v>144</v>
      </c>
      <c r="T44" s="35" t="n">
        <v>46143</v>
      </c>
      <c r="U44" s="33" t="inlineStr">
        <is>
          <t>High</t>
        </is>
      </c>
      <c r="V44" s="33" t="inlineStr">
        <is>
          <t>WarRoom &amp; Decision Validation</t>
        </is>
      </c>
    </row>
    <row r="45">
      <c r="A45" s="35" t="n">
        <v>46143</v>
      </c>
      <c r="B45" s="37" t="n">
        <v>46155</v>
      </c>
      <c r="C45" s="33" t="inlineStr">
        <is>
          <t>Supply Shortage</t>
        </is>
      </c>
      <c r="D45" s="33" t="inlineStr">
        <is>
          <t>GM</t>
        </is>
      </c>
      <c r="E45" s="39" t="n">
        <v>1</v>
      </c>
      <c r="F45" s="33" t="inlineStr">
        <is>
          <t>Oakland County Water Main Break</t>
        </is>
      </c>
      <c r="G45" s="33" t="inlineStr">
        <is>
          <t>Complaint</t>
        </is>
      </c>
      <c r="H45" s="33" t="inlineStr">
        <is>
          <t>Delayed Event</t>
        </is>
      </c>
      <c r="I45" s="33" t="inlineStr">
        <is>
          <t>People</t>
        </is>
      </c>
      <c r="J45" s="33" t="inlineStr">
        <is>
          <t>Review</t>
        </is>
      </c>
      <c r="K45" s="33" t="inlineStr">
        <is>
          <t>Improvement</t>
        </is>
      </c>
      <c r="L45" s="33" t="inlineStr">
        <is>
          <t>Fixed</t>
        </is>
      </c>
      <c r="M45" s="33" t="inlineStr">
        <is>
          <t>Escalation automation</t>
        </is>
      </c>
      <c r="N45" s="33" t="inlineStr">
        <is>
          <t>Yes</t>
        </is>
      </c>
      <c r="O45" s="33" t="inlineStr">
        <is>
          <t>Water main break began May 10; WarRoom not until May 12 (~48 hr delay). Escalation judgment lapse; NC raised + coaching.</t>
        </is>
      </c>
      <c r="P45" s="33" t="inlineStr">
        <is>
          <t>~48 hours</t>
        </is>
      </c>
      <c r="Q45" s="33" t="inlineStr">
        <is>
          <t>Yes</t>
        </is>
      </c>
      <c r="R45" s="39" t="n">
        <v>5</v>
      </c>
      <c r="S45" s="39" t="n">
        <v>48</v>
      </c>
      <c r="T45" s="35" t="n">
        <v>46143</v>
      </c>
      <c r="U45" s="33" t="inlineStr">
        <is>
          <t>High</t>
        </is>
      </c>
      <c r="V45" s="33" t="inlineStr">
        <is>
          <t>WarRoom &amp; Decision Validation</t>
        </is>
      </c>
    </row>
    <row r="46">
      <c r="A46" s="35" t="n">
        <v>46143</v>
      </c>
      <c r="B46" s="37" t="n">
        <v>46157</v>
      </c>
      <c r="C46" s="33" t="inlineStr">
        <is>
          <t>Labor Disruption</t>
        </is>
      </c>
      <c r="D46" s="33" t="inlineStr">
        <is>
          <t>Ford</t>
        </is>
      </c>
      <c r="E46" s="39" t="n">
        <v>1</v>
      </c>
      <c r="F46" s="33" t="inlineStr">
        <is>
          <t>Metal sector strike (Pontevedra/Vigo, Galicia)</t>
        </is>
      </c>
      <c r="G46" s="33" t="inlineStr">
        <is>
          <t>Complaint</t>
        </is>
      </c>
      <c r="H46" s="33" t="inlineStr">
        <is>
          <t>Missed Event</t>
        </is>
      </c>
      <c r="I46" s="33" t="inlineStr">
        <is>
          <t>Product</t>
        </is>
      </c>
      <c r="J46" s="33" t="inlineStr">
        <is>
          <t>Source Coverage</t>
        </is>
      </c>
      <c r="K46" s="33" t="inlineStr">
        <is>
          <t>Improvement</t>
        </is>
      </c>
      <c r="L46" s="33" t="inlineStr">
        <is>
          <t>Fixed</t>
        </is>
      </c>
      <c r="M46" s="33" t="inlineStr">
        <is>
          <t>Dynamic Source Discovery</t>
        </is>
      </c>
      <c r="N46" s="33" t="inlineStr">
        <is>
          <t>Yes</t>
        </is>
      </c>
      <c r="O46" s="33" t="inlineStr">
        <is>
          <t>Strike caused total industrial paralysis; sources not monitored. Vendor source request raised.</t>
        </is>
      </c>
      <c r="P46" s="33" t="n"/>
      <c r="Q46" s="33" t="inlineStr">
        <is>
          <t>Yes</t>
        </is>
      </c>
      <c r="R46" s="39" t="n">
        <v>5</v>
      </c>
      <c r="S46" s="39" t="n"/>
      <c r="T46" s="35" t="n">
        <v>46143</v>
      </c>
      <c r="U46" s="33" t="inlineStr">
        <is>
          <t>Medium</t>
        </is>
      </c>
      <c r="V46" s="33" t="inlineStr">
        <is>
          <t>Dynamic Source Discovery</t>
        </is>
      </c>
    </row>
    <row r="47">
      <c r="A47" s="35" t="n">
        <v>46143</v>
      </c>
      <c r="B47" s="37" t="n">
        <v>46157</v>
      </c>
      <c r="C47" s="33" t="inlineStr">
        <is>
          <t>Cyber Attack</t>
        </is>
      </c>
      <c r="D47" s="33" t="inlineStr">
        <is>
          <t>Bombardier</t>
        </is>
      </c>
      <c r="E47" s="39" t="n">
        <v>1</v>
      </c>
      <c r="F47" s="33" t="inlineStr">
        <is>
          <t>STELIA North America ransomware attack</t>
        </is>
      </c>
      <c r="G47" s="33" t="inlineStr">
        <is>
          <t>Complaint</t>
        </is>
      </c>
      <c r="H47" s="33" t="inlineStr">
        <is>
          <t>Missed WarRoom / No notification</t>
        </is>
      </c>
      <c r="I47" s="33" t="inlineStr">
        <is>
          <t>Product</t>
        </is>
      </c>
      <c r="J47" s="33" t="inlineStr">
        <is>
          <t>Process Clarification</t>
        </is>
      </c>
      <c r="K47" s="33" t="inlineStr">
        <is>
          <t>Improvement</t>
        </is>
      </c>
      <c r="L47" s="33" t="inlineStr">
        <is>
          <t>Clarification Provided</t>
        </is>
      </c>
      <c r="M47" s="33" t="inlineStr">
        <is>
          <t>Mapping validation</t>
        </is>
      </c>
      <c r="N47" s="33" t="inlineStr">
        <is>
          <t>Yes</t>
        </is>
      </c>
      <c r="O47" s="33" t="inlineStr">
        <is>
          <t>STELIA is listed supplier but no WarRoom/notification created. Investigation and portal checks requested.</t>
        </is>
      </c>
      <c r="P47" s="33" t="n"/>
      <c r="Q47" s="33" t="inlineStr">
        <is>
          <t>Yes</t>
        </is>
      </c>
      <c r="R47" s="39" t="n">
        <v>5</v>
      </c>
      <c r="S47" s="39" t="n"/>
      <c r="T47" s="35" t="n">
        <v>46143</v>
      </c>
      <c r="U47" s="33" t="inlineStr">
        <is>
          <t>Medium</t>
        </is>
      </c>
      <c r="V47" s="33" t="inlineStr">
        <is>
          <t>Entity &amp; Supplier Resolution</t>
        </is>
      </c>
    </row>
    <row r="48">
      <c r="A48" s="35" t="n">
        <v>46143</v>
      </c>
      <c r="B48" s="37" t="n">
        <v>46162</v>
      </c>
      <c r="C48" s="33" t="inlineStr">
        <is>
          <t>Supply Shortage</t>
        </is>
      </c>
      <c r="D48" s="33" t="inlineStr">
        <is>
          <t>Eaton</t>
        </is>
      </c>
      <c r="E48" s="39" t="n">
        <v>1</v>
      </c>
      <c r="F48" s="33" t="inlineStr">
        <is>
          <t>"Eggs/Chicken/FMCG" alerts vs. cyber/software supply-chain events</t>
        </is>
      </c>
      <c r="G48" s="33" t="inlineStr">
        <is>
          <t>Complaint</t>
        </is>
      </c>
      <c r="H48" s="33" t="inlineStr">
        <is>
          <t>Wrong Relevancy</t>
        </is>
      </c>
      <c r="I48" s="33" t="inlineStr">
        <is>
          <t>Product</t>
        </is>
      </c>
      <c r="J48" s="33" t="inlineStr">
        <is>
          <t>Relevancy</t>
        </is>
      </c>
      <c r="K48" s="33" t="inlineStr">
        <is>
          <t>Improvement</t>
        </is>
      </c>
      <c r="L48" s="33" t="inlineStr">
        <is>
          <t>Clarification Provided</t>
        </is>
      </c>
      <c r="M48" s="33" t="inlineStr">
        <is>
          <t>Digital vs physical risk threshold consistency review</t>
        </is>
      </c>
      <c r="N48" s="33" t="inlineStr">
        <is>
          <t>Yes</t>
        </is>
      </c>
      <c r="O48" s="33" t="inlineStr">
        <is>
          <t>Customer argued physical commodity alerts irrelevant while software supply-chain risk should be prioritized. Relevancy review initiated.</t>
        </is>
      </c>
      <c r="P48" s="33" t="n"/>
      <c r="Q48" s="33" t="inlineStr">
        <is>
          <t>No</t>
        </is>
      </c>
      <c r="R48" s="39" t="n">
        <v>5</v>
      </c>
      <c r="S48" s="39" t="n"/>
      <c r="T48" s="35" t="n">
        <v>46143</v>
      </c>
      <c r="U48" s="33" t="inlineStr">
        <is>
          <t>Medium</t>
        </is>
      </c>
      <c r="V48" s="33" t="inlineStr">
        <is>
          <t>Other Control Automation</t>
        </is>
      </c>
    </row>
    <row r="49">
      <c r="A49" s="35" t="n">
        <v>46143</v>
      </c>
      <c r="B49" s="37" t="n">
        <v>46162</v>
      </c>
      <c r="C49" s="33" t="inlineStr">
        <is>
          <t>Protest/Riot</t>
        </is>
      </c>
      <c r="D49" s="33" t="inlineStr">
        <is>
          <t>Ford</t>
        </is>
      </c>
      <c r="E49" s="39" t="n">
        <v>1</v>
      </c>
      <c r="F49" s="33" t="inlineStr">
        <is>
          <t>Highway 57 blockade (Querétaro–San Luis Potosí)</t>
        </is>
      </c>
      <c r="G49" s="33" t="inlineStr">
        <is>
          <t>Complaint</t>
        </is>
      </c>
      <c r="H49" s="33" t="inlineStr">
        <is>
          <t>Missed Event</t>
        </is>
      </c>
      <c r="I49" s="33" t="inlineStr">
        <is>
          <t>Product</t>
        </is>
      </c>
      <c r="J49" s="33" t="inlineStr">
        <is>
          <t>Event Identification</t>
        </is>
      </c>
      <c r="K49" s="33" t="inlineStr">
        <is>
          <t>Improvement</t>
        </is>
      </c>
      <c r="L49" s="33" t="inlineStr">
        <is>
          <t>RCA Shared</t>
        </is>
      </c>
      <c r="M49" s="33" t="inlineStr">
        <is>
          <t>Geo-detection enhancement</t>
        </is>
      </c>
      <c r="N49" s="33" t="inlineStr">
        <is>
          <t>Yes</t>
        </is>
      </c>
      <c r="O49" s="33" t="inlineStr">
        <is>
          <t>RCA shared with customer; source coverage + keyword gap identified. Blockade lasted 27+ hours; impacted suppliers in Santa Rosa Jáuregui.</t>
        </is>
      </c>
      <c r="P49" s="33" t="n"/>
      <c r="Q49" s="33" t="inlineStr">
        <is>
          <t>Yes</t>
        </is>
      </c>
      <c r="R49" s="39" t="n">
        <v>5</v>
      </c>
      <c r="S49" s="39" t="n"/>
      <c r="T49" s="35" t="n">
        <v>46143</v>
      </c>
      <c r="U49" s="33" t="inlineStr">
        <is>
          <t>Medium</t>
        </is>
      </c>
      <c r="V49" s="33" t="inlineStr">
        <is>
          <t>AI-Assisted Geofencing</t>
        </is>
      </c>
    </row>
    <row r="50">
      <c r="A50" s="35" t="n">
        <v>46143</v>
      </c>
      <c r="B50" s="37" t="n">
        <v>46162</v>
      </c>
      <c r="C50" s="33" t="inlineStr">
        <is>
          <t>Merger &amp; Acquisition</t>
        </is>
      </c>
      <c r="D50" s="33" t="inlineStr">
        <is>
          <t>NVR</t>
        </is>
      </c>
      <c r="E50" s="39" t="n">
        <v>1</v>
      </c>
      <c r="F50" s="33" t="inlineStr">
        <is>
          <t>SRS Distribution completes acquisition of Mingledorff's</t>
        </is>
      </c>
      <c r="G50" s="33" t="inlineStr">
        <is>
          <t>Complaint</t>
        </is>
      </c>
      <c r="H50" s="33" t="inlineStr">
        <is>
          <t>Delayed / Missing WarRoom</t>
        </is>
      </c>
      <c r="I50" s="33" t="inlineStr">
        <is>
          <t>People</t>
        </is>
      </c>
      <c r="J50" s="33" t="inlineStr">
        <is>
          <t>Prioritization</t>
        </is>
      </c>
      <c r="K50" s="33" t="inlineStr">
        <is>
          <t>Improvement</t>
        </is>
      </c>
      <c r="L50" s="33" t="inlineStr">
        <is>
          <t>Fixed</t>
        </is>
      </c>
      <c r="M50" s="33" t="inlineStr">
        <is>
          <t>Mapping validation</t>
        </is>
      </c>
      <c r="N50" s="33" t="inlineStr">
        <is>
          <t>Yes</t>
        </is>
      </c>
      <c r="O50" s="33" t="inlineStr">
        <is>
          <t>Supplier mapped but WarRoom delayed ~9 days; internal notes mention erosion of trust. RCA requested.</t>
        </is>
      </c>
      <c r="P50" s="33" t="inlineStr">
        <is>
          <t>~9 days (May 11 → May 20)</t>
        </is>
      </c>
      <c r="Q50" s="33" t="inlineStr">
        <is>
          <t>Yes</t>
        </is>
      </c>
      <c r="R50" s="39" t="n">
        <v>5</v>
      </c>
      <c r="S50" s="39" t="n">
        <v>216</v>
      </c>
      <c r="T50" s="35" t="n">
        <v>46143</v>
      </c>
      <c r="U50" s="33" t="inlineStr">
        <is>
          <t>Medium</t>
        </is>
      </c>
      <c r="V50" s="33" t="inlineStr">
        <is>
          <t>Entity &amp; Supplier Resolution</t>
        </is>
      </c>
    </row>
    <row r="51">
      <c r="A51" s="35" t="n">
        <v>46143</v>
      </c>
      <c r="B51" s="37" t="n">
        <v>46163</v>
      </c>
      <c r="C51" s="33" t="inlineStr">
        <is>
          <t>Wildfire</t>
        </is>
      </c>
      <c r="D51" s="33" t="inlineStr">
        <is>
          <t>Collins Aerospace</t>
        </is>
      </c>
      <c r="E51" s="39" t="n">
        <v>1</v>
      </c>
      <c r="F51" s="33" t="inlineStr">
        <is>
          <t>Sandy Fire (Simi Valley, CA)</t>
        </is>
      </c>
      <c r="G51" s="33" t="inlineStr">
        <is>
          <t>Complaint</t>
        </is>
      </c>
      <c r="H51" s="33" t="inlineStr">
        <is>
          <t>Delayed WarRoom</t>
        </is>
      </c>
      <c r="I51" s="33" t="inlineStr">
        <is>
          <t>People</t>
        </is>
      </c>
      <c r="J51" s="33" t="inlineStr">
        <is>
          <t>Prioritization</t>
        </is>
      </c>
      <c r="K51" s="33" t="inlineStr">
        <is>
          <t>Improvement</t>
        </is>
      </c>
      <c r="L51" s="33" t="inlineStr">
        <is>
          <t>Clarification Provided</t>
        </is>
      </c>
      <c r="M51" s="33" t="inlineStr">
        <is>
          <t>Escalation automation</t>
        </is>
      </c>
      <c r="N51" s="33" t="inlineStr">
        <is>
          <t>Yes</t>
        </is>
      </c>
      <c r="O51" s="33" t="inlineStr">
        <is>
          <t>Fire started May 18 11am; WarRoom created May 19 9:30am (~22.5 hr delay). Investigation pending.</t>
        </is>
      </c>
      <c r="P51" s="33" t="inlineStr">
        <is>
          <t>~22.5 hours</t>
        </is>
      </c>
      <c r="Q51" s="33" t="inlineStr">
        <is>
          <t>Yes</t>
        </is>
      </c>
      <c r="R51" s="39" t="n">
        <v>5</v>
      </c>
      <c r="S51" s="39" t="n">
        <v>22.5</v>
      </c>
      <c r="T51" s="35" t="n">
        <v>46143</v>
      </c>
      <c r="U51" s="33" t="inlineStr">
        <is>
          <t>Medium</t>
        </is>
      </c>
      <c r="V51" s="33" t="inlineStr">
        <is>
          <t>WarRoom &amp; Decision Validation</t>
        </is>
      </c>
    </row>
    <row r="52">
      <c r="A52" s="35" t="n">
        <v>46143</v>
      </c>
      <c r="B52" s="37" t="n">
        <v>46163</v>
      </c>
      <c r="C52" s="33" t="inlineStr">
        <is>
          <t>Wildfire</t>
        </is>
      </c>
      <c r="D52" s="33" t="inlineStr">
        <is>
          <t>Collins Aerospace</t>
        </is>
      </c>
      <c r="E52" s="39" t="n">
        <v>1</v>
      </c>
      <c r="F52" s="33" t="inlineStr">
        <is>
          <t>Bain Fire (Jurupa Valley/Riverside, CA)</t>
        </is>
      </c>
      <c r="G52" s="33" t="inlineStr">
        <is>
          <t>Complaint</t>
        </is>
      </c>
      <c r="H52" s="33" t="inlineStr">
        <is>
          <t>Delayed WarRoom</t>
        </is>
      </c>
      <c r="I52" s="33" t="inlineStr">
        <is>
          <t>People</t>
        </is>
      </c>
      <c r="J52" s="33" t="inlineStr">
        <is>
          <t>Prioritization</t>
        </is>
      </c>
      <c r="K52" s="33" t="inlineStr">
        <is>
          <t>Improvement</t>
        </is>
      </c>
      <c r="L52" s="33" t="inlineStr">
        <is>
          <t>Clarification Provided</t>
        </is>
      </c>
      <c r="M52" s="33" t="inlineStr">
        <is>
          <t>Escalation automation</t>
        </is>
      </c>
      <c r="N52" s="33" t="inlineStr">
        <is>
          <t>Yes</t>
        </is>
      </c>
      <c r="O52" s="33" t="inlineStr">
        <is>
          <t>Fire started May 19 11am; WarRoom created next day ~8am (~21 hr delay). Investigation pending.</t>
        </is>
      </c>
      <c r="P52" s="33" t="inlineStr">
        <is>
          <t>~21 hours</t>
        </is>
      </c>
      <c r="Q52" s="33" t="inlineStr">
        <is>
          <t>Yes</t>
        </is>
      </c>
      <c r="R52" s="39" t="n">
        <v>5</v>
      </c>
      <c r="S52" s="39" t="n">
        <v>21</v>
      </c>
      <c r="T52" s="35" t="n">
        <v>46143</v>
      </c>
      <c r="U52" s="33" t="inlineStr">
        <is>
          <t>Medium</t>
        </is>
      </c>
      <c r="V52" s="33" t="inlineStr">
        <is>
          <t>WarRoom &amp; Decision Validation</t>
        </is>
      </c>
    </row>
    <row r="53">
      <c r="A53" s="35" t="n">
        <v>46143</v>
      </c>
      <c r="B53" s="37" t="n">
        <v>46163</v>
      </c>
      <c r="C53" s="33" t="inlineStr">
        <is>
          <t>Financial Distress</t>
        </is>
      </c>
      <c r="D53" s="33" t="inlineStr">
        <is>
          <t>Eaton</t>
        </is>
      </c>
      <c r="E53" s="39" t="n">
        <v>1</v>
      </c>
      <c r="F53" s="33" t="inlineStr">
        <is>
          <t>Otto Bihler Maschinenfabrik in restructuring</t>
        </is>
      </c>
      <c r="G53" s="33" t="inlineStr">
        <is>
          <t>Complaint</t>
        </is>
      </c>
      <c r="H53" s="33" t="inlineStr">
        <is>
          <t>Missed Relevant Event</t>
        </is>
      </c>
      <c r="I53" s="33" t="inlineStr">
        <is>
          <t>Product</t>
        </is>
      </c>
      <c r="J53" s="33" t="inlineStr">
        <is>
          <t>Keyword Update</t>
        </is>
      </c>
      <c r="K53" s="33" t="inlineStr">
        <is>
          <t>Improvement</t>
        </is>
      </c>
      <c r="L53" s="33" t="inlineStr">
        <is>
          <t>Fixed</t>
        </is>
      </c>
      <c r="M53" s="33" t="inlineStr">
        <is>
          <t>Dynamic Source Discovery</t>
        </is>
      </c>
      <c r="N53" s="33" t="inlineStr">
        <is>
          <t>Yes</t>
        </is>
      </c>
      <c r="O53" s="33" t="inlineStr">
        <is>
          <t>Otto Bihler restructuring relevant but not alerted; irrelevant sector alerts received. Feed ingestion investigation raised.</t>
        </is>
      </c>
      <c r="P53" s="33" t="n"/>
      <c r="Q53" s="33" t="inlineStr">
        <is>
          <t>Yes</t>
        </is>
      </c>
      <c r="R53" s="39" t="n">
        <v>5</v>
      </c>
      <c r="S53" s="39" t="n"/>
      <c r="T53" s="35" t="n">
        <v>46143</v>
      </c>
      <c r="U53" s="33" t="inlineStr">
        <is>
          <t>Medium</t>
        </is>
      </c>
      <c r="V53" s="33" t="inlineStr">
        <is>
          <t>Dynamic Source Discovery</t>
        </is>
      </c>
    </row>
    <row r="54" customFormat="1" s="29">
      <c r="A54" s="36" t="n">
        <v>46143</v>
      </c>
      <c r="B54" s="38" t="n">
        <v>46164</v>
      </c>
      <c r="C54" s="34" t="inlineStr">
        <is>
          <t>Wildfire</t>
        </is>
      </c>
      <c r="D54" s="34" t="inlineStr">
        <is>
          <t>Ford</t>
        </is>
      </c>
      <c r="E54" s="40" t="n">
        <v>1</v>
      </c>
      <c r="F54" s="34" t="inlineStr">
        <is>
          <t>Supplier Impact Mapping Clarification – Sandy Fire (Simi Valley, California, USA)</t>
        </is>
      </c>
      <c r="G54" s="34" t="inlineStr">
        <is>
          <t>Inquiry</t>
        </is>
      </c>
      <c r="H54" s="34" t="inlineStr">
        <is>
          <t>Supplier Impact Mapping Clarification</t>
        </is>
      </c>
      <c r="I54" s="34" t="inlineStr">
        <is>
          <t>Process</t>
        </is>
      </c>
      <c r="J54" s="34" t="inlineStr">
        <is>
          <t>Mapping</t>
        </is>
      </c>
      <c r="K54" s="34" t="inlineStr">
        <is>
          <t>Improvement</t>
        </is>
      </c>
      <c r="L54" s="34" t="inlineStr">
        <is>
          <t>Clarification Provided</t>
        </is>
      </c>
      <c r="M54" s="34" t="inlineStr">
        <is>
          <t>Geofencing validation enhancement</t>
        </is>
      </c>
      <c r="N54" s="34" t="inlineStr">
        <is>
          <t>Yes</t>
        </is>
      </c>
      <c r="O54"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4" s="34" t="inlineStr">
        <is>
          <t>~22.5 hours</t>
        </is>
      </c>
      <c r="Q54" s="34" t="inlineStr">
        <is>
          <t>No</t>
        </is>
      </c>
      <c r="R54" s="40" t="n">
        <v>5</v>
      </c>
      <c r="S54" s="40" t="n">
        <v>22.5</v>
      </c>
      <c r="T54" s="36" t="n">
        <v>46143</v>
      </c>
      <c r="U54" s="34" t="inlineStr">
        <is>
          <t>Low</t>
        </is>
      </c>
      <c r="V54" s="34" t="inlineStr">
        <is>
          <t>AI-Assisted Geofencing</t>
        </is>
      </c>
    </row>
    <row r="55">
      <c r="A55" s="35" t="n">
        <v>46174</v>
      </c>
      <c r="B55" s="37" t="n">
        <v>46176</v>
      </c>
      <c r="C55" s="33" t="inlineStr">
        <is>
          <t>Bankruptcy</t>
        </is>
      </c>
      <c r="D55" s="33" t="inlineStr">
        <is>
          <t>Ford</t>
        </is>
      </c>
      <c r="E55" s="39" t="n">
        <v>1</v>
      </c>
      <c r="F55" s="33" t="inlineStr">
        <is>
          <t>CROMTRYCK s.r.o. Insolvency (Czech Republic)</t>
        </is>
      </c>
      <c r="G55" s="33" t="inlineStr">
        <is>
          <t>Complaint</t>
        </is>
      </c>
      <c r="H55" s="33" t="inlineStr">
        <is>
          <t>Missed Event</t>
        </is>
      </c>
      <c r="I55" s="33" t="inlineStr">
        <is>
          <t>Product</t>
        </is>
      </c>
      <c r="J55" s="33" t="inlineStr">
        <is>
          <t>Source Coverage</t>
        </is>
      </c>
      <c r="K55" s="33" t="inlineStr">
        <is>
          <t>Improvement</t>
        </is>
      </c>
      <c r="L55" s="33" t="inlineStr">
        <is>
          <t>Fixed</t>
        </is>
      </c>
      <c r="M55" s="33" t="inlineStr">
        <is>
          <t>Dynamic Source Discovery</t>
        </is>
      </c>
      <c r="N55" s="33" t="inlineStr">
        <is>
          <t>Yes</t>
        </is>
      </c>
      <c r="O55" s="33" t="inlineStr">
        <is>
          <t>Missed insolvency event due to regional insolvency source coverage limitations and restricted/paywalled source visibility. Vendor source expansion requested.</t>
        </is>
      </c>
      <c r="P55" s="33" t="n"/>
      <c r="Q55" s="33" t="inlineStr">
        <is>
          <t>Yes</t>
        </is>
      </c>
      <c r="R55" s="39" t="n">
        <v>6</v>
      </c>
      <c r="S55" s="39" t="n"/>
      <c r="T55" s="35" t="n">
        <v>46174</v>
      </c>
      <c r="U55" s="33" t="inlineStr">
        <is>
          <t>Medium</t>
        </is>
      </c>
      <c r="V55" s="33" t="inlineStr">
        <is>
          <t>Dynamic Source Discovery</t>
        </is>
      </c>
    </row>
    <row r="56">
      <c r="A56" s="35" t="n">
        <v>46174</v>
      </c>
      <c r="B56" s="37" t="n">
        <v>46177</v>
      </c>
      <c r="C56" s="33" t="inlineStr">
        <is>
          <t>Protest/Riot</t>
        </is>
      </c>
      <c r="D56" s="34" t="inlineStr">
        <is>
          <t>Ford</t>
        </is>
      </c>
      <c r="E56" s="39" t="n">
        <v>1</v>
      </c>
      <c r="F56" s="33" t="inlineStr">
        <is>
          <t>ANTAC Transport Blockades in Mexico</t>
        </is>
      </c>
      <c r="G56" s="33" t="inlineStr">
        <is>
          <t>Complaint</t>
        </is>
      </c>
      <c r="H56" s="33" t="inlineStr">
        <is>
          <t>Missed Event</t>
        </is>
      </c>
      <c r="I56" s="33" t="inlineStr">
        <is>
          <t>Product</t>
        </is>
      </c>
      <c r="J56" s="33" t="inlineStr">
        <is>
          <t>Keyword Update</t>
        </is>
      </c>
      <c r="K56" s="33" t="inlineStr">
        <is>
          <t>Improvement</t>
        </is>
      </c>
      <c r="L56" s="33" t="inlineStr">
        <is>
          <t>RCA Shared</t>
        </is>
      </c>
      <c r="M56" s="33" t="inlineStr">
        <is>
          <t>Dynamic Source Discovery</t>
        </is>
      </c>
      <c r="N56" s="33" t="inlineStr">
        <is>
          <t>Yes</t>
        </is>
      </c>
      <c r="O56" s="33" t="inlineStr">
        <is>
          <t>RCA completed; keyword gap identified and corrective actions implemented. Spanish-language detection logic did not recognize transportation disruption and protest terminology. Relevant keywords were added.</t>
        </is>
      </c>
      <c r="P56" s="33" t="n"/>
      <c r="Q56" s="33" t="inlineStr">
        <is>
          <t>Yes</t>
        </is>
      </c>
      <c r="R56" s="39" t="n">
        <v>6</v>
      </c>
      <c r="S56" s="39" t="n"/>
      <c r="T56" s="35" t="n">
        <v>46174</v>
      </c>
      <c r="U56" s="33" t="inlineStr">
        <is>
          <t>Medium</t>
        </is>
      </c>
      <c r="V56" s="33" t="inlineStr">
        <is>
          <t>Dynamic Source Discovery</t>
        </is>
      </c>
    </row>
    <row r="57">
      <c r="A57" s="35" t="n">
        <v>46174</v>
      </c>
      <c r="B57" s="37" t="n">
        <v>46178</v>
      </c>
      <c r="C57" s="33" t="inlineStr">
        <is>
          <t>Factory Disruption</t>
        </is>
      </c>
      <c r="D57" s="33" t="inlineStr">
        <is>
          <t>Eaton</t>
        </is>
      </c>
      <c r="E57" s="39" t="n">
        <v>1</v>
      </c>
      <c r="F57" s="33" t="inlineStr">
        <is>
          <t>Burnstein von Seelen Precision Casting Operational Disruption</t>
        </is>
      </c>
      <c r="G57" s="33" t="inlineStr">
        <is>
          <t>Complaint</t>
        </is>
      </c>
      <c r="H57" s="33" t="inlineStr">
        <is>
          <t>Missed Event</t>
        </is>
      </c>
      <c r="I57" s="33" t="inlineStr">
        <is>
          <t>People</t>
        </is>
      </c>
      <c r="J57" s="33" t="inlineStr">
        <is>
          <t>Review</t>
        </is>
      </c>
      <c r="K57" s="33" t="inlineStr">
        <is>
          <t>Improvement</t>
        </is>
      </c>
      <c r="L57" s="33" t="inlineStr">
        <is>
          <t>RCA Shared</t>
        </is>
      </c>
      <c r="M57" s="33" t="inlineStr">
        <is>
          <t>Supplier-aware escalation model + Not Impactful override validation</t>
        </is>
      </c>
      <c r="N57" s="33" t="inlineStr">
        <is>
          <t>Yes</t>
        </is>
      </c>
      <c r="O57" s="33" t="inlineStr">
        <is>
          <t>RCA shared; analyst classified event as Not Impactful. Event was successfully received and reviewed but incorrectly classified and therefore not escalated.</t>
        </is>
      </c>
      <c r="P57" s="33" t="n"/>
      <c r="Q57" s="33" t="inlineStr">
        <is>
          <t>Yes</t>
        </is>
      </c>
      <c r="R57" s="39" t="n">
        <v>6</v>
      </c>
      <c r="S57" s="39" t="n"/>
      <c r="T57" s="35" t="n">
        <v>46174</v>
      </c>
      <c r="U57" s="33" t="inlineStr">
        <is>
          <t>Medium</t>
        </is>
      </c>
      <c r="V57" s="33" t="inlineStr">
        <is>
          <t>WarRoom &amp; Decision Validation</t>
        </is>
      </c>
      <c r="W57" s="33" t="inlineStr">
        <is>
          <t>EAO-1</t>
        </is>
      </c>
    </row>
    <row r="58">
      <c r="A58" s="35" t="n">
        <v>46174</v>
      </c>
      <c r="B58" s="37" t="n">
        <v>46188</v>
      </c>
      <c r="C58" s="33" t="inlineStr">
        <is>
          <t>Chemical Spill</t>
        </is>
      </c>
      <c r="D58" s="33" t="inlineStr">
        <is>
          <t>Eaton</t>
        </is>
      </c>
      <c r="E58" s="39" t="n">
        <v>1</v>
      </c>
      <c r="F58" s="33" t="inlineStr">
        <is>
          <t>CO₂ Leak at Schaeffler India Plant, Pune</t>
        </is>
      </c>
      <c r="G58" s="33" t="inlineStr">
        <is>
          <t>Complaint</t>
        </is>
      </c>
      <c r="H58" s="33" t="inlineStr">
        <is>
          <t>Missed Event</t>
        </is>
      </c>
      <c r="I58" s="33" t="inlineStr">
        <is>
          <t>Product</t>
        </is>
      </c>
      <c r="J58" s="33" t="inlineStr">
        <is>
          <t>Event Identification</t>
        </is>
      </c>
      <c r="K58" s="33" t="inlineStr">
        <is>
          <t>Improvement</t>
        </is>
      </c>
      <c r="L58" s="33" t="inlineStr">
        <is>
          <t>RCA Shared</t>
        </is>
      </c>
      <c r="M58" s="33" t="inlineStr">
        <is>
          <t>Hazardous gas leak detection + mapped supplier escalation model</t>
        </is>
      </c>
      <c r="N58" s="33" t="inlineStr">
        <is>
          <t>Yes</t>
        </is>
      </c>
      <c r="O58" s="33" t="inlineStr">
        <is>
          <t>RCA document prepared and shared with customer. Customer reported missing EventWatch coverage related to a CO₂ leak involving fatalities at a mapped supplier facility.</t>
        </is>
      </c>
      <c r="P58" s="33" t="n"/>
      <c r="Q58" s="33" t="inlineStr">
        <is>
          <t>Yes</t>
        </is>
      </c>
      <c r="R58" s="39" t="n">
        <v>6</v>
      </c>
      <c r="S58" s="39" t="n"/>
      <c r="T58" s="35" t="n">
        <v>46174</v>
      </c>
      <c r="U58" s="33" t="inlineStr">
        <is>
          <t>Medium</t>
        </is>
      </c>
      <c r="V58" s="33" t="inlineStr">
        <is>
          <t>WarRoom &amp; Decision Validation</t>
        </is>
      </c>
      <c r="W58" s="33" t="inlineStr">
        <is>
          <t>EAO-4</t>
        </is>
      </c>
    </row>
    <row r="59">
      <c r="A59" s="35" t="n">
        <v>46174</v>
      </c>
      <c r="B59" s="37" t="n">
        <v>46188</v>
      </c>
      <c r="C59" s="33" t="inlineStr">
        <is>
          <t>Supply Shortage</t>
        </is>
      </c>
      <c r="D59" s="33" t="inlineStr">
        <is>
          <t>Belden Inc</t>
        </is>
      </c>
      <c r="E59" s="39" t="n">
        <v>1</v>
      </c>
      <c r="F59" s="33" t="inlineStr">
        <is>
          <t>MLCC Supply Chain Alert Related to AI Demand Growth</t>
        </is>
      </c>
      <c r="G59" s="33" t="inlineStr">
        <is>
          <t>Inquiry</t>
        </is>
      </c>
      <c r="H59" s="33" t="inlineStr">
        <is>
          <t>Coverage Verification Request</t>
        </is>
      </c>
      <c r="I59" s="33" t="inlineStr">
        <is>
          <t>Process</t>
        </is>
      </c>
      <c r="J59" s="33" t="inlineStr">
        <is>
          <t>Process Clarification</t>
        </is>
      </c>
      <c r="K59" s="33" t="inlineStr">
        <is>
          <t>Improvement</t>
        </is>
      </c>
      <c r="L59" s="33" t="inlineStr">
        <is>
          <t>Clarification Provided</t>
        </is>
      </c>
      <c r="M59" s="33" t="inlineStr">
        <is>
          <t>Forecast vs Event differentiation</t>
        </is>
      </c>
      <c r="N59" s="33" t="inlineStr">
        <is>
          <t>No</t>
        </is>
      </c>
      <c r="O59" s="33" t="inlineStr">
        <is>
          <t>Article was an investment and market outlook discussing future MLCC demand and did not meet EventWatch reporting thresholds.</t>
        </is>
      </c>
      <c r="P59" s="33" t="n"/>
      <c r="Q59" s="33" t="inlineStr">
        <is>
          <t>No</t>
        </is>
      </c>
      <c r="R59" s="39" t="n">
        <v>6</v>
      </c>
      <c r="S59" s="39" t="n"/>
      <c r="T59" s="35" t="n">
        <v>46174</v>
      </c>
      <c r="U59" s="33" t="inlineStr">
        <is>
          <t>Medium</t>
        </is>
      </c>
      <c r="V59" s="33" t="inlineStr">
        <is>
          <t>Other Control Automation</t>
        </is>
      </c>
      <c r="W59" s="33" t="inlineStr">
        <is>
          <t>EAO-8</t>
        </is>
      </c>
    </row>
    <row r="60">
      <c r="A60" s="35" t="n">
        <v>46174</v>
      </c>
      <c r="B60" s="37" t="n">
        <v>46196</v>
      </c>
      <c r="C60" s="33" t="inlineStr">
        <is>
          <t>Merger &amp; Acquisition</t>
        </is>
      </c>
      <c r="D60" s="33" t="inlineStr">
        <is>
          <t>Caterpillar</t>
        </is>
      </c>
      <c r="E60" s="39" t="n">
        <v>1</v>
      </c>
      <c r="F60" s="33" t="inlineStr">
        <is>
          <t>Dana Incorporated to Merge with Eaton's Mobility Business</t>
        </is>
      </c>
      <c r="G60" s="33" t="inlineStr">
        <is>
          <t>Complaint</t>
        </is>
      </c>
      <c r="H60" s="33" t="inlineStr">
        <is>
          <t>Impacted Supplier Missing</t>
        </is>
      </c>
      <c r="I60" s="33" t="inlineStr">
        <is>
          <t>People</t>
        </is>
      </c>
      <c r="J60" s="33" t="inlineStr">
        <is>
          <t>Mapping</t>
        </is>
      </c>
      <c r="K60" s="33" t="inlineStr">
        <is>
          <t>Improvement</t>
        </is>
      </c>
      <c r="L60" s="33" t="inlineStr">
        <is>
          <t>RCA Shared</t>
        </is>
      </c>
      <c r="M60" s="33" t="inlineStr">
        <is>
          <t>Supplier relationship validation + impacted entity completeness checks</t>
        </is>
      </c>
      <c r="N60" s="33" t="inlineStr">
        <is>
          <t>Yes</t>
        </is>
      </c>
      <c r="O60" s="33" t="inlineStr">
        <is>
          <t>Customer-facing RCA requested and RCA document prepared. Dana Holding Corporation was not included in impacted supplier selection during initial WarRoom creation and was subsequently added.</t>
        </is>
      </c>
      <c r="P60" s="33" t="n"/>
      <c r="Q60" s="33" t="inlineStr">
        <is>
          <t>No</t>
        </is>
      </c>
      <c r="R60" s="39" t="n">
        <v>6</v>
      </c>
      <c r="S60" s="39" t="n"/>
      <c r="T60" s="35" t="n">
        <v>46174</v>
      </c>
      <c r="U60" s="33" t="inlineStr">
        <is>
          <t>Medium</t>
        </is>
      </c>
      <c r="V60" s="33" t="inlineStr">
        <is>
          <t>Entity &amp; Supplier Resolution</t>
        </is>
      </c>
      <c r="W60" s="33" t="inlineStr">
        <is>
          <t>EAO-6</t>
        </is>
      </c>
    </row>
    <row r="61">
      <c r="A61" s="35" t="n">
        <v>46174</v>
      </c>
      <c r="B61" s="37" t="n">
        <v>46196</v>
      </c>
      <c r="C61" s="33" t="inlineStr">
        <is>
          <t>Other</t>
        </is>
      </c>
      <c r="D61" s="33" t="inlineStr">
        <is>
          <t>Western Digital</t>
        </is>
      </c>
      <c r="E61" s="39" t="n">
        <v>1</v>
      </c>
      <c r="F61" s="33" t="inlineStr">
        <is>
          <t>Inquiry on Route Disruption – Sepone Bridge, Laos</t>
        </is>
      </c>
      <c r="G61" s="33" t="inlineStr">
        <is>
          <t>Inquiry</t>
        </is>
      </c>
      <c r="H61" s="33" t="inlineStr">
        <is>
          <t>Customer Requested Verification</t>
        </is>
      </c>
      <c r="I61" s="33" t="inlineStr">
        <is>
          <t>Process</t>
        </is>
      </c>
      <c r="J61" s="33" t="inlineStr">
        <is>
          <t>Process Clarification</t>
        </is>
      </c>
      <c r="K61" s="33" t="inlineStr">
        <is>
          <t>Improvement</t>
        </is>
      </c>
      <c r="L61" s="33" t="inlineStr">
        <is>
          <t>Clarification Provided</t>
        </is>
      </c>
      <c r="M61" s="33" t="inlineStr">
        <is>
          <t>Route-risk monitoring enhancement</t>
        </is>
      </c>
      <c r="N61" s="33" t="inlineStr">
        <is>
          <t>No</t>
        </is>
      </c>
      <c r="O61" s="33" t="inlineStr">
        <is>
          <t>Review of English and local-language sources did not identify any verified disruption, closure, or logistic impact.</t>
        </is>
      </c>
      <c r="P61" s="33" t="n"/>
      <c r="Q61" s="33" t="inlineStr">
        <is>
          <t>No</t>
        </is>
      </c>
      <c r="R61" s="39" t="n">
        <v>6</v>
      </c>
      <c r="S61" s="39" t="n"/>
      <c r="T61" s="35" t="n">
        <v>46174</v>
      </c>
      <c r="U61" s="33" t="inlineStr">
        <is>
          <t>Medium</t>
        </is>
      </c>
      <c r="V61" s="33" t="inlineStr">
        <is>
          <t>Other Control Automation</t>
        </is>
      </c>
      <c r="W61" s="33" t="inlineStr">
        <is>
          <t>EAO-7</t>
        </is>
      </c>
    </row>
    <row r="62">
      <c r="A62" s="35" t="n">
        <v>46174</v>
      </c>
      <c r="B62" s="37" t="n">
        <v>46197</v>
      </c>
      <c r="C62" s="33" t="inlineStr">
        <is>
          <t>Cyber Attack</t>
        </is>
      </c>
      <c r="D62" s="33" t="inlineStr">
        <is>
          <t>Western Digital</t>
        </is>
      </c>
      <c r="E62" s="39" t="n">
        <v>1</v>
      </c>
      <c r="F62" s="33" t="inlineStr">
        <is>
          <t>Nidec Chaun Choung Technology Suffers Ransomware Attack</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cyber incident escalation model</t>
        </is>
      </c>
      <c r="N62" s="33" t="inlineStr">
        <is>
          <t>Yes</t>
        </is>
      </c>
      <c r="O62" s="33" t="inlineStr">
        <is>
          <t>RCA prepared; analyst impact-assessment failure identified. Event was captured successfully but incorrectly assessed as Not Impactful during analyst review and therefore not escalated.</t>
        </is>
      </c>
      <c r="P62" s="33" t="n"/>
      <c r="Q62" s="33" t="inlineStr">
        <is>
          <t>Yes</t>
        </is>
      </c>
      <c r="R62" s="39" t="n">
        <v>6</v>
      </c>
      <c r="S62" s="39" t="n"/>
      <c r="T62" s="35" t="n">
        <v>46174</v>
      </c>
      <c r="U62" s="33" t="inlineStr">
        <is>
          <t>Medium</t>
        </is>
      </c>
      <c r="V62" s="33" t="inlineStr">
        <is>
          <t>WarRoom &amp; Decision Validation</t>
        </is>
      </c>
      <c r="W62" s="33" t="inlineStr">
        <is>
          <t>EAO-10</t>
        </is>
      </c>
    </row>
    <row r="63">
      <c r="A63" s="35" t="n">
        <v>46174</v>
      </c>
      <c r="B63" s="37" t="n">
        <v>46198</v>
      </c>
      <c r="C63" s="33" t="inlineStr">
        <is>
          <t>Factory Fire</t>
        </is>
      </c>
      <c r="D63" s="33" t="inlineStr">
        <is>
          <t>Caterpillar</t>
        </is>
      </c>
      <c r="E63" s="39" t="n">
        <v>1</v>
      </c>
      <c r="F63" s="33" t="inlineStr">
        <is>
          <t>Fire at the Isselguss GmbH Facility in Isselburg, Germany</t>
        </is>
      </c>
      <c r="G63" s="33" t="inlineStr">
        <is>
          <t>Complaint</t>
        </is>
      </c>
      <c r="H63" s="33" t="inlineStr">
        <is>
          <t>Missed Event</t>
        </is>
      </c>
      <c r="I63" s="33" t="inlineStr">
        <is>
          <t>Product</t>
        </is>
      </c>
      <c r="J63" s="33" t="inlineStr">
        <is>
          <t>Event Identification</t>
        </is>
      </c>
      <c r="K63" s="33" t="inlineStr">
        <is>
          <t>Improvement</t>
        </is>
      </c>
      <c r="L63" s="33" t="inlineStr">
        <is>
          <t>RCA Shared</t>
        </is>
      </c>
      <c r="M63" s="33" t="inlineStr">
        <is>
          <t>Entity-location-aware clustering + cluster separation validation</t>
        </is>
      </c>
      <c r="N63" s="33" t="inlineStr">
        <is>
          <t>Yes</t>
        </is>
      </c>
      <c r="O63" s="33" t="inlineStr">
        <is>
          <t>RCA PDF prepared and approved for customer sharing. Event was captured by feeds but incorrectly clustered with another unrelated factory fire in Germany, preventing separate WarRoom creation.</t>
        </is>
      </c>
      <c r="P63" s="33" t="n"/>
      <c r="Q63" s="33" t="inlineStr">
        <is>
          <t>Yes</t>
        </is>
      </c>
      <c r="R63" s="39" t="n">
        <v>6</v>
      </c>
      <c r="S63" s="39" t="n"/>
      <c r="T63" s="35" t="n">
        <v>46174</v>
      </c>
      <c r="U63" s="33" t="inlineStr">
        <is>
          <t>Medium</t>
        </is>
      </c>
      <c r="V63" s="33" t="inlineStr">
        <is>
          <t>Entity &amp; Supplier Resolution</t>
        </is>
      </c>
      <c r="W63" s="33" t="inlineStr">
        <is>
          <t>EAO-9</t>
        </is>
      </c>
    </row>
    <row r="64">
      <c r="A64" s="35" t="n">
        <v>46174</v>
      </c>
      <c r="B64" s="37" t="n">
        <v>46199</v>
      </c>
      <c r="C64" s="33" t="inlineStr">
        <is>
          <t>Extreme Weather</t>
        </is>
      </c>
      <c r="D64" s="33" t="inlineStr">
        <is>
          <t>Woodward</t>
        </is>
      </c>
      <c r="E64" s="39" t="n">
        <v>1</v>
      </c>
      <c r="F64" s="33" t="inlineStr">
        <is>
          <t>Severe Storms Trigger Disruptions Across the Midwest USA – Geographic Misclassification</t>
        </is>
      </c>
      <c r="G64" s="33" t="inlineStr">
        <is>
          <t>Complaint</t>
        </is>
      </c>
      <c r="H64" s="33" t="inlineStr">
        <is>
          <t>Geographic Misclassification</t>
        </is>
      </c>
      <c r="I64" s="33" t="inlineStr">
        <is>
          <t>People</t>
        </is>
      </c>
      <c r="J64" s="33" t="inlineStr">
        <is>
          <t>Review</t>
        </is>
      </c>
      <c r="K64" s="33" t="inlineStr">
        <is>
          <t>Improvement</t>
        </is>
      </c>
      <c r="L64" s="33" t="inlineStr">
        <is>
          <t>Fixed</t>
        </is>
      </c>
      <c r="M64" s="33" t="inlineStr">
        <is>
          <t>Cluster integrity validation + geographic consistency checks</t>
        </is>
      </c>
      <c r="N64" s="33" t="inlineStr">
        <is>
          <t>Yes</t>
        </is>
      </c>
      <c r="O64" s="33" t="inlineStr">
        <is>
          <t>California sites were incorrectly included because two different events were merged into the same WarRoom.</t>
        </is>
      </c>
      <c r="P64" s="33" t="n"/>
      <c r="Q64" s="33" t="inlineStr">
        <is>
          <t>No</t>
        </is>
      </c>
      <c r="R64" s="39" t="n">
        <v>6</v>
      </c>
      <c r="S64" s="39" t="n"/>
      <c r="T64" s="35" t="n">
        <v>46174</v>
      </c>
      <c r="U64" s="33" t="inlineStr">
        <is>
          <t>Medium</t>
        </is>
      </c>
      <c r="V64" s="33" t="inlineStr">
        <is>
          <t>AI-Assisted Geofencing</t>
        </is>
      </c>
      <c r="W64" s="33" t="inlineStr">
        <is>
          <t>EAO-5</t>
        </is>
      </c>
    </row>
    <row r="65">
      <c r="A65" s="35" t="n">
        <v>46174</v>
      </c>
      <c r="B65" s="37" t="n">
        <v>46203</v>
      </c>
      <c r="C65" s="33" t="inlineStr">
        <is>
          <t>Factory Fire</t>
        </is>
      </c>
      <c r="D65" s="33" t="inlineStr">
        <is>
          <t>Caterpillar</t>
        </is>
      </c>
      <c r="E65" s="39" t="n">
        <v>1</v>
      </c>
      <c r="F65" s="33" t="inlineStr">
        <is>
          <t>Isselguss / Isselburg Foundry Naming Clarification</t>
        </is>
      </c>
      <c r="G65" s="33" t="inlineStr">
        <is>
          <t>Inquiry</t>
        </is>
      </c>
      <c r="H65" s="33" t="inlineStr">
        <is>
          <t>Customer Terminology Preference</t>
        </is>
      </c>
      <c r="I65" s="33" t="inlineStr">
        <is>
          <t>Process</t>
        </is>
      </c>
      <c r="J65" s="33" t="inlineStr">
        <is>
          <t>Process Clarification</t>
        </is>
      </c>
      <c r="K65" s="33" t="inlineStr">
        <is>
          <t>Improvement</t>
        </is>
      </c>
      <c r="L65" s="33" t="inlineStr">
        <is>
          <t>Clarification Provided</t>
        </is>
      </c>
      <c r="M65" s="33" t="inlineStr">
        <is>
          <t>Company alias management</t>
        </is>
      </c>
      <c r="N65" s="33" t="inlineStr">
        <is>
          <t>No</t>
        </is>
      </c>
      <c r="O65" s="33" t="inlineStr">
        <is>
          <t>Isselguss and Isselburg Foundry refer to the same facility. Title updated to align with customer terminology preference and not due to a reporting error.</t>
        </is>
      </c>
      <c r="P65" s="33" t="n"/>
      <c r="Q65" s="33" t="inlineStr">
        <is>
          <t>No</t>
        </is>
      </c>
      <c r="R65" s="39" t="n">
        <v>6</v>
      </c>
      <c r="S65" s="39" t="n"/>
      <c r="T65" s="35" t="n">
        <v>46174</v>
      </c>
      <c r="U65" s="33" t="inlineStr">
        <is>
          <t>Medium</t>
        </is>
      </c>
      <c r="V65" s="33" t="inlineStr">
        <is>
          <t>Entity &amp; Supplier Resolution</t>
        </is>
      </c>
      <c r="W65" s="33" t="inlineStr">
        <is>
          <t>EAO-11</t>
        </is>
      </c>
    </row>
    <row r="66">
      <c r="A66" s="35" t="n">
        <v>46204</v>
      </c>
      <c r="B66" s="37" t="n">
        <v>46204</v>
      </c>
      <c r="C66" s="28" t="inlineStr">
        <is>
          <t>Labor Disruption</t>
        </is>
      </c>
      <c r="D66" s="33" t="inlineStr">
        <is>
          <t>Ford</t>
        </is>
      </c>
      <c r="E66" s="39" t="n">
        <v>1</v>
      </c>
      <c r="F66" s="33" t="inlineStr">
        <is>
          <t>BorgWarner Indefinite Strike – Vigo Metropolitan Area, Spain</t>
        </is>
      </c>
      <c r="G66" s="33" t="inlineStr">
        <is>
          <t>Complaint</t>
        </is>
      </c>
      <c r="H66" s="33" t="inlineStr">
        <is>
          <t>Missed Event</t>
        </is>
      </c>
      <c r="I66" s="33" t="inlineStr">
        <is>
          <t>Product</t>
        </is>
      </c>
      <c r="J66" s="33" t="inlineStr">
        <is>
          <t>Event Identification</t>
        </is>
      </c>
      <c r="K66" s="33" t="inlineStr">
        <is>
          <t>Improvement</t>
        </is>
      </c>
      <c r="L66" s="33" t="inlineStr">
        <is>
          <t>Clarification Provided</t>
        </is>
      </c>
      <c r="M66" s="33" t="inlineStr">
        <is>
          <t>Vendor-to-portal feed validation + cluster state integrity monitoring</t>
        </is>
      </c>
      <c r="N66" s="33" t="inlineStr">
        <is>
          <t>Yes</t>
        </is>
      </c>
      <c r="O66"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66" s="33" t="inlineStr">
        <is>
          <t>Yes</t>
        </is>
      </c>
      <c r="Q66" s="33" t="inlineStr">
        <is>
          <t>Yes</t>
        </is>
      </c>
      <c r="R66" s="39" t="n">
        <v>7</v>
      </c>
      <c r="S66" s="39" t="n"/>
      <c r="T66" s="35" t="n">
        <v>46204</v>
      </c>
      <c r="U66" s="33" t="inlineStr">
        <is>
          <t>Medium</t>
        </is>
      </c>
      <c r="V66" s="33" t="inlineStr">
        <is>
          <t>Dynamic Source Discovery</t>
        </is>
      </c>
      <c r="W66" s="33" t="inlineStr">
        <is>
          <t>EAO-12</t>
        </is>
      </c>
    </row>
    <row r="67">
      <c r="A67" s="35" t="n">
        <v>46204</v>
      </c>
      <c r="B67" s="37" t="n">
        <v>46209</v>
      </c>
      <c r="C67" s="33" t="inlineStr">
        <is>
          <t>Factory Fire</t>
        </is>
      </c>
      <c r="D67" s="33" t="inlineStr">
        <is>
          <t>Ford</t>
        </is>
      </c>
      <c r="E67" s="39" t="n">
        <v>1</v>
      </c>
      <c r="F67" s="33" t="inlineStr">
        <is>
          <t>Fire at FXI Foam Manufacturing Plant in Cuautitlan, Mexico</t>
        </is>
      </c>
      <c r="G67" s="33" t="inlineStr">
        <is>
          <t>Complaint</t>
        </is>
      </c>
      <c r="H67" s="33" t="inlineStr">
        <is>
          <t>Missed Event</t>
        </is>
      </c>
      <c r="I67" s="33" t="inlineStr">
        <is>
          <t>People</t>
        </is>
      </c>
      <c r="J67" s="33" t="inlineStr">
        <is>
          <t>Event Identification</t>
        </is>
      </c>
      <c r="K67" s="33" t="inlineStr">
        <is>
          <t>Improvement</t>
        </is>
      </c>
      <c r="L67" s="33" t="inlineStr">
        <is>
          <t>Clarification Provided</t>
        </is>
      </c>
      <c r="M67" s="33" t="inlineStr">
        <is>
          <t>Supplier-aware factory fire escalation model + Not Impactful override validation</t>
        </is>
      </c>
      <c r="N67" s="33" t="inlineStr">
        <is>
          <t>Yes</t>
        </is>
      </c>
      <c r="O67" s="33" t="inlineStr">
        <is>
          <t>Customer reported fire at FXI (Tier 2 supplier) causing Force Majeure at Sage Automotive Interiors. No matching EventWatch notification/WarRoom found during investigation.</t>
        </is>
      </c>
      <c r="P67" s="33" t="n"/>
      <c r="Q67" s="33" t="inlineStr">
        <is>
          <t>Yes</t>
        </is>
      </c>
      <c r="R67" s="39" t="n">
        <v>7</v>
      </c>
      <c r="S67" s="39" t="n"/>
      <c r="T67" s="35" t="n">
        <v>46204</v>
      </c>
      <c r="U67" s="33" t="inlineStr">
        <is>
          <t>Medium</t>
        </is>
      </c>
      <c r="V67" s="33" t="inlineStr">
        <is>
          <t>WarRoom &amp; Decision Validation</t>
        </is>
      </c>
      <c r="W67" s="33" t="inlineStr">
        <is>
          <t>EAO-13</t>
        </is>
      </c>
    </row>
    <row r="68">
      <c r="A68" s="35" t="n">
        <v>46204</v>
      </c>
      <c r="B68" s="37" t="n">
        <v>46211</v>
      </c>
      <c r="C68" s="33" t="inlineStr">
        <is>
          <t>Factory Fire</t>
        </is>
      </c>
      <c r="D68" s="33" t="inlineStr">
        <is>
          <t>Ford</t>
        </is>
      </c>
      <c r="E68" s="39" t="n">
        <v>1</v>
      </c>
      <c r="F68" s="33" t="inlineStr">
        <is>
          <t>New World International Co. Factory Fire, Thailand</t>
        </is>
      </c>
      <c r="G68" s="33" t="inlineStr">
        <is>
          <t>Complaint</t>
        </is>
      </c>
      <c r="H68" s="33" t="inlineStr">
        <is>
          <t>Missed Event</t>
        </is>
      </c>
      <c r="I68" s="33" t="inlineStr">
        <is>
          <t>People</t>
        </is>
      </c>
      <c r="J68" s="33" t="inlineStr">
        <is>
          <t>Review</t>
        </is>
      </c>
      <c r="K68" s="33" t="inlineStr">
        <is>
          <t>Improvement</t>
        </is>
      </c>
      <c r="L68" s="33" t="inlineStr">
        <is>
          <t>Clarification Provided</t>
        </is>
      </c>
      <c r="M68" s="33" t="inlineStr">
        <is>
          <t>Supplier-aware factory fire escalation model + Not Impactful override validation</t>
        </is>
      </c>
      <c r="N68" s="33" t="inlineStr">
        <is>
          <t>Yes</t>
        </is>
      </c>
      <c r="O68" s="33" t="inlineStr">
        <is>
          <t>Feeds were received and event was reportedly marked Not Impactful despite destruction of production/storage facility. Investigation ongoing.</t>
        </is>
      </c>
      <c r="P68" s="33" t="n"/>
      <c r="Q68" s="33" t="inlineStr">
        <is>
          <t>Yes</t>
        </is>
      </c>
      <c r="R68" s="39" t="n">
        <v>7</v>
      </c>
      <c r="S68" s="39" t="n"/>
      <c r="T68" s="35" t="n">
        <v>46204</v>
      </c>
      <c r="U68" s="33" t="inlineStr">
        <is>
          <t>Medium</t>
        </is>
      </c>
      <c r="V68" s="33" t="inlineStr">
        <is>
          <t>WarRoom &amp; Decision Validation</t>
        </is>
      </c>
      <c r="W68" s="33" t="inlineStr">
        <is>
          <t>EAO-14</t>
        </is>
      </c>
    </row>
    <row r="69">
      <c r="A69" s="35" t="n">
        <v>46204</v>
      </c>
      <c r="B69" s="37" t="n">
        <v>46211</v>
      </c>
      <c r="C69" s="33" t="inlineStr">
        <is>
          <t>Supply Shortage</t>
        </is>
      </c>
      <c r="D69" s="33" t="inlineStr">
        <is>
          <t>META</t>
        </is>
      </c>
      <c r="E69" s="39" t="n">
        <v>1</v>
      </c>
      <c r="F69" s="33" t="inlineStr">
        <is>
          <t>Samsung DRAM Price Increase Alert – WarRoom Not Created</t>
        </is>
      </c>
      <c r="G69" s="33" t="inlineStr">
        <is>
          <t>Inquiry</t>
        </is>
      </c>
      <c r="H69" s="33" t="inlineStr">
        <is>
          <t>Missed WarRoom</t>
        </is>
      </c>
      <c r="I69" s="33" t="inlineStr">
        <is>
          <t>Process</t>
        </is>
      </c>
      <c r="J69" s="33" t="inlineStr">
        <is>
          <t>WarRoom Creation</t>
        </is>
      </c>
      <c r="K69" s="33" t="inlineStr">
        <is>
          <t>Improvement</t>
        </is>
      </c>
      <c r="L69" s="33" t="inlineStr">
        <is>
          <t>Clarification Provided</t>
        </is>
      </c>
      <c r="M69" s="33" t="inlineStr">
        <is>
          <t>Site Selection Suggestion based on unnormalized supplier names</t>
        </is>
      </c>
      <c r="N69" s="33" t="inlineStr">
        <is>
          <t>Yes</t>
        </is>
      </c>
      <c r="O69" s="33" t="inlineStr">
        <is>
          <t>EventWatch alert published but corresponding WarRoom not created despite supplier normalization. Investigation ongoing.</t>
        </is>
      </c>
      <c r="P69" s="33" t="inlineStr">
        <is>
          <t>No</t>
        </is>
      </c>
      <c r="Q69" s="33" t="inlineStr">
        <is>
          <t>Yes</t>
        </is>
      </c>
      <c r="R69" s="39" t="n">
        <v>7</v>
      </c>
      <c r="S69" s="39" t="n"/>
      <c r="T69" s="35" t="n">
        <v>46204</v>
      </c>
      <c r="U69" s="33" t="inlineStr">
        <is>
          <t>Low</t>
        </is>
      </c>
      <c r="V69" s="33" t="inlineStr">
        <is>
          <t>Entity &amp; Supplier Resolution</t>
        </is>
      </c>
      <c r="W69" s="33" t="inlineStr">
        <is>
          <t>EAO-15</t>
        </is>
      </c>
    </row>
    <row r="70">
      <c r="A70" s="35" t="n">
        <v>46204</v>
      </c>
      <c r="B70" s="37" t="n">
        <v>46213</v>
      </c>
      <c r="C70" s="33" t="inlineStr">
        <is>
          <t>WarRoom Operations</t>
        </is>
      </c>
      <c r="D70" s="33" t="inlineStr">
        <is>
          <t>Eaton</t>
        </is>
      </c>
      <c r="E70" s="39" t="n">
        <v>1</v>
      </c>
      <c r="F70" s="33" t="inlineStr">
        <is>
          <t>Super Typhoon Bavi WarRoom Timing Clarification (Taiwan)</t>
        </is>
      </c>
      <c r="G70" s="33" t="inlineStr">
        <is>
          <t>Inquiry</t>
        </is>
      </c>
      <c r="H70" s="33" t="inlineStr">
        <is>
          <t>WarRoom Timing/Trigger Criteria Clarification</t>
        </is>
      </c>
      <c r="I70" s="33" t="inlineStr">
        <is>
          <t>Process</t>
        </is>
      </c>
      <c r="J70" s="33" t="inlineStr">
        <is>
          <t>Process Clarification</t>
        </is>
      </c>
      <c r="K70" s="33" t="inlineStr">
        <is>
          <t>Improvement</t>
        </is>
      </c>
      <c r="L70" s="33" t="inlineStr">
        <is>
          <t>Clarification Provided</t>
        </is>
      </c>
      <c r="M70" s="33" t="inlineStr">
        <is>
          <t>WarRoom trigger-criteria explanation template for post-peak activations</t>
        </is>
      </c>
      <c r="N70" s="33" t="inlineStr">
        <is>
          <t>No</t>
        </is>
      </c>
      <c r="O70" s="33" t="inlineStr">
        <is>
          <t>Staged from Jira EAO-16 (Done). Eaton asked why the WarRoom for Super Typhoon Bavi (Taiwan) was activated on 9-Jul after the storm had already peaked, and what triggering criteria were used.</t>
        </is>
      </c>
      <c r="Q70" s="33" t="inlineStr">
        <is>
          <t>No</t>
        </is>
      </c>
      <c r="R70" s="39" t="n">
        <v>7</v>
      </c>
      <c r="T70" s="35" t="n">
        <v>46204</v>
      </c>
      <c r="U70" s="33" t="inlineStr">
        <is>
          <t>Low</t>
        </is>
      </c>
      <c r="V70" s="33" t="inlineStr">
        <is>
          <t>WarRoom &amp; Decision Validation</t>
        </is>
      </c>
      <c r="W70" s="33" t="inlineStr">
        <is>
          <t>EAO-16</t>
        </is>
      </c>
    </row>
    <row r="71">
      <c r="A71" s="35" t="n">
        <v>46204</v>
      </c>
      <c r="B71" s="37" t="n">
        <v>46213</v>
      </c>
      <c r="C71" s="33" t="inlineStr">
        <is>
          <t>Litigation/Legal</t>
        </is>
      </c>
      <c r="D71" s="33" t="inlineStr">
        <is>
          <t>Micron</t>
        </is>
      </c>
      <c r="E71" s="39" t="n">
        <v>1</v>
      </c>
      <c r="F71" s="33" t="inlineStr">
        <is>
          <t>Jacobs Engineering/CH2M Hill Forced Labor Lawsuit – Missed EventWatch Notification (Micron)</t>
        </is>
      </c>
      <c r="G71" s="33" t="inlineStr">
        <is>
          <t>Complaint</t>
        </is>
      </c>
      <c r="H71" s="33" t="inlineStr">
        <is>
          <t>Missed Event</t>
        </is>
      </c>
      <c r="I71" s="33" t="inlineStr">
        <is>
          <t>Product</t>
        </is>
      </c>
      <c r="J71" s="33" t="inlineStr">
        <is>
          <t>Source Coverage</t>
        </is>
      </c>
      <c r="K71" s="33" t="inlineStr">
        <is>
          <t>Improvement</t>
        </is>
      </c>
      <c r="L71" s="33" t="inlineStr">
        <is>
          <t>RCA Shared</t>
        </is>
      </c>
      <c r="M71" s="33" t="inlineStr">
        <is>
          <t>Legal/labor-litigation source coverage and entity-linking for supplier-adjacent lawsuits</t>
        </is>
      </c>
      <c r="N71" s="33" t="inlineStr">
        <is>
          <t>Yes</t>
        </is>
      </c>
      <c r="O71" s="33" t="inlineStr">
        <is>
          <t>Staged from Jira EAO-17 (Done). Micron reported a forced-labor lawsuit against Jacobs Engineering/CH2M Hill was not captured in EventWatch and requested RCA if it was in scope.</t>
        </is>
      </c>
      <c r="Q71" s="33" t="inlineStr">
        <is>
          <t>Yes</t>
        </is>
      </c>
      <c r="R71" s="39" t="n">
        <v>7</v>
      </c>
      <c r="T71" s="35" t="n">
        <v>46204</v>
      </c>
      <c r="U71" s="33" t="inlineStr">
        <is>
          <t>Medium</t>
        </is>
      </c>
      <c r="V71" s="33" t="inlineStr">
        <is>
          <t>Dynamic Source Discovery</t>
        </is>
      </c>
      <c r="W71" s="33" t="inlineStr">
        <is>
          <t>EAO-17</t>
        </is>
      </c>
    </row>
    <row r="72">
      <c r="A72" s="35" t="n">
        <v>46204</v>
      </c>
      <c r="B72" s="37" t="n">
        <v>46216</v>
      </c>
      <c r="C72" s="33" t="inlineStr">
        <is>
          <t>Supply Shortage</t>
        </is>
      </c>
      <c r="D72" s="33" t="inlineStr">
        <is>
          <t>Western Digital</t>
        </is>
      </c>
      <c r="E72" s="39" t="n">
        <v>1</v>
      </c>
      <c r="F72" s="33" t="inlineStr">
        <is>
          <t>Suspension Baseplate Supply Risk Monitoring Request (Fujita Plating/NHK/OSK)</t>
        </is>
      </c>
      <c r="G72" s="33" t="inlineStr">
        <is>
          <t>Inquiry</t>
        </is>
      </c>
      <c r="H72" s="33" t="inlineStr">
        <is>
          <t>Coverage Verification Request</t>
        </is>
      </c>
      <c r="I72" s="33" t="inlineStr">
        <is>
          <t>Process</t>
        </is>
      </c>
      <c r="J72" s="33" t="inlineStr">
        <is>
          <t>Process Clarification</t>
        </is>
      </c>
      <c r="K72" s="33" t="inlineStr">
        <is>
          <t>Improvement</t>
        </is>
      </c>
      <c r="L72" s="33" t="inlineStr">
        <is>
          <t>Clarification Provided</t>
        </is>
      </c>
      <c r="M72" s="33" t="inlineStr">
        <is>
          <t>Supplier decommitment/capacity-risk monitoring for sub-tier component makers</t>
        </is>
      </c>
      <c r="N72" s="33" t="inlineStr">
        <is>
          <t>No</t>
        </is>
      </c>
      <c r="O72" s="33" t="inlineStr">
        <is>
          <t>Staged from Jira EAO-18 (Done). Western Digital asked whether EventWatch has published or is monitoring a reported Suspension Baseplate supply risk tied to Fujita Plating/NHK/OSK decommitments; CS found no matching event in the backend.</t>
        </is>
      </c>
      <c r="Q72" s="33" t="inlineStr">
        <is>
          <t>No</t>
        </is>
      </c>
      <c r="R72" s="39" t="n">
        <v>7</v>
      </c>
      <c r="T72" s="35" t="n">
        <v>46204</v>
      </c>
      <c r="U72" s="33" t="inlineStr">
        <is>
          <t>Low</t>
        </is>
      </c>
      <c r="V72" s="33" t="inlineStr">
        <is>
          <t>Other Control Automation</t>
        </is>
      </c>
      <c r="W72" s="33" t="inlineStr">
        <is>
          <t>EAO-18</t>
        </is>
      </c>
    </row>
    <row r="73">
      <c r="A73" s="35" t="n">
        <v>46204</v>
      </c>
      <c r="B73" s="37" t="n">
        <v>46217</v>
      </c>
      <c r="C73" s="33" t="inlineStr">
        <is>
          <t>Other</t>
        </is>
      </c>
      <c r="D73" s="33" t="inlineStr">
        <is>
          <t>Ford</t>
        </is>
      </c>
      <c r="E73" s="39" t="n">
        <v>1</v>
      </c>
      <c r="F73" s="33" t="inlineStr">
        <is>
          <t>RFI – Power Grid Failure Monitoring Strategy</t>
        </is>
      </c>
      <c r="G73" s="33" t="inlineStr">
        <is>
          <t>Inquiry</t>
        </is>
      </c>
      <c r="H73" s="33" t="inlineStr">
        <is>
          <t>Monitoring Strategy RFI</t>
        </is>
      </c>
      <c r="I73" s="33" t="inlineStr">
        <is>
          <t>Process</t>
        </is>
      </c>
      <c r="J73" s="33" t="inlineStr">
        <is>
          <t>Process Clarification</t>
        </is>
      </c>
      <c r="K73" s="33" t="inlineStr">
        <is>
          <t>Improvement</t>
        </is>
      </c>
      <c r="L73" s="33" t="inlineStr">
        <is>
          <t>Clarification Provided</t>
        </is>
      </c>
      <c r="M73" s="33" t="inlineStr">
        <is>
          <t>Published monitoring-scope documentation for power-grid/infrastructure failure events</t>
        </is>
      </c>
      <c r="N73" s="33" t="inlineStr">
        <is>
          <t>No</t>
        </is>
      </c>
      <c r="O73" s="33" t="inlineStr">
        <is>
          <t>Staged from Jira EAO-19 (Done). Ford requested an explanation of Resilinc's monitoring strategy for power grid failure events after multiple incidents affected suppliers in the US and Europe.</t>
        </is>
      </c>
      <c r="Q73" s="33" t="inlineStr">
        <is>
          <t>No</t>
        </is>
      </c>
      <c r="R73" s="39" t="n">
        <v>7</v>
      </c>
      <c r="T73" s="35" t="n">
        <v>46204</v>
      </c>
      <c r="U73" s="33" t="inlineStr">
        <is>
          <t>Low</t>
        </is>
      </c>
      <c r="V73" s="33" t="inlineStr">
        <is>
          <t>Other Control Automation</t>
        </is>
      </c>
      <c r="W73" s="33" t="inlineStr">
        <is>
          <t>EAO-19</t>
        </is>
      </c>
    </row>
    <row r="74">
      <c r="A74" s="35" t="n">
        <v>46204</v>
      </c>
      <c r="B74" s="37" t="n">
        <v>46220</v>
      </c>
      <c r="C74" s="33" t="inlineStr">
        <is>
          <t>Bankruptcy</t>
        </is>
      </c>
      <c r="D74" s="33" t="inlineStr">
        <is>
          <t>Honeywell</t>
        </is>
      </c>
      <c r="E74" s="39" t="n">
        <v>1</v>
      </c>
      <c r="F74" s="33" t="inlineStr">
        <is>
          <t>ASSMANN WSW Components GmbH Bankruptcy Filing – Missed Coverage (Honeywell Tier 1 Supplier)</t>
        </is>
      </c>
      <c r="G74" s="33" t="inlineStr">
        <is>
          <t>Complaint</t>
        </is>
      </c>
      <c r="H74" s="33" t="inlineStr">
        <is>
          <t>Missed insolvency alert</t>
        </is>
      </c>
      <c r="I74" s="33" t="inlineStr">
        <is>
          <t>Product</t>
        </is>
      </c>
      <c r="J74" s="33" t="inlineStr">
        <is>
          <t>Source Coverage</t>
        </is>
      </c>
      <c r="K74" s="33" t="inlineStr">
        <is>
          <t>Improvement</t>
        </is>
      </c>
      <c r="L74" s="33" t="inlineStr">
        <is>
          <t>Fixed</t>
        </is>
      </c>
      <c r="M74" s="33" t="inlineStr">
        <is>
          <t>Tier-1 supplier bankruptcy/insolvency filing source coverage expansion (EU registries)</t>
        </is>
      </c>
      <c r="N74" s="33" t="inlineStr">
        <is>
          <t>Yes</t>
        </is>
      </c>
      <c r="O74" s="33" t="inlineStr">
        <is>
          <t>Staged from Jira EAO-20 (Done). Honeywell reported ASSMANN WSW Components GmbH's July 6 insolvency filing (a mapped Tier-1 supplier) was never published as an EventWatch bulletin or WarRoom; RCA requested.</t>
        </is>
      </c>
      <c r="Q74" s="33" t="inlineStr">
        <is>
          <t>Yes</t>
        </is>
      </c>
      <c r="R74" s="39" t="n">
        <v>7</v>
      </c>
      <c r="T74" s="35" t="n">
        <v>46204</v>
      </c>
      <c r="U74" s="33" t="inlineStr">
        <is>
          <t>Medium</t>
        </is>
      </c>
      <c r="V74" s="33" t="inlineStr">
        <is>
          <t>Dynamic Source Discovery</t>
        </is>
      </c>
      <c r="W74" s="33" t="inlineStr">
        <is>
          <t>EAO-20</t>
        </is>
      </c>
    </row>
    <row r="75">
      <c r="A75" s="35" t="n">
        <v>46204</v>
      </c>
      <c r="B75" s="37" t="n">
        <v>46220</v>
      </c>
      <c r="C75" s="33" t="inlineStr">
        <is>
          <t>Wildfire</t>
        </is>
      </c>
      <c r="D75" s="33" t="inlineStr">
        <is>
          <t>Ford</t>
        </is>
      </c>
      <c r="E75" s="39" t="n">
        <v>1</v>
      </c>
      <c r="F75" s="33" t="inlineStr">
        <is>
          <t>Severe Air Quality Degradation – Canadian Wildfires Missed Alert (Midwest/Northeast US)</t>
        </is>
      </c>
      <c r="G75" s="33" t="inlineStr">
        <is>
          <t>Complaint</t>
        </is>
      </c>
      <c r="H75" s="33" t="inlineStr">
        <is>
          <t>Missed Event</t>
        </is>
      </c>
      <c r="I75" s="33" t="inlineStr">
        <is>
          <t>People</t>
        </is>
      </c>
      <c r="J75" s="33" t="inlineStr">
        <is>
          <t>Event Identification</t>
        </is>
      </c>
      <c r="K75" s="33" t="inlineStr">
        <is>
          <t>Improvement</t>
        </is>
      </c>
      <c r="L75" s="33" t="inlineStr">
        <is>
          <t>RCA Shared</t>
        </is>
      </c>
      <c r="M75" s="33" t="inlineStr">
        <is>
          <t>Escalation automation for environmental-hazard advisories</t>
        </is>
      </c>
      <c r="N75" s="33" t="inlineStr">
        <is>
          <t>Yes</t>
        </is>
      </c>
      <c r="O75" s="33" t="inlineStr">
        <is>
          <t>Staged from Jira EAO-21 (Done). Ford reported no EventWatch alert/WarRoom was generated for July 15-17 wildfire smoke air-quality degradation across the US Midwest/Northeast; CS confirmed no matching notification was found.</t>
        </is>
      </c>
      <c r="Q75" s="33" t="inlineStr">
        <is>
          <t>Yes</t>
        </is>
      </c>
      <c r="R75" s="39" t="n">
        <v>7</v>
      </c>
      <c r="T75" s="35" t="n">
        <v>46204</v>
      </c>
      <c r="U75" s="33" t="inlineStr">
        <is>
          <t>Medium</t>
        </is>
      </c>
      <c r="V75" s="33" t="inlineStr">
        <is>
          <t>WarRoom &amp; Decision Validation</t>
        </is>
      </c>
      <c r="W75" s="33" t="inlineStr">
        <is>
          <t>EAO-21</t>
        </is>
      </c>
    </row>
    <row r="76">
      <c r="A76" s="35" t="n">
        <v>46204</v>
      </c>
      <c r="B76" s="37" t="n">
        <v>46230</v>
      </c>
      <c r="C76" s="33" t="inlineStr">
        <is>
          <t>Cyber Attack</t>
        </is>
      </c>
      <c r="D76" s="33" t="inlineStr">
        <is>
          <t>Eaton</t>
        </is>
      </c>
      <c r="E76" s="39" t="n">
        <v>1</v>
      </c>
      <c r="F76" s="33" t="inlineStr">
        <is>
          <t>Romania ANCPI Cyberattack – Missed EventWatch Notification</t>
        </is>
      </c>
      <c r="G76" s="33" t="inlineStr">
        <is>
          <t>Complaint</t>
        </is>
      </c>
      <c r="H76" s="33" t="inlineStr">
        <is>
          <t>Missed Event</t>
        </is>
      </c>
      <c r="I76" s="33" t="inlineStr">
        <is>
          <t>Product</t>
        </is>
      </c>
      <c r="J76" s="33" t="inlineStr">
        <is>
          <t>Source Coverage</t>
        </is>
      </c>
      <c r="K76" s="33" t="inlineStr">
        <is>
          <t>Improvement</t>
        </is>
      </c>
      <c r="L76" s="33" t="inlineStr">
        <is>
          <t>RCA Shared</t>
        </is>
      </c>
      <c r="M76" s="33" t="inlineStr">
        <is>
          <t>Government/public-sector cyberattack source coverage expansion (regional-language sources)</t>
        </is>
      </c>
      <c r="N76" s="33" t="inlineStr">
        <is>
          <t>Yes</t>
        </is>
      </c>
      <c r="O76" s="33" t="inlineStr">
        <is>
          <t>Staged from Jira EAO-22 (Done). Eaton reported the July 14-16 ANCPI (Romania land registry) cyberattack had no corresponding WarRoom or news on the portal; RCA requested if it was in scope.</t>
        </is>
      </c>
      <c r="Q76" s="33" t="inlineStr">
        <is>
          <t>Yes</t>
        </is>
      </c>
      <c r="R76" s="39" t="n">
        <v>7</v>
      </c>
      <c r="T76" s="35" t="n">
        <v>46204</v>
      </c>
      <c r="U76" s="33" t="inlineStr">
        <is>
          <t>Medium</t>
        </is>
      </c>
      <c r="V76" s="33" t="inlineStr">
        <is>
          <t>Dynamic Source Discovery</t>
        </is>
      </c>
      <c r="W76" s="33" t="inlineStr">
        <is>
          <t>EAO-22</t>
        </is>
      </c>
    </row>
    <row r="77">
      <c r="A77" s="35" t="n">
        <v>46235</v>
      </c>
      <c r="B77" s="37" t="n">
        <v>46237</v>
      </c>
      <c r="C77" s="33" t="inlineStr">
        <is>
          <t>Factory Fire</t>
        </is>
      </c>
      <c r="D77" s="33" t="inlineStr">
        <is>
          <t>Ford</t>
        </is>
      </c>
      <c r="E77" s="39" t="n">
        <v>1</v>
      </c>
      <c r="F77" s="33" t="inlineStr">
        <is>
          <t>TOHOKU Chemical Japan Fire – Sub-tier Cashew Dust Supplier</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Dynamic Source Discovery</t>
        </is>
      </c>
      <c r="N77" s="33" t="inlineStr">
        <is>
          <t>Yes</t>
        </is>
      </c>
      <c r="O77" s="33" t="inlineStr">
        <is>
          <t>EAO-24: No proactive alert was generated for the July 21 fire. Customer requested RCA, ICA, and PCA for the missed coverage. RCA shared.</t>
        </is>
      </c>
      <c r="P77" s="33" t="n"/>
      <c r="Q77" s="33" t="inlineStr">
        <is>
          <t>Yes</t>
        </is>
      </c>
      <c r="R77" s="39" t="n">
        <v>8</v>
      </c>
      <c r="S77" s="39" t="n"/>
      <c r="T77" s="35" t="n">
        <v>46235</v>
      </c>
      <c r="U77" s="33" t="inlineStr">
        <is>
          <t>Medium</t>
        </is>
      </c>
      <c r="V77" s="33" t="inlineStr">
        <is>
          <t>Dynamic Source Discovery</t>
        </is>
      </c>
      <c r="W77" s="33" t="inlineStr">
        <is>
          <t>EAO-24</t>
        </is>
      </c>
    </row>
    <row r="78">
      <c r="A78" s="35" t="n">
        <v>46235</v>
      </c>
      <c r="B78" s="37" t="n">
        <v>46237</v>
      </c>
      <c r="C78" s="33" t="inlineStr">
        <is>
          <t>Factory Fire</t>
        </is>
      </c>
      <c r="D78" s="33" t="inlineStr">
        <is>
          <t>GM</t>
        </is>
      </c>
      <c r="E78" s="39" t="n">
        <v>1</v>
      </c>
      <c r="F78" s="33" t="inlineStr">
        <is>
          <t>Fire at UTAS-Nova Automotive Lighting Systems, Danyang, Jiangsu, China</t>
        </is>
      </c>
      <c r="G78" s="33" t="inlineStr">
        <is>
          <t>Complaint</t>
        </is>
      </c>
      <c r="H78" s="33" t="inlineStr">
        <is>
          <t>Missed Event</t>
        </is>
      </c>
      <c r="I78" s="33" t="inlineStr">
        <is>
          <t>Product</t>
        </is>
      </c>
      <c r="J78" s="33" t="inlineStr">
        <is>
          <t>Source Coverage</t>
        </is>
      </c>
      <c r="K78" s="33" t="inlineStr">
        <is>
          <t>Improvement</t>
        </is>
      </c>
      <c r="L78" s="33" t="inlineStr">
        <is>
          <t>Pending</t>
        </is>
      </c>
      <c r="M78" s="33" t="inlineStr">
        <is>
          <t>Chinese regional source coverage for sub-tier automotive lighting suppliers</t>
        </is>
      </c>
      <c r="N78" s="33" t="inlineStr">
        <is>
          <t>Yes</t>
        </is>
      </c>
      <c r="O78"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78" s="33" t="inlineStr">
        <is>
          <t>Yes</t>
        </is>
      </c>
      <c r="R78" s="39" t="n">
        <v>8</v>
      </c>
      <c r="T78" s="35" t="n">
        <v>46235</v>
      </c>
      <c r="U78" s="33" t="inlineStr">
        <is>
          <t>Medium</t>
        </is>
      </c>
      <c r="V78" s="33" t="inlineStr">
        <is>
          <t>Dynamic Source Discovery</t>
        </is>
      </c>
      <c r="W78" s="33" t="inlineStr">
        <is>
          <t>EAO-25</t>
        </is>
      </c>
    </row>
    <row r="79">
      <c r="A79" s="35" t="n">
        <v>46235</v>
      </c>
      <c r="B79" s="37" t="n">
        <v>46237</v>
      </c>
      <c r="C79" s="33" t="inlineStr">
        <is>
          <t>Tornado</t>
        </is>
      </c>
      <c r="D79" s="33" t="inlineStr">
        <is>
          <t>GM</t>
        </is>
      </c>
      <c r="E79" s="39" t="n">
        <v>1</v>
      </c>
      <c r="F79" s="33" t="inlineStr">
        <is>
          <t>Chicago Heights, Illinois Tornado – Trialco Impact Not Identified</t>
        </is>
      </c>
      <c r="G79" s="33" t="inlineStr">
        <is>
          <t>Complaint</t>
        </is>
      </c>
      <c r="H79" s="33" t="inlineStr">
        <is>
          <t>Missed Event</t>
        </is>
      </c>
      <c r="I79" s="33" t="inlineStr">
        <is>
          <t>People</t>
        </is>
      </c>
      <c r="J79" s="33" t="inlineStr">
        <is>
          <t>Event Identification</t>
        </is>
      </c>
      <c r="K79" s="33" t="inlineStr">
        <is>
          <t>Improvement</t>
        </is>
      </c>
      <c r="L79" s="33" t="inlineStr">
        <is>
          <t>Pending</t>
        </is>
      </c>
      <c r="M79" s="33" t="inlineStr">
        <is>
          <t>Escalation automation for localized-impact tornado/storm sub-events and named-facility (Trialco) impact confirmation</t>
        </is>
      </c>
      <c r="N79" s="33" t="inlineStr">
        <is>
          <t>Yes</t>
        </is>
      </c>
      <c r="O79"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79" s="33" t="inlineStr">
        <is>
          <t>Yes</t>
        </is>
      </c>
      <c r="R79" s="39" t="n">
        <v>8</v>
      </c>
      <c r="T79" s="35" t="n">
        <v>46235</v>
      </c>
      <c r="U79" s="33" t="inlineStr">
        <is>
          <t>Medium</t>
        </is>
      </c>
      <c r="V79" s="33" t="inlineStr">
        <is>
          <t>WarRoom &amp; Decision Validation</t>
        </is>
      </c>
      <c r="W79" s="33" t="inlineStr">
        <is>
          <t>EAO-25</t>
        </is>
      </c>
    </row>
    <row r="80">
      <c r="A80" s="35" t="n">
        <v>46235</v>
      </c>
      <c r="B80" s="37" t="n">
        <v>46245</v>
      </c>
      <c r="C80" s="33" t="inlineStr">
        <is>
          <t>Regulatory Change</t>
        </is>
      </c>
      <c r="D80" s="33" t="inlineStr">
        <is>
          <t>Ford</t>
        </is>
      </c>
      <c r="E80" s="39" t="n">
        <v>1</v>
      </c>
      <c r="F80" s="33" t="inlineStr">
        <is>
          <t>China MOFCOM Announcement No. 30 of 2026 (Export Control Watchlist)</t>
        </is>
      </c>
      <c r="G80" s="33" t="inlineStr">
        <is>
          <t>Complaint</t>
        </is>
      </c>
      <c r="H80" s="33" t="inlineStr">
        <is>
          <t>Missed Event</t>
        </is>
      </c>
      <c r="I80" s="33" t="inlineStr">
        <is>
          <t>People</t>
        </is>
      </c>
      <c r="J80" s="33" t="inlineStr">
        <is>
          <t>Review</t>
        </is>
      </c>
      <c r="K80" s="33" t="inlineStr">
        <is>
          <t>Improvement</t>
        </is>
      </c>
      <c r="L80" s="33" t="inlineStr">
        <is>
          <t>RCA Shared</t>
        </is>
      </c>
      <c r="M80" s="33" t="inlineStr">
        <is>
          <t>Not Impactful Decision Validation</t>
        </is>
      </c>
      <c r="N80" s="33" t="inlineStr">
        <is>
          <t>Yes</t>
        </is>
      </c>
      <c r="O80" s="33" t="inlineStr">
        <is>
          <t>EAO-23: News was captured but initially classified as Not Impactful by AI. Human-in-the-loop review did not escalate the event. RCA shared based on the investigation trail.</t>
        </is>
      </c>
      <c r="P80" s="33" t="n"/>
      <c r="Q80" s="33" t="inlineStr">
        <is>
          <t>Yes</t>
        </is>
      </c>
      <c r="R80" s="39" t="n">
        <v>8</v>
      </c>
      <c r="S80" s="39" t="n"/>
      <c r="T80" s="35" t="n">
        <v>46235</v>
      </c>
      <c r="U80" s="33" t="inlineStr">
        <is>
          <t>Medium</t>
        </is>
      </c>
      <c r="V80" s="33" t="inlineStr">
        <is>
          <t>WarRoom &amp; Decision Validation</t>
        </is>
      </c>
      <c r="W80" s="33" t="inlineStr">
        <is>
          <t>EAO-23</t>
        </is>
      </c>
    </row>
    <row r="81">
      <c r="A81" s="35" t="n">
        <v>46235</v>
      </c>
      <c r="B81" s="37" t="n">
        <v>46251</v>
      </c>
      <c r="C81" s="33" t="inlineStr">
        <is>
          <t>Geopolitical</t>
        </is>
      </c>
      <c r="D81" s="33" t="inlineStr">
        <is>
          <t>Ford</t>
        </is>
      </c>
      <c r="E81" s="39" t="n">
        <v>1</v>
      </c>
      <c r="F81" s="33" t="inlineStr">
        <is>
          <t>Ceuta Border Security &amp; Humanitarian Crisis</t>
        </is>
      </c>
      <c r="G81" s="33" t="inlineStr">
        <is>
          <t>Complaint</t>
        </is>
      </c>
      <c r="H81" s="33" t="inlineStr">
        <is>
          <t>Missed Event</t>
        </is>
      </c>
      <c r="I81" s="33" t="inlineStr">
        <is>
          <t>People</t>
        </is>
      </c>
      <c r="J81" s="33" t="inlineStr">
        <is>
          <t>Review</t>
        </is>
      </c>
      <c r="K81" s="33" t="inlineStr">
        <is>
          <t>Improvement</t>
        </is>
      </c>
      <c r="L81" s="33" t="inlineStr">
        <is>
          <t>RCA Shared</t>
        </is>
      </c>
      <c r="M81" s="33" t="inlineStr">
        <is>
          <t>WarRoom Trigger Automation</t>
        </is>
      </c>
      <c r="N81" s="33" t="inlineStr">
        <is>
          <t>Yes</t>
        </is>
      </c>
      <c r="O81" s="33" t="inlineStr">
        <is>
          <t>EAO-27: Customer reported a missed EventWatch alert and requested an update. RCA shared following review of the event.</t>
        </is>
      </c>
      <c r="P81" s="33" t="n"/>
      <c r="Q81" s="33" t="inlineStr">
        <is>
          <t>Yes</t>
        </is>
      </c>
      <c r="R81" s="39" t="n">
        <v>8</v>
      </c>
      <c r="S81" s="39" t="n"/>
      <c r="T81" s="35" t="n">
        <v>46235</v>
      </c>
      <c r="U81" s="33" t="inlineStr">
        <is>
          <t>Medium</t>
        </is>
      </c>
      <c r="V81" s="33" t="inlineStr">
        <is>
          <t>WarRoom &amp; Decision Validation</t>
        </is>
      </c>
      <c r="W81" s="33" t="inlineStr">
        <is>
          <t>EAO-27</t>
        </is>
      </c>
    </row>
    <row r="82">
      <c r="A82" s="35" t="n">
        <v>46235</v>
      </c>
      <c r="B82" s="37" t="n">
        <v>46251</v>
      </c>
      <c r="C82" s="33" t="inlineStr">
        <is>
          <t>Transport Disruption</t>
        </is>
      </c>
      <c r="D82" s="33" t="inlineStr">
        <is>
          <t>Eaton</t>
        </is>
      </c>
      <c r="E82" s="39" t="n">
        <v>1</v>
      </c>
      <c r="F82" s="33" t="inlineStr">
        <is>
          <t>Kandla Port Cargo Congestion – Supplier Impact Notification Clarification (Eaton)</t>
        </is>
      </c>
      <c r="G82" s="33" t="inlineStr">
        <is>
          <t>Inquiry</t>
        </is>
      </c>
      <c r="H82" s="33" t="inlineStr">
        <is>
          <t>Supplier Impact Mapping Clarification</t>
        </is>
      </c>
      <c r="I82" s="33" t="inlineStr">
        <is>
          <t>Process</t>
        </is>
      </c>
      <c r="J82" s="33" t="inlineStr">
        <is>
          <t>Mapping</t>
        </is>
      </c>
      <c r="K82" s="33" t="inlineStr">
        <is>
          <t>Improvement</t>
        </is>
      </c>
      <c r="L82" s="33" t="inlineStr">
        <is>
          <t>Clarification Provided</t>
        </is>
      </c>
      <c r="M82" s="33" t="inlineStr">
        <is>
          <t>Impact-confirmation notification criteria documentation for port/logistics bulletins</t>
        </is>
      </c>
      <c r="N82" s="33" t="inlineStr">
        <is>
          <t>No</t>
        </is>
      </c>
      <c r="O82" s="33" t="inlineStr">
        <is>
          <t>Staged from Jira EAO-28 (Done). Eaton asked what criteria triggered impact-confirmation notifications to Eaton suppliers on the Kandla Port cargo congestion bulletin, since the bulletin text focused on rice exports.</t>
        </is>
      </c>
      <c r="Q82" s="33" t="inlineStr">
        <is>
          <t>No</t>
        </is>
      </c>
      <c r="R82" s="39" t="n">
        <v>8</v>
      </c>
      <c r="T82" s="35" t="n">
        <v>46235</v>
      </c>
      <c r="U82" s="33" t="inlineStr">
        <is>
          <t>Low</t>
        </is>
      </c>
      <c r="V82" s="33" t="inlineStr">
        <is>
          <t>Entity &amp; Supplier Resolution</t>
        </is>
      </c>
      <c r="W82" s="33" t="inlineStr">
        <is>
          <t>EAO-28</t>
        </is>
      </c>
    </row>
    <row r="83">
      <c r="A83" s="35" t="n">
        <v>46235</v>
      </c>
      <c r="B83" s="37" t="n">
        <v>46252</v>
      </c>
      <c r="C83" s="33" t="inlineStr">
        <is>
          <t>Factory Fire</t>
        </is>
      </c>
      <c r="D83" s="33" t="inlineStr">
        <is>
          <t>Ford</t>
        </is>
      </c>
      <c r="E83" s="39" t="n">
        <v>1</v>
      </c>
      <c r="F83" s="33" t="inlineStr">
        <is>
          <t>Sasol Polyethylene Plant Fire / Shutdown</t>
        </is>
      </c>
      <c r="G83" s="33" t="inlineStr">
        <is>
          <t>Complaint</t>
        </is>
      </c>
      <c r="H83" s="33" t="inlineStr">
        <is>
          <t>Missed Event</t>
        </is>
      </c>
      <c r="I83" s="33" t="inlineStr">
        <is>
          <t>Product</t>
        </is>
      </c>
      <c r="J83" s="33" t="inlineStr">
        <is>
          <t>Source Coverage</t>
        </is>
      </c>
      <c r="K83" s="33" t="inlineStr">
        <is>
          <t>Improvement</t>
        </is>
      </c>
      <c r="L83" s="33" t="inlineStr">
        <is>
          <t>RCA Shared</t>
        </is>
      </c>
      <c r="M83" s="33" t="inlineStr">
        <is>
          <t>Dynamic Source Discovery</t>
        </is>
      </c>
      <c r="N83" s="33" t="inlineStr">
        <is>
          <t>Yes</t>
        </is>
      </c>
      <c r="O83" s="33" t="inlineStr">
        <is>
          <t>EAO-26: Customer reported a missed EventWatch alert for the Sasol polyethylene plant fire and shutdown. Investigation and RCA were requested; RCA shared.</t>
        </is>
      </c>
      <c r="P83" s="33" t="n"/>
      <c r="Q83" s="33" t="inlineStr">
        <is>
          <t>Yes</t>
        </is>
      </c>
      <c r="R83" s="39" t="n">
        <v>8</v>
      </c>
      <c r="S83" s="39" t="n"/>
      <c r="T83" s="35" t="n">
        <v>46235</v>
      </c>
      <c r="U83" s="33" t="inlineStr">
        <is>
          <t>Medium</t>
        </is>
      </c>
      <c r="V83" s="33" t="inlineStr">
        <is>
          <t>Dynamic Source Discovery</t>
        </is>
      </c>
      <c r="W83" s="33" t="inlineStr">
        <is>
          <t>EAO-26</t>
        </is>
      </c>
    </row>
    <row r="84">
      <c r="A84" s="35" t="n">
        <v>46235</v>
      </c>
      <c r="B84" s="37" t="n">
        <v>46254</v>
      </c>
      <c r="C84" s="33" t="inlineStr">
        <is>
          <t>Hurricane/Typhoon</t>
        </is>
      </c>
      <c r="D84" s="33" t="inlineStr">
        <is>
          <t>Ford</t>
        </is>
      </c>
      <c r="E84" s="39" t="n">
        <v>1</v>
      </c>
      <c r="F84" s="33" t="inlineStr">
        <is>
          <t>Typhoon Dolphin Bulletins Distributed Across Two WarRooms</t>
        </is>
      </c>
      <c r="G84" s="33" t="inlineStr">
        <is>
          <t>Complaint</t>
        </is>
      </c>
      <c r="H84" s="33" t="inlineStr">
        <is>
          <t>Duplicate WarRooms</t>
        </is>
      </c>
      <c r="I84" s="33" t="inlineStr">
        <is>
          <t>Product</t>
        </is>
      </c>
      <c r="J84" s="33" t="inlineStr">
        <is>
          <t>Duplication</t>
        </is>
      </c>
      <c r="K84" s="33" t="inlineStr">
        <is>
          <t>Improvement</t>
        </is>
      </c>
      <c r="L84" s="33" t="inlineStr">
        <is>
          <t>RCA Shared</t>
        </is>
      </c>
      <c r="M84" s="33" t="inlineStr">
        <is>
          <t>Cluster Integrity Validation</t>
        </is>
      </c>
      <c r="N84" s="33" t="inlineStr">
        <is>
          <t>Yes</t>
        </is>
      </c>
      <c r="O84" s="33" t="inlineStr">
        <is>
          <t>EAO-29: Bulletins were distributed across two WarRooms, resulting in gaps in the update sequence. Customer requested RCA; RCA shared.</t>
        </is>
      </c>
      <c r="P84" s="33" t="n"/>
      <c r="Q84" s="33" t="inlineStr">
        <is>
          <t>No</t>
        </is>
      </c>
      <c r="R84" s="39" t="n">
        <v>8</v>
      </c>
      <c r="S84" s="39" t="n"/>
      <c r="T84" s="35" t="n">
        <v>46235</v>
      </c>
      <c r="U84" s="33" t="inlineStr">
        <is>
          <t>Low</t>
        </is>
      </c>
      <c r="V84" s="33" t="inlineStr">
        <is>
          <t>Cluster Integrity &amp; Duplicate Prevention</t>
        </is>
      </c>
      <c r="W84" s="33" t="inlineStr">
        <is>
          <t>EAO-29</t>
        </is>
      </c>
    </row>
    <row r="85">
      <c r="A85" s="35" t="n">
        <v>46235</v>
      </c>
      <c r="B85" s="37" t="n">
        <v>46255</v>
      </c>
      <c r="C85" s="33" t="inlineStr">
        <is>
          <t>Transport Disruption</t>
        </is>
      </c>
      <c r="D85" s="33" t="inlineStr">
        <is>
          <t>Ford/GM</t>
        </is>
      </c>
      <c r="E85" s="39" t="n">
        <v>2</v>
      </c>
      <c r="F85" s="33" t="inlineStr">
        <is>
          <t>World Trade Bridge Closed in Laredo, Texas</t>
        </is>
      </c>
      <c r="G85" s="33" t="inlineStr">
        <is>
          <t>Complaint</t>
        </is>
      </c>
      <c r="H85" s="33" t="inlineStr">
        <is>
          <t>Missed Event</t>
        </is>
      </c>
      <c r="I85" s="33" t="inlineStr">
        <is>
          <t>Product</t>
        </is>
      </c>
      <c r="J85" s="33" t="inlineStr">
        <is>
          <t>Keyword Update</t>
        </is>
      </c>
      <c r="K85" s="33" t="inlineStr">
        <is>
          <t>Improvement</t>
        </is>
      </c>
      <c r="L85" s="33" t="inlineStr">
        <is>
          <t>Fixed</t>
        </is>
      </c>
      <c r="M85" s="33" t="inlineStr">
        <is>
          <t>Dynamic Source Discovery</t>
        </is>
      </c>
      <c r="N85" s="33" t="inlineStr">
        <is>
          <t>Yes</t>
        </is>
      </c>
      <c r="O85" s="33" t="inlineStr">
        <is>
          <t>EAO-25: Event was missed due to a keyword gap. Keyword was added and the article is now being captured.</t>
        </is>
      </c>
      <c r="P85" s="33" t="n"/>
      <c r="Q85" s="33" t="inlineStr">
        <is>
          <t>Yes</t>
        </is>
      </c>
      <c r="R85" s="39" t="n">
        <v>8</v>
      </c>
      <c r="S85" s="39" t="n"/>
      <c r="T85" s="35" t="n">
        <v>46235</v>
      </c>
      <c r="U85" s="33" t="inlineStr">
        <is>
          <t>Medium</t>
        </is>
      </c>
      <c r="V85" s="33" t="inlineStr">
        <is>
          <t>Dynamic Source Discovery</t>
        </is>
      </c>
      <c r="W85" s="33" t="inlineStr">
        <is>
          <t>EAO-25</t>
        </is>
      </c>
    </row>
    <row r="86">
      <c r="A86" s="35" t="n">
        <v>46235</v>
      </c>
      <c r="B86" s="37" t="n">
        <v>46255</v>
      </c>
      <c r="C86" s="33" t="inlineStr">
        <is>
          <t>Factory Fire</t>
        </is>
      </c>
      <c r="D86" s="33" t="inlineStr">
        <is>
          <t>Ford/GM</t>
        </is>
      </c>
      <c r="E86" s="39" t="n">
        <v>2</v>
      </c>
      <c r="F86" s="33" t="inlineStr">
        <is>
          <t>Fire at FXI de Cuautitlán, S.A. de C.V.</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Dynamic Source Discovery</t>
        </is>
      </c>
      <c r="N86" s="33" t="inlineStr">
        <is>
          <t>Yes</t>
        </is>
      </c>
      <c r="O86" s="33" t="inlineStr">
        <is>
          <t>EAO-25: Event was not captured by the vendor due to a source coverage gap. Vendor was asked to add the sources to its network. RCA shared based on the investigation trail.</t>
        </is>
      </c>
      <c r="P86" s="33" t="n"/>
      <c r="Q86" s="33" t="inlineStr">
        <is>
          <t>Yes</t>
        </is>
      </c>
      <c r="R86" s="39" t="n">
        <v>8</v>
      </c>
      <c r="S86" s="39" t="n"/>
      <c r="T86" s="35" t="n">
        <v>46235</v>
      </c>
      <c r="U86" s="33" t="inlineStr">
        <is>
          <t>Medium</t>
        </is>
      </c>
      <c r="V86" s="33" t="inlineStr">
        <is>
          <t>Dynamic Source Discovery</t>
        </is>
      </c>
      <c r="W86" s="33" t="inlineStr">
        <is>
          <t>EAO-25</t>
        </is>
      </c>
    </row>
    <row r="87">
      <c r="A87" s="35" t="n">
        <v>46235</v>
      </c>
      <c r="B87" s="37" t="n">
        <v>46258</v>
      </c>
      <c r="C87" s="33" t="inlineStr">
        <is>
          <t>Factory Fire</t>
        </is>
      </c>
      <c r="D87" s="33" t="inlineStr">
        <is>
          <t>Ford/GM</t>
        </is>
      </c>
      <c r="E87" s="39" t="n">
        <v>2</v>
      </c>
      <c r="F87" s="33" t="inlineStr">
        <is>
          <t>Fire at Nemak Factory in Monterrey, Mexico</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EAO-25: News processing captured the article and attached it to an updated factory-fire cluster. The event was later marked Not Impactful by the analyst.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EAO-25</t>
        </is>
      </c>
    </row>
    <row r="88">
      <c r="A88" s="35" t="n">
        <v>46235</v>
      </c>
      <c r="B88" s="37" t="n">
        <v>46258</v>
      </c>
      <c r="C88" s="33" t="inlineStr">
        <is>
          <t>Cyber Attack</t>
        </is>
      </c>
      <c r="D88" s="33" t="inlineStr">
        <is>
          <t>The American National Red Cross</t>
        </is>
      </c>
      <c r="E88" s="39" t="n">
        <v>1</v>
      </c>
      <c r="F88" s="33" t="inlineStr">
        <is>
          <t>Uber Freight Investigates Reported Cyberattack After Hackers Claim Data Breach</t>
        </is>
      </c>
      <c r="G88" s="33" t="inlineStr">
        <is>
          <t>Complaint</t>
        </is>
      </c>
      <c r="H88" s="33" t="inlineStr">
        <is>
          <t>WarRoom not visible in customer profile</t>
        </is>
      </c>
      <c r="I88" s="33" t="inlineStr">
        <is>
          <t>Process</t>
        </is>
      </c>
      <c r="J88" s="33" t="inlineStr">
        <is>
          <t>Visibility</t>
        </is>
      </c>
      <c r="K88" s="33" t="inlineStr">
        <is>
          <t>Improvement</t>
        </is>
      </c>
      <c r="L88" s="33" t="inlineStr">
        <is>
          <t>RCA Shared</t>
        </is>
      </c>
      <c r="M88" s="33" t="inlineStr">
        <is>
          <t>Notification Visibility Monitoring</t>
        </is>
      </c>
      <c r="N88" s="33" t="inlineStr">
        <is>
          <t>No</t>
        </is>
      </c>
      <c r="O88" s="33" t="inlineStr">
        <is>
          <t>EAO-30: EventWatch news was published on August 13 but was not visible on the customer portal. Portal visibility investigation completed and clarification provided.</t>
        </is>
      </c>
      <c r="P88" s="33" t="n"/>
      <c r="Q88" s="33" t="inlineStr">
        <is>
          <t>Yes</t>
        </is>
      </c>
      <c r="R88" s="39" t="n">
        <v>8</v>
      </c>
      <c r="S88" s="39" t="n"/>
      <c r="T88" s="35" t="n">
        <v>46235</v>
      </c>
      <c r="U88" s="33" t="inlineStr">
        <is>
          <t>Medium</t>
        </is>
      </c>
      <c r="V88" s="33" t="inlineStr">
        <is>
          <t>Notification Visibility Monitoring</t>
        </is>
      </c>
    </row>
    <row r="89">
      <c r="A89" s="35" t="n">
        <v>46235</v>
      </c>
      <c r="B89" s="37" t="n">
        <v>46265</v>
      </c>
      <c r="C89" s="33" t="inlineStr">
        <is>
          <t>Cyber Attack</t>
        </is>
      </c>
      <c r="D89" s="33" t="inlineStr">
        <is>
          <t>Schneider Electric</t>
        </is>
      </c>
      <c r="E89" s="39" t="n">
        <v>1</v>
      </c>
      <c r="F89" s="33" t="inlineStr">
        <is>
          <t>Gindre India Data Breach – EventWatch Alert/WarRoom Missing</t>
        </is>
      </c>
      <c r="G89" s="33" t="inlineStr">
        <is>
          <t>Complaint</t>
        </is>
      </c>
      <c r="H89" s="33" t="inlineStr">
        <is>
          <t>Missed Event</t>
        </is>
      </c>
      <c r="I89" s="33" t="inlineStr">
        <is>
          <t>Product</t>
        </is>
      </c>
      <c r="J89" s="33" t="inlineStr">
        <is>
          <t>Source Coverage</t>
        </is>
      </c>
      <c r="K89" s="33" t="inlineStr">
        <is>
          <t>Improvement</t>
        </is>
      </c>
      <c r="L89" s="33" t="inlineStr">
        <is>
          <t>RCA Shared</t>
        </is>
      </c>
      <c r="M89" s="33" t="inlineStr">
        <is>
          <t>Dynamic Source Discovery</t>
        </is>
      </c>
      <c r="N89" s="33" t="inlineStr">
        <is>
          <t>Yes</t>
        </is>
      </c>
      <c r="O89" s="33" t="inlineStr">
        <is>
          <t>EAO-31: No corresponding EventWatch event or WarRoom was found for the reported data breach. Source coverage review completed and RCA shared.</t>
        </is>
      </c>
      <c r="P89" s="33" t="n"/>
      <c r="Q89" s="33" t="inlineStr">
        <is>
          <t>Yes</t>
        </is>
      </c>
      <c r="R89" s="39" t="n">
        <v>8</v>
      </c>
      <c r="S89" s="39" t="n"/>
      <c r="T89" s="35" t="n">
        <v>46235</v>
      </c>
      <c r="U89" s="33" t="inlineStr">
        <is>
          <t>Medium</t>
        </is>
      </c>
      <c r="V89" s="33" t="inlineStr">
        <is>
          <t>Dynamic Source Discovery</t>
        </is>
      </c>
      <c r="W89" s="33" t="inlineStr">
        <is>
          <t>EAO-31</t>
        </is>
      </c>
    </row>
    <row r="90">
      <c r="A90" s="35" t="n">
        <v>46235</v>
      </c>
      <c r="B90" s="37" t="n">
        <v>46265</v>
      </c>
      <c r="C90" s="33" t="inlineStr">
        <is>
          <t>Cyber Attack</t>
        </is>
      </c>
      <c r="D90" s="33" t="inlineStr">
        <is>
          <t>Merck</t>
        </is>
      </c>
      <c r="E90" s="39" t="n">
        <v>1</v>
      </c>
      <c r="F90" s="33" t="inlineStr">
        <is>
          <t>Baxter International Reports a Cybersecurity Incident</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Not Impactful Decision Validation</t>
        </is>
      </c>
      <c r="N90" s="33" t="inlineStr">
        <is>
          <t>Yes</t>
        </is>
      </c>
      <c r="O90" s="33" t="inlineStr">
        <is>
          <t>Customer reported the missed Baxter ransomware incident. EventWatch captured the report on August 14, but human review incorrectly marked it Not Impactful; the event was re-evaluated, a WarRoom was created, and an NC was raised.</t>
        </is>
      </c>
      <c r="P90" s="33" t="n"/>
      <c r="Q90" s="33" t="inlineStr">
        <is>
          <t>Yes</t>
        </is>
      </c>
      <c r="R90" s="39" t="n">
        <v>8</v>
      </c>
      <c r="S90" s="39" t="n"/>
      <c r="T90" s="35" t="n">
        <v>46235</v>
      </c>
      <c r="U90" s="33" t="inlineStr">
        <is>
          <t>Medium</t>
        </is>
      </c>
      <c r="V90" s="33" t="inlineStr">
        <is>
          <t>WarRoom &amp; Decision Validation</t>
        </is>
      </c>
    </row>
    <row r="91">
      <c r="A91" s="35" t="n">
        <v>46235</v>
      </c>
      <c r="B91" s="37" t="n">
        <v>46265</v>
      </c>
      <c r="C91" s="33" t="inlineStr">
        <is>
          <t>Cyber Attack</t>
        </is>
      </c>
      <c r="D91" s="33" t="inlineStr">
        <is>
          <t>Merck</t>
        </is>
      </c>
      <c r="E91" s="39" t="n">
        <v>1</v>
      </c>
      <c r="F91" s="33" t="inlineStr">
        <is>
          <t>McKesson Corporation Confirms Data Breach Following a Cybersecurity Incident</t>
        </is>
      </c>
      <c r="G91" s="33" t="inlineStr">
        <is>
          <t>Complaint</t>
        </is>
      </c>
      <c r="H91" s="33" t="inlineStr">
        <is>
          <t>Missed Event</t>
        </is>
      </c>
      <c r="I91" s="33" t="inlineStr">
        <is>
          <t>People</t>
        </is>
      </c>
      <c r="J91" s="33" t="inlineStr">
        <is>
          <t>Review</t>
        </is>
      </c>
      <c r="K91" s="33" t="inlineStr">
        <is>
          <t>Improvement</t>
        </is>
      </c>
      <c r="L91" s="33" t="inlineStr">
        <is>
          <t>RCA Shared</t>
        </is>
      </c>
      <c r="M91" s="33" t="inlineStr">
        <is>
          <t>Entity &amp; Duplicate Decision Validation</t>
        </is>
      </c>
      <c r="N91" s="33" t="inlineStr">
        <is>
          <t>Yes</t>
        </is>
      </c>
      <c r="O91" s="33" t="inlineStr">
        <is>
          <t>Customer reported the missed McKesson data-breach incident. EventWatch captured the report on August 28, but human review assumed it was already covered; the event was re-evaluated, a WarRoom was created, and an NC was raised.</t>
        </is>
      </c>
      <c r="P91" s="33" t="n"/>
      <c r="Q91" s="33" t="inlineStr">
        <is>
          <t>Yes</t>
        </is>
      </c>
      <c r="R91" s="39" t="n">
        <v>8</v>
      </c>
      <c r="S91" s="39" t="n"/>
      <c r="T91" s="35" t="n">
        <v>46235</v>
      </c>
      <c r="U91" s="33" t="inlineStr">
        <is>
          <t>Medium</t>
        </is>
      </c>
      <c r="V91" s="33" t="inlineStr">
        <is>
          <t>WarRoom &amp; Decision Validation</t>
        </is>
      </c>
    </row>
    <row r="92">
      <c r="A92" s="35" t="n">
        <v>46235</v>
      </c>
      <c r="B92" s="37" t="n">
        <v>46265</v>
      </c>
      <c r="C92" s="33" t="inlineStr">
        <is>
          <t>Other</t>
        </is>
      </c>
      <c r="D92" s="33" t="inlineStr">
        <is>
          <t>Liberty Blume</t>
        </is>
      </c>
      <c r="E92" s="39" t="n">
        <v>1</v>
      </c>
      <c r="F92" s="33" t="inlineStr">
        <is>
          <t>Ciena 400G Optics Counterfeit Risk Intelligence Request (Liberty Blume)</t>
        </is>
      </c>
      <c r="G92" s="33" t="inlineStr">
        <is>
          <t>Inquiry</t>
        </is>
      </c>
      <c r="H92" s="33" t="inlineStr">
        <is>
          <t>Intelligence/Advisory Request</t>
        </is>
      </c>
      <c r="I92" s="33" t="inlineStr">
        <is>
          <t>Process</t>
        </is>
      </c>
      <c r="J92" s="33" t="inlineStr">
        <is>
          <t>Process Clarification</t>
        </is>
      </c>
      <c r="K92" s="33" t="inlineStr">
        <is>
          <t>Improvement</t>
        </is>
      </c>
      <c r="L92" s="33" t="inlineStr">
        <is>
          <t>Pending</t>
        </is>
      </c>
      <c r="M92" s="33" t="inlineStr">
        <is>
          <t>Counterfeit/grey-market component intelligence briefing capability</t>
        </is>
      </c>
      <c r="N92" s="33" t="inlineStr">
        <is>
          <t>No</t>
        </is>
      </c>
      <c r="O92" s="33" t="inlineStr">
        <is>
          <t>Staged from Jira EAO-32 (Open). Liberty Blume requested industry intelligence on counterfeit/grey-market Ciena 400G optical transceivers beyond the supplier scanning report already provided.</t>
        </is>
      </c>
      <c r="Q92" s="33" t="inlineStr">
        <is>
          <t>No</t>
        </is>
      </c>
      <c r="R92" s="39" t="n">
        <v>8</v>
      </c>
      <c r="T92" s="35" t="n">
        <v>46235</v>
      </c>
      <c r="U92" s="33" t="inlineStr">
        <is>
          <t>Low</t>
        </is>
      </c>
      <c r="V92" s="33" t="inlineStr">
        <is>
          <t>Other Control Automation</t>
        </is>
      </c>
      <c r="W92" s="33" t="inlineStr">
        <is>
          <t>EAO-32</t>
        </is>
      </c>
    </row>
    <row r="93">
      <c r="A93" s="35" t="n">
        <v>46266</v>
      </c>
      <c r="B93" s="37" t="n">
        <v>46267</v>
      </c>
      <c r="C93" s="33" t="inlineStr">
        <is>
          <t>Geopolitical</t>
        </is>
      </c>
      <c r="D93" s="33" t="inlineStr">
        <is>
          <t>Caterpillar</t>
        </is>
      </c>
      <c r="E93" s="39" t="n">
        <v>1</v>
      </c>
      <c r="F93" s="33" t="inlineStr">
        <is>
          <t>Taiwan Strait Conflict Risk Assessment – Missed EventWatch Notification</t>
        </is>
      </c>
      <c r="G93" s="33" t="inlineStr">
        <is>
          <t>Complaint</t>
        </is>
      </c>
      <c r="H93" s="33" t="inlineStr">
        <is>
          <t>Missed Event</t>
        </is>
      </c>
      <c r="I93" s="33" t="inlineStr">
        <is>
          <t>People</t>
        </is>
      </c>
      <c r="J93" s="33" t="inlineStr">
        <is>
          <t>Event Identification</t>
        </is>
      </c>
      <c r="K93" s="33" t="inlineStr">
        <is>
          <t>Improvement</t>
        </is>
      </c>
      <c r="L93" s="33" t="inlineStr">
        <is>
          <t>Pending</t>
        </is>
      </c>
      <c r="M93" s="33" t="inlineStr">
        <is>
          <t>Geopolitical conflict risk-assessment scenario monitoring and escalation</t>
        </is>
      </c>
      <c r="N93" s="33" t="inlineStr">
        <is>
          <t>Yes</t>
        </is>
      </c>
      <c r="O93" s="33" t="inlineStr">
        <is>
          <t>Staged from Jira EAO-33 (In Progress). Caterpillar reported no notification for “Taiwan Strait Conflict Risk Assessment and Potential Global Supply Chain Impact”; CS found no matching event in the backend.</t>
        </is>
      </c>
      <c r="Q93" s="33" t="inlineStr">
        <is>
          <t>Yes</t>
        </is>
      </c>
      <c r="R93" s="39" t="n">
        <v>9</v>
      </c>
      <c r="T93" s="35" t="n">
        <v>46266</v>
      </c>
      <c r="U93" s="33" t="inlineStr">
        <is>
          <t>Medium</t>
        </is>
      </c>
      <c r="V93" s="33" t="inlineStr">
        <is>
          <t>WarRoom &amp; Decision Validation</t>
        </is>
      </c>
      <c r="W93" s="33" t="inlineStr">
        <is>
          <t>EAO-33</t>
        </is>
      </c>
    </row>
    <row r="94">
      <c r="A94" s="35" t="n">
        <v>46266</v>
      </c>
      <c r="B94" s="37" t="n">
        <v>46268</v>
      </c>
      <c r="C94" s="33" t="inlineStr">
        <is>
          <t>Protest/Riot</t>
        </is>
      </c>
      <c r="D94" s="33" t="inlineStr">
        <is>
          <t>Ford</t>
        </is>
      </c>
      <c r="E94" s="39" t="n">
        <v>1</v>
      </c>
      <c r="F94" s="33" t="inlineStr">
        <is>
          <t>Western Balkans Truck Driver/EU Border Blockade – August 31 Update Missed Alert (Ford)</t>
        </is>
      </c>
      <c r="G94" s="33" t="inlineStr">
        <is>
          <t>Complaint</t>
        </is>
      </c>
      <c r="H94" s="33" t="inlineStr">
        <is>
          <t>Missed Event</t>
        </is>
      </c>
      <c r="I94" s="33" t="inlineStr">
        <is>
          <t>People</t>
        </is>
      </c>
      <c r="J94" s="33" t="inlineStr">
        <is>
          <t>Review</t>
        </is>
      </c>
      <c r="K94" s="33" t="inlineStr">
        <is>
          <t>Improvement</t>
        </is>
      </c>
      <c r="L94" s="33" t="inlineStr">
        <is>
          <t>Pending</t>
        </is>
      </c>
      <c r="M94" s="33" t="inlineStr">
        <is>
          <t>Recurring/evolving-event WarRoom update monitoring and re-escalation detection</t>
        </is>
      </c>
      <c r="N94" s="33" t="inlineStr">
        <is>
          <t>Yes</t>
        </is>
      </c>
      <c r="O94"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94" s="33" t="inlineStr">
        <is>
          <t>Yes</t>
        </is>
      </c>
      <c r="R94" s="39" t="n">
        <v>9</v>
      </c>
      <c r="T94" s="35" t="n">
        <v>46266</v>
      </c>
      <c r="U94" s="33" t="inlineStr">
        <is>
          <t>Medium</t>
        </is>
      </c>
      <c r="V94" s="33" t="inlineStr">
        <is>
          <t>WarRoom &amp; Decision Validation</t>
        </is>
      </c>
      <c r="W94" s="33" t="inlineStr">
        <is>
          <t>EAO-34</t>
        </is>
      </c>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0"/>
  <sheetViews>
    <sheetView showGridLines="0" workbookViewId="0">
      <pane ySplit="2" topLeftCell="E69"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25" t="inlineStr">
        <is>
          <t>Total</t>
        </is>
      </c>
      <c r="B59" s="26">
        <f>SUM(B50:B58)</f>
        <v/>
      </c>
      <c r="C59" s="26">
        <f>SUM(C50:C58)</f>
        <v/>
      </c>
      <c r="D59" s="3" t="n"/>
      <c r="E59" s="3" t="n"/>
      <c r="F59" s="3" t="n"/>
      <c r="G59" s="3" t="n"/>
      <c r="H59" s="3" t="n"/>
      <c r="I59" s="3" t="n"/>
      <c r="J59" s="3" t="n"/>
      <c r="K59" s="3" t="n"/>
      <c r="L59" s="3" t="n"/>
      <c r="M59" s="3" t="n"/>
      <c r="N59" s="3" t="n"/>
      <c r="O59" s="3" t="n"/>
      <c r="P59" s="3" t="n"/>
      <c r="Q59" s="3" t="n"/>
      <c r="R59"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23.25" customHeight="1">
      <c r="A62" s="88" t="inlineStr">
        <is>
          <t>SOURCE 05 · Top customers</t>
        </is>
      </c>
      <c r="D62" s="3" t="n"/>
      <c r="E62" s="88" t="inlineStr">
        <is>
          <t>SOURCE 06 · Automation focus</t>
        </is>
      </c>
      <c r="H62" s="3" t="n"/>
      <c r="I62" s="88" t="inlineStr">
        <is>
          <t>DETAIL · Event type workload</t>
        </is>
      </c>
    </row>
    <row r="63" ht="18" customHeight="1">
      <c r="A63" s="15" t="inlineStr">
        <is>
          <t>Customer</t>
        </is>
      </c>
      <c r="B63" s="15" t="inlineStr">
        <is>
          <t>Complaints</t>
        </is>
      </c>
      <c r="C63" s="15" t="inlineStr">
        <is>
          <t>% of Complaints</t>
        </is>
      </c>
      <c r="D63" s="3" t="n"/>
      <c r="E63" s="15" t="inlineStr">
        <is>
          <t>Automation Focus</t>
        </is>
      </c>
      <c r="F63" s="15" t="inlineStr">
        <is>
          <t>Complaints</t>
        </is>
      </c>
      <c r="G63" s="15" t="inlineStr">
        <is>
          <t>% of Complaints</t>
        </is>
      </c>
      <c r="H63" s="3" t="n"/>
      <c r="I63" s="15" t="inlineStr">
        <is>
          <t>Event Type</t>
        </is>
      </c>
      <c r="J63" s="15" t="inlineStr">
        <is>
          <t>Complaints</t>
        </is>
      </c>
      <c r="K63" s="15" t="inlineStr">
        <is>
          <t>Inquiries</t>
        </is>
      </c>
      <c r="L63" s="16" t="inlineStr">
        <is>
          <t>Total</t>
        </is>
      </c>
    </row>
    <row r="64" ht="23.25" customHeight="1">
      <c r="A64" s="18" t="str" cm="1">
        <f t="array" ref="A64:A73">_xlfn.LET(_xlpm.u,_xlfn.UNIQUE(_xlfn._xlws.FILTER(ComplaintTracker[Customer],ComplaintTracker[Issue Type]="Complaint")),_xlfn.TAKE(_xlfn.SORTBY(_xlpm.u,COUNTIFS(ComplaintTracker[Issue Type],"Complaint",ComplaintTracker[Customer],_xlpm.u),-1,_xlpm.u,1),10))</f>
        <v>Ford</v>
      </c>
      <c r="B64" s="21" t="n" cm="1">
        <f t="array" ref="B64:B73">COUNTIFS(ComplaintTracker[Issue Type],"Complaint",ComplaintTracker[Customer],_xlfn.ANCHORARRAY(A64))</f>
        <v>31</v>
      </c>
      <c r="C64" s="23" t="n" cm="1">
        <f t="array" ref="C64:C73">_xlfn.ANCHORARRAY(B64)/COUNTIF(ComplaintTracker[Issue Type],"Complaint")</f>
        <v>0.38271604938271603</v>
      </c>
      <c r="D64" s="3" t="n"/>
      <c r="E64" s="18" t="inlineStr">
        <is>
          <t>WarRoom &amp; Decision Validation</t>
        </is>
      </c>
      <c r="F64" s="21">
        <f>COUNTIFS(ComplaintTracker[Issue Type],"Complaint",ComplaintTracker[Standard Automation Focus],E64)</f>
        <v/>
      </c>
      <c r="G64" s="23">
        <f>F64/COUNTIF(ComplaintTracker[Issue Type],"Complaint")</f>
        <v/>
      </c>
      <c r="H64" s="3" t="n"/>
      <c r="I64" s="18" t="str" cm="1">
        <f t="array" ref="I64:L87">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4" s="75" t="n">
        <v>10</v>
      </c>
      <c r="K64" s="75" t="n">
        <v>0</v>
      </c>
      <c r="L64" s="75" t="n">
        <v>10</v>
      </c>
    </row>
    <row r="65" ht="23.25" customHeight="1">
      <c r="A65" s="20" t="inlineStr">
        <is>
          <t>Eaton</t>
        </is>
      </c>
      <c r="B65" s="22" t="n">
        <v>11</v>
      </c>
      <c r="C65" s="24" t="n">
        <v>0.13580246913580246</v>
      </c>
      <c r="D65" s="3" t="n"/>
      <c r="E65" s="20" t="inlineStr">
        <is>
          <t>Dynamic Source Discovery</t>
        </is>
      </c>
      <c r="F65" s="22">
        <f>COUNTIFS(ComplaintTracker[Issue Type],"Complaint",ComplaintTracker[Standard Automation Focus],E65)</f>
        <v/>
      </c>
      <c r="G65" s="24">
        <f>F65/COUNTIF(ComplaintTracker[Issue Type],"Complaint")</f>
        <v/>
      </c>
      <c r="H65" s="3" t="n"/>
      <c r="I65" s="20" t="inlineStr">
        <is>
          <t>Chemical Spill</t>
        </is>
      </c>
      <c r="J65" s="76" t="n">
        <v>1</v>
      </c>
      <c r="K65" s="76" t="n">
        <v>0</v>
      </c>
      <c r="L65" s="76" t="n">
        <v>1</v>
      </c>
    </row>
    <row r="66" ht="18" customHeight="1">
      <c r="A66" s="20" t="inlineStr">
        <is>
          <t>Caterpillar</t>
        </is>
      </c>
      <c r="B66" s="22" t="n">
        <v>7</v>
      </c>
      <c r="C66" s="24" t="n">
        <v>0.08641975308641975</v>
      </c>
      <c r="D66" s="3" t="n"/>
      <c r="E66" s="20" t="inlineStr">
        <is>
          <t>Multilingual Keyword Expansion</t>
        </is>
      </c>
      <c r="F66" s="22">
        <f>COUNTIFS(ComplaintTracker[Issue Type],"Complaint",ComplaintTracker[Standard Automation Focus],E66)</f>
        <v/>
      </c>
      <c r="G66" s="24">
        <f>F66/COUNTIF(ComplaintTracker[Issue Type],"Complaint")</f>
        <v/>
      </c>
      <c r="H66" s="3" t="n"/>
      <c r="I66" s="20" t="inlineStr">
        <is>
          <t>Cyber Attack</t>
        </is>
      </c>
      <c r="J66" s="76" t="n">
        <v>13</v>
      </c>
      <c r="K66" s="76" t="n">
        <v>0</v>
      </c>
      <c r="L66" s="76" t="n">
        <v>13</v>
      </c>
    </row>
    <row r="67" ht="23.25" customHeight="1">
      <c r="A67" s="20" t="inlineStr">
        <is>
          <t>Collins Aerospace</t>
        </is>
      </c>
      <c r="B67" s="22" t="n">
        <v>4</v>
      </c>
      <c r="C67" s="24" t="n">
        <v>0.04938271604938271</v>
      </c>
      <c r="D67" s="3" t="n"/>
      <c r="E67" s="20" t="inlineStr">
        <is>
          <t>Other Control Automation</t>
        </is>
      </c>
      <c r="F67" s="22">
        <f>COUNTIFS(ComplaintTracker[Issue Type],"Complaint",ComplaintTracker[Standard Automation Focus],E67)</f>
        <v/>
      </c>
      <c r="G67" s="24">
        <f>F67/COUNTIF(ComplaintTracker[Issue Type],"Complaint")</f>
        <v/>
      </c>
      <c r="H67" s="3" t="n"/>
      <c r="I67" s="20" t="inlineStr">
        <is>
          <t>Earthquake</t>
        </is>
      </c>
      <c r="J67" s="76" t="n">
        <v>1</v>
      </c>
      <c r="K67" s="76" t="n">
        <v>1</v>
      </c>
      <c r="L67" s="76" t="n">
        <v>2</v>
      </c>
    </row>
    <row r="68" ht="23.25" customHeight="1">
      <c r="A68" s="20" t="inlineStr">
        <is>
          <t>GM</t>
        </is>
      </c>
      <c r="B68" s="22" t="n">
        <v>4</v>
      </c>
      <c r="C68" s="24" t="n">
        <v>0.04938271604938271</v>
      </c>
      <c r="D68" s="3" t="n"/>
      <c r="E68" s="20" t="inlineStr">
        <is>
          <t>Entity &amp; Supplier Resolution</t>
        </is>
      </c>
      <c r="F68" s="22">
        <f>COUNTIFS(ComplaintTracker[Issue Type],"Complaint",ComplaintTracker[Standard Automation Focus],E68)</f>
        <v/>
      </c>
      <c r="G68" s="24">
        <f>F68/COUNTIF(ComplaintTracker[Issue Type],"Complaint")</f>
        <v/>
      </c>
      <c r="H68" s="3" t="n"/>
      <c r="I68" s="20" t="inlineStr">
        <is>
          <t>Extreme Weather</t>
        </is>
      </c>
      <c r="J68" s="76" t="n">
        <v>6</v>
      </c>
      <c r="K68" s="76" t="n">
        <v>0</v>
      </c>
      <c r="L68" s="76" t="n">
        <v>6</v>
      </c>
    </row>
    <row r="69" ht="18" customHeight="1">
      <c r="A69" s="20" t="inlineStr">
        <is>
          <t>Ford/GM</t>
        </is>
      </c>
      <c r="B69" s="22" t="n">
        <v>3</v>
      </c>
      <c r="C69" s="24" t="n">
        <v>0.037037037037037035</v>
      </c>
      <c r="D69" s="3" t="n"/>
      <c r="E69" s="20" t="inlineStr">
        <is>
          <t>AI-Assisted Geofencing</t>
        </is>
      </c>
      <c r="F69" s="22">
        <f>COUNTIFS(ComplaintTracker[Issue Type],"Complaint",ComplaintTracker[Standard Automation Focus],E69)</f>
        <v/>
      </c>
      <c r="G69" s="24">
        <f>F69/COUNTIF(ComplaintTracker[Issue Type],"Complaint")</f>
        <v/>
      </c>
      <c r="H69" s="3" t="n"/>
      <c r="I69" s="20" t="inlineStr">
        <is>
          <t>Factory Closure</t>
        </is>
      </c>
      <c r="J69" s="76" t="n">
        <v>1</v>
      </c>
      <c r="K69" s="76" t="n">
        <v>0</v>
      </c>
      <c r="L69" s="76" t="n">
        <v>1</v>
      </c>
    </row>
    <row r="70" ht="23.25" customHeight="1">
      <c r="A70" s="20" t="inlineStr">
        <is>
          <t>Merck</t>
        </is>
      </c>
      <c r="B70" s="22" t="n">
        <v>2</v>
      </c>
      <c r="C70" s="24" t="n">
        <v>0.024691358024691357</v>
      </c>
      <c r="D70" s="3" t="n"/>
      <c r="E70" s="20" t="inlineStr">
        <is>
          <t>Cluster Integrity &amp; Duplicate Prevention</t>
        </is>
      </c>
      <c r="F70" s="22">
        <f>COUNTIFS(ComplaintTracker[Issue Type],"Complaint",ComplaintTracker[Standard Automation Focus],E70)</f>
        <v/>
      </c>
      <c r="G70" s="24">
        <f>F70/COUNTIF(ComplaintTracker[Issue Type],"Complaint")</f>
        <v/>
      </c>
      <c r="H70" s="3" t="n"/>
      <c r="I70" s="20" t="inlineStr">
        <is>
          <t>Factory Disruption</t>
        </is>
      </c>
      <c r="J70" s="76" t="n">
        <v>1</v>
      </c>
      <c r="K70" s="76" t="n">
        <v>0</v>
      </c>
      <c r="L70" s="76" t="n">
        <v>1</v>
      </c>
    </row>
    <row r="71" ht="23.25" customHeight="1">
      <c r="A71" s="20" t="inlineStr">
        <is>
          <t>Schneider Electric</t>
        </is>
      </c>
      <c r="B71" s="22" t="n">
        <v>2</v>
      </c>
      <c r="C71" s="24" t="n">
        <v>0.024691358024691357</v>
      </c>
      <c r="D71" s="3" t="n"/>
      <c r="E71" s="20" t="inlineStr">
        <is>
          <t>Automated Industry Tagging</t>
        </is>
      </c>
      <c r="F71" s="22">
        <f>COUNTIFS(ComplaintTracker[Issue Type],"Complaint",ComplaintTracker[Standard Automation Focus],E71)</f>
        <v/>
      </c>
      <c r="G71" s="24">
        <f>F71/COUNTIF(ComplaintTracker[Issue Type],"Complaint")</f>
        <v/>
      </c>
      <c r="H71" s="3" t="n"/>
      <c r="I71" s="20" t="inlineStr">
        <is>
          <t>Factory Fire</t>
        </is>
      </c>
      <c r="J71" s="76" t="n">
        <v>12</v>
      </c>
      <c r="K71" s="76" t="n">
        <v>2</v>
      </c>
      <c r="L71" s="76" t="n">
        <v>14</v>
      </c>
    </row>
    <row r="72" ht="18" customHeight="1">
      <c r="A72" s="20" t="inlineStr">
        <is>
          <t>UVM Health Network</t>
        </is>
      </c>
      <c r="B72" s="22" t="n">
        <v>2</v>
      </c>
      <c r="C72" s="24" t="n">
        <v>0.024691358024691357</v>
      </c>
      <c r="D72" s="3" t="n"/>
      <c r="E72" s="20" t="inlineStr">
        <is>
          <t>Notification Visibility Monitoring</t>
        </is>
      </c>
      <c r="F72" s="22">
        <f>COUNTIFS(ComplaintTracker[Issue Type],"Complaint",ComplaintTracker[Standard Automation Focus],E72)</f>
        <v/>
      </c>
      <c r="G72" s="24">
        <f>F72/COUNTIF(ComplaintTracker[Issue Type],"Complaint")</f>
        <v/>
      </c>
      <c r="H72" s="3" t="n"/>
      <c r="I72" s="20" t="inlineStr">
        <is>
          <t>Financial Distress</t>
        </is>
      </c>
      <c r="J72" s="76" t="n">
        <v>1</v>
      </c>
      <c r="K72" s="76" t="n">
        <v>0</v>
      </c>
      <c r="L72" s="76" t="n">
        <v>1</v>
      </c>
    </row>
    <row r="73" ht="23.25" customHeight="1">
      <c r="A73" s="20" t="inlineStr">
        <is>
          <t>Bombardier</t>
        </is>
      </c>
      <c r="B73" s="22" t="n">
        <v>1</v>
      </c>
      <c r="C73" s="24" t="n">
        <v>0.012345679012345678</v>
      </c>
      <c r="D73" s="3" t="n"/>
      <c r="E73" s="25" t="inlineStr">
        <is>
          <t>Total</t>
        </is>
      </c>
      <c r="F73" s="26">
        <f>SUM(F64:F72)</f>
        <v/>
      </c>
      <c r="G73" s="27">
        <f>SUM(G64:G72)</f>
        <v/>
      </c>
      <c r="H73" s="3" t="n"/>
      <c r="I73" s="20" t="inlineStr">
        <is>
          <t>Geopolitical</t>
        </is>
      </c>
      <c r="J73" s="76" t="n">
        <v>6</v>
      </c>
      <c r="K73" s="76" t="n">
        <v>0</v>
      </c>
      <c r="L73" s="76" t="n">
        <v>6</v>
      </c>
    </row>
    <row r="74" ht="23.25" customHeight="1">
      <c r="A74" s="20" t="inlineStr">
        <is>
          <t>Other customers</t>
        </is>
      </c>
      <c r="B74" s="22">
        <f>COUNTIF(ComplaintTracker[Issue Type],"Complaint")-SUM(B64:B73)</f>
        <v/>
      </c>
      <c r="C74" s="24">
        <f>B74/COUNTIF(ComplaintTracker[Issue Type],"Complaint")</f>
        <v/>
      </c>
      <c r="D74" s="3" t="n"/>
      <c r="E74" s="3" t="n"/>
      <c r="F74" s="3" t="n"/>
      <c r="G74" s="3" t="n"/>
      <c r="H74" s="3" t="n"/>
      <c r="I74" s="20" t="inlineStr">
        <is>
          <t>Hurricane/Typhoon</t>
        </is>
      </c>
      <c r="J74" s="76" t="n">
        <v>1</v>
      </c>
      <c r="K74" s="76" t="n">
        <v>0</v>
      </c>
      <c r="L74" s="76" t="n">
        <v>1</v>
      </c>
    </row>
    <row r="75" ht="18" customHeight="1">
      <c r="A75" s="25" t="inlineStr">
        <is>
          <t>Total</t>
        </is>
      </c>
      <c r="B75" s="26">
        <f>SUM(B64:B74)</f>
        <v/>
      </c>
      <c r="C75" s="27">
        <f>SUM(C64:C74)</f>
        <v/>
      </c>
      <c r="D75" s="3" t="n"/>
      <c r="E75" s="3" t="n"/>
      <c r="F75" s="3" t="n"/>
      <c r="G75" s="3" t="n"/>
      <c r="H75" s="3" t="n"/>
      <c r="I75" s="20" t="inlineStr">
        <is>
          <t>Labor Disruption</t>
        </is>
      </c>
      <c r="J75" s="76" t="n">
        <v>5</v>
      </c>
      <c r="K75" s="76" t="n">
        <v>0</v>
      </c>
      <c r="L75" s="76" t="n">
        <v>5</v>
      </c>
    </row>
    <row r="76" ht="23.25" customHeight="1">
      <c r="A76" s="3" t="n"/>
      <c r="B76" s="3" t="n"/>
      <c r="C76" s="3" t="n"/>
      <c r="D76" s="3" t="n"/>
      <c r="E76" s="3" t="n"/>
      <c r="F76" s="3" t="n"/>
      <c r="G76" s="3" t="n"/>
      <c r="H76" s="3" t="n"/>
      <c r="I76" s="20" t="inlineStr">
        <is>
          <t>Leadership Transition</t>
        </is>
      </c>
      <c r="J76" s="76" t="n">
        <v>1</v>
      </c>
      <c r="K76" s="76" t="n">
        <v>0</v>
      </c>
      <c r="L76" s="76" t="n">
        <v>1</v>
      </c>
    </row>
    <row r="77" ht="23.25" customHeight="1">
      <c r="A77" s="3" t="n"/>
      <c r="B77" s="3" t="n"/>
      <c r="C77" s="3" t="n"/>
      <c r="D77" s="3" t="n"/>
      <c r="E77" s="3" t="n"/>
      <c r="F77" s="3" t="n"/>
      <c r="G77" s="3" t="n"/>
      <c r="H77" s="3" t="n"/>
      <c r="I77" s="20" t="inlineStr">
        <is>
          <t>Litigation/Legal</t>
        </is>
      </c>
      <c r="J77" s="76" t="n">
        <v>1</v>
      </c>
      <c r="K77" s="76" t="n">
        <v>0</v>
      </c>
      <c r="L77" s="76" t="n">
        <v>1</v>
      </c>
    </row>
    <row r="78" ht="18" customHeight="1">
      <c r="A78" s="3" t="n"/>
      <c r="B78" s="3" t="n"/>
      <c r="C78" s="3" t="n"/>
      <c r="D78" s="3" t="n"/>
      <c r="E78" s="3" t="n"/>
      <c r="F78" s="3" t="n"/>
      <c r="G78" s="3" t="n"/>
      <c r="H78" s="3" t="n"/>
      <c r="I78" s="20" t="inlineStr">
        <is>
          <t>Merger &amp; Acquisition</t>
        </is>
      </c>
      <c r="J78" s="76" t="n">
        <v>2</v>
      </c>
      <c r="K78" s="76" t="n">
        <v>0</v>
      </c>
      <c r="L78" s="76" t="n">
        <v>2</v>
      </c>
    </row>
    <row r="79" ht="23.25" customHeight="1">
      <c r="A79" s="3" t="n"/>
      <c r="B79" s="3" t="n"/>
      <c r="C79" s="3" t="n"/>
      <c r="D79" s="3" t="n"/>
      <c r="E79" s="3" t="n"/>
      <c r="F79" s="3" t="n"/>
      <c r="G79" s="3" t="n"/>
      <c r="H79" s="3" t="n"/>
      <c r="I79" s="20" t="inlineStr">
        <is>
          <t>Other</t>
        </is>
      </c>
      <c r="J79" s="76" t="n">
        <v>0</v>
      </c>
      <c r="K79" s="76" t="n">
        <v>3</v>
      </c>
      <c r="L79" s="76" t="n">
        <v>3</v>
      </c>
    </row>
    <row r="80" ht="23.25" customHeight="1">
      <c r="A80" s="3" t="n"/>
      <c r="B80" s="3" t="n"/>
      <c r="C80" s="3" t="n"/>
      <c r="D80" s="3" t="n"/>
      <c r="E80" s="3" t="n"/>
      <c r="F80" s="3" t="n"/>
      <c r="G80" s="3" t="n"/>
      <c r="H80" s="3" t="n"/>
      <c r="I80" s="20" t="inlineStr">
        <is>
          <t>Protest/Riot</t>
        </is>
      </c>
      <c r="J80" s="76" t="n">
        <v>5</v>
      </c>
      <c r="K80" s="76" t="n">
        <v>0</v>
      </c>
      <c r="L80" s="76" t="n">
        <v>5</v>
      </c>
    </row>
    <row r="81" ht="18" customHeight="1">
      <c r="A81" s="3" t="n"/>
      <c r="B81" s="3" t="n"/>
      <c r="C81" s="3" t="n"/>
      <c r="D81" s="3" t="n"/>
      <c r="E81" s="3" t="n"/>
      <c r="F81" s="3" t="n"/>
      <c r="G81" s="3" t="n"/>
      <c r="H81" s="3" t="n"/>
      <c r="I81" s="20" t="inlineStr">
        <is>
          <t>Regulatory Change</t>
        </is>
      </c>
      <c r="J81" s="76" t="n">
        <v>6</v>
      </c>
      <c r="K81" s="76" t="n">
        <v>0</v>
      </c>
      <c r="L81" s="76" t="n">
        <v>6</v>
      </c>
    </row>
    <row r="82" ht="23.25" customHeight="1">
      <c r="A82" s="3" t="n"/>
      <c r="B82" s="3" t="n"/>
      <c r="C82" s="3" t="n"/>
      <c r="D82" s="3" t="n"/>
      <c r="E82" s="3" t="n"/>
      <c r="F82" s="3" t="n"/>
      <c r="G82" s="3" t="n"/>
      <c r="H82" s="3" t="n"/>
      <c r="I82" s="20" t="inlineStr">
        <is>
          <t>Supply Shortage</t>
        </is>
      </c>
      <c r="J82" s="76" t="n">
        <v>3</v>
      </c>
      <c r="K82" s="76" t="n">
        <v>3</v>
      </c>
      <c r="L82" s="76" t="n">
        <v>6</v>
      </c>
    </row>
    <row r="83" ht="23.25" customHeight="1">
      <c r="A83" s="3" t="n"/>
      <c r="B83" s="3" t="n"/>
      <c r="C83" s="3" t="n"/>
      <c r="D83" s="3" t="n"/>
      <c r="E83" s="3" t="n"/>
      <c r="F83" s="3" t="n"/>
      <c r="G83" s="3" t="n"/>
      <c r="H83" s="3" t="n"/>
      <c r="I83" s="20" t="inlineStr">
        <is>
          <t>Tornado</t>
        </is>
      </c>
      <c r="J83" s="76" t="n">
        <v>1</v>
      </c>
      <c r="K83" s="76" t="n">
        <v>0</v>
      </c>
      <c r="L83" s="76" t="n">
        <v>1</v>
      </c>
    </row>
    <row r="84" ht="18" customHeight="1">
      <c r="A84" s="3" t="n"/>
      <c r="B84" s="3" t="n"/>
      <c r="C84" s="3" t="n"/>
      <c r="D84" s="3" t="n"/>
      <c r="E84" s="3" t="n"/>
      <c r="F84" s="3" t="n"/>
      <c r="G84" s="3" t="n"/>
      <c r="H84" s="3" t="n"/>
      <c r="I84" s="20" t="inlineStr">
        <is>
          <t>Transport Disruption</t>
        </is>
      </c>
      <c r="J84" s="76" t="n">
        <v>1</v>
      </c>
      <c r="K84" s="76" t="n">
        <v>1</v>
      </c>
      <c r="L84" s="76" t="n">
        <v>2</v>
      </c>
      <c r="M84" s="3" t="n"/>
      <c r="N84" s="3" t="n"/>
      <c r="O84" s="3" t="n"/>
      <c r="P84" s="3" t="n"/>
      <c r="Q84" s="3" t="n"/>
      <c r="R84" s="3" t="n"/>
    </row>
    <row r="85" ht="18" customHeight="1">
      <c r="A85" s="3" t="n"/>
      <c r="B85" s="3" t="n"/>
      <c r="C85" s="3" t="n"/>
      <c r="D85" s="3" t="n"/>
      <c r="E85" s="3" t="n"/>
      <c r="F85" s="3" t="n"/>
      <c r="G85" s="3" t="n"/>
      <c r="H85" s="3" t="n"/>
      <c r="I85" s="20" t="inlineStr">
        <is>
          <t>WarRoom Operations</t>
        </is>
      </c>
      <c r="J85" s="76" t="n">
        <v>0</v>
      </c>
      <c r="K85" s="76" t="n">
        <v>1</v>
      </c>
      <c r="L85" s="76" t="n">
        <v>1</v>
      </c>
      <c r="M85" s="3" t="n"/>
      <c r="N85" s="3" t="n"/>
      <c r="O85" s="3" t="n"/>
      <c r="P85" s="3" t="n"/>
      <c r="Q85" s="3" t="n"/>
      <c r="R85" s="3" t="n"/>
    </row>
    <row r="86" ht="18" customHeight="1">
      <c r="A86" s="3" t="n"/>
      <c r="B86" s="3" t="n"/>
      <c r="C86" s="3" t="n"/>
      <c r="D86" s="3" t="n"/>
      <c r="E86" s="3" t="n"/>
      <c r="F86" s="3" t="n"/>
      <c r="G86" s="3" t="n"/>
      <c r="H86" s="3" t="n"/>
      <c r="I86" s="20" t="inlineStr">
        <is>
          <t>Wildfire</t>
        </is>
      </c>
      <c r="J86" s="76" t="n">
        <v>3</v>
      </c>
      <c r="K86" s="76" t="n">
        <v>1</v>
      </c>
      <c r="L86" s="76" t="n">
        <v>4</v>
      </c>
      <c r="M86" s="3" t="n"/>
      <c r="N86" s="3" t="n"/>
      <c r="O86" s="3" t="n"/>
      <c r="P86" s="3" t="n"/>
      <c r="Q86" s="3" t="n"/>
      <c r="R86" s="3" t="n"/>
    </row>
    <row r="87" ht="18" customHeight="1">
      <c r="A87" s="3" t="n"/>
      <c r="B87" s="3" t="n"/>
      <c r="C87" s="3" t="n"/>
      <c r="D87" s="3" t="n"/>
      <c r="E87" s="3" t="n"/>
      <c r="F87" s="3" t="n"/>
      <c r="G87" s="3" t="n"/>
      <c r="H87" s="3" t="n"/>
      <c r="I87" s="25" t="inlineStr">
        <is>
          <t>Total</t>
        </is>
      </c>
      <c r="J87" s="77" t="n">
        <v>81</v>
      </c>
      <c r="K87" s="77" t="n">
        <v>12</v>
      </c>
      <c r="L87" s="77" t="n">
        <v>93</v>
      </c>
      <c r="M87" s="3" t="n"/>
      <c r="N87" s="3" t="n"/>
      <c r="O87" s="3" t="n"/>
      <c r="P87" s="3" t="n"/>
      <c r="Q87" s="3" t="n"/>
      <c r="R87" s="3" t="n"/>
    </row>
    <row r="88" ht="18" customHeight="1">
      <c r="A88" s="3" t="n"/>
      <c r="B88" s="3" t="n"/>
      <c r="C88" s="3" t="n"/>
      <c r="D88" s="3" t="n"/>
      <c r="E88" s="3" t="n"/>
      <c r="F88" s="3" t="n"/>
      <c r="G88" s="3" t="n"/>
      <c r="H88" s="3" t="n"/>
      <c r="I88" s="3" t="n"/>
      <c r="J88" s="78" t="n"/>
      <c r="K88" s="78" t="n"/>
      <c r="L88" s="78" t="n"/>
      <c r="M88" s="3" t="n"/>
      <c r="N88" s="3" t="n"/>
      <c r="O88" s="3" t="n"/>
      <c r="P88" s="3" t="n"/>
      <c r="Q88" s="3" t="n"/>
      <c r="R88" s="3" t="n"/>
    </row>
    <row r="89" ht="18" customHeight="1">
      <c r="A89" s="3" t="n"/>
      <c r="B89" s="3" t="n"/>
      <c r="C89" s="3" t="n"/>
      <c r="D89" s="3" t="n"/>
      <c r="E89" s="3" t="n"/>
      <c r="F89" s="3" t="n"/>
      <c r="G89" s="3" t="n"/>
      <c r="H89" s="3" t="n"/>
      <c r="I89" s="3" t="n"/>
      <c r="J89" s="78" t="n"/>
      <c r="K89" s="78" t="n"/>
      <c r="L89" s="78" t="n"/>
      <c r="M89" s="3" t="n"/>
      <c r="N89" s="3" t="n"/>
      <c r="O89" s="3" t="n"/>
      <c r="P89" s="3" t="n"/>
      <c r="Q89" s="3" t="n"/>
      <c r="R89" s="3" t="n"/>
    </row>
    <row r="90" ht="18" customHeight="1">
      <c r="A90" s="3" t="n"/>
      <c r="B90" s="3" t="n"/>
      <c r="C90" s="3" t="n"/>
      <c r="D90" s="3" t="n"/>
      <c r="E90" s="3" t="n"/>
      <c r="F90" s="3" t="n"/>
      <c r="G90" s="3" t="n"/>
      <c r="H90" s="3" t="n"/>
      <c r="I90" s="3" t="n"/>
      <c r="J90" s="78" t="n"/>
      <c r="K90" s="78" t="n"/>
      <c r="L90" s="78" t="n"/>
      <c r="M90" s="3" t="n"/>
      <c r="N90" s="3" t="n"/>
      <c r="O90" s="3" t="n"/>
      <c r="P90" s="3" t="n"/>
      <c r="Q90" s="3" t="n"/>
      <c r="R90" s="3" t="n"/>
    </row>
    <row r="91" ht="18" customHeight="1">
      <c r="A91" s="3" t="n"/>
      <c r="B91" s="3" t="n"/>
      <c r="C91" s="3" t="n"/>
      <c r="D91" s="3" t="n"/>
      <c r="E91" s="3" t="n"/>
      <c r="F91" s="3" t="n"/>
      <c r="G91" s="3" t="n"/>
      <c r="H91" s="3" t="n"/>
      <c r="I91" s="3" t="n"/>
      <c r="J91" s="78" t="n"/>
      <c r="K91" s="78" t="n"/>
      <c r="L91" s="78" t="n"/>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3" t="n"/>
      <c r="K101" s="3" t="n"/>
      <c r="L101" s="3" t="n"/>
      <c r="M101" s="3" t="n"/>
      <c r="N101" s="3" t="n"/>
      <c r="O101" s="3" t="n"/>
      <c r="P101" s="3" t="n"/>
      <c r="Q101" s="3" t="n"/>
      <c r="R101" s="3" t="n"/>
    </row>
    <row r="102" ht="18" customHeight="1">
      <c r="A102" s="3" t="n"/>
      <c r="B102" s="3" t="n"/>
      <c r="C102" s="3" t="n"/>
      <c r="D102" s="3" t="n"/>
      <c r="E102" s="3" t="n"/>
      <c r="F102" s="3" t="n"/>
      <c r="G102" s="3" t="n"/>
      <c r="H102" s="3" t="n"/>
      <c r="I102" s="3" t="n"/>
      <c r="J102" s="3" t="n"/>
      <c r="K102" s="3" t="n"/>
      <c r="L102" s="3" t="n"/>
      <c r="M102" s="3" t="n"/>
      <c r="N102" s="3" t="n"/>
      <c r="O102" s="3" t="n"/>
      <c r="P102" s="3" t="n"/>
      <c r="Q102" s="3" t="n"/>
      <c r="R102" s="3" t="n"/>
    </row>
    <row r="103" ht="18" customHeight="1">
      <c r="A103" s="3" t="n"/>
      <c r="B103" s="3" t="n"/>
      <c r="C103" s="3" t="n"/>
      <c r="D103" s="3" t="n"/>
      <c r="E103" s="3" t="n"/>
      <c r="F103" s="3" t="n"/>
      <c r="G103" s="3" t="n"/>
      <c r="H103" s="3" t="n"/>
      <c r="I103" s="3" t="n"/>
      <c r="J103" s="3" t="n"/>
      <c r="K103" s="3" t="n"/>
      <c r="L103" s="3"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32" ht="18.75" customHeight="1"/>
  </sheetData>
  <mergeCells count="28">
    <mergeCell ref="A27:F27"/>
    <mergeCell ref="A46:R46"/>
    <mergeCell ref="J4:L4"/>
    <mergeCell ref="M27:R27"/>
    <mergeCell ref="A2:R2"/>
    <mergeCell ref="D4:F4"/>
    <mergeCell ref="I48:K48"/>
    <mergeCell ref="A62:C62"/>
    <mergeCell ref="D5:F7"/>
    <mergeCell ref="G4:I4"/>
    <mergeCell ref="A4:C4"/>
    <mergeCell ref="A5:C7"/>
    <mergeCell ref="G5:I7"/>
    <mergeCell ref="M4:O4"/>
    <mergeCell ref="A9:F9"/>
    <mergeCell ref="G9:L9"/>
    <mergeCell ref="P4:R4"/>
    <mergeCell ref="A48:C48"/>
    <mergeCell ref="E62:G62"/>
    <mergeCell ref="G27:L27"/>
    <mergeCell ref="J5:L7"/>
    <mergeCell ref="P5:R7"/>
    <mergeCell ref="M9:R9"/>
    <mergeCell ref="M5:O7"/>
    <mergeCell ref="M48:O48"/>
    <mergeCell ref="E48:G48"/>
    <mergeCell ref="A1:R1"/>
    <mergeCell ref="I62:L62"/>
  </mergeCells>
  <conditionalFormatting sqref="B64:B74">
    <cfRule type="dataBar" priority="1">
      <dataBar>
        <cfvo type="min"/>
        <cfvo type="max"/>
        <color rgb="FF638EC6"/>
      </dataBar>
    </cfRule>
  </conditionalFormatting>
  <conditionalFormatting sqref="F64:F72">
    <cfRule type="dataBar" priority="2">
      <dataBar>
        <cfvo type="min"/>
        <cfvo type="max"/>
        <color rgb="FF638EC6"/>
      </dataBar>
    </cfRule>
  </conditionalFormatting>
  <conditionalFormatting sqref="J64:J83">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37"/>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ht="30.75" customHeight="1">
      <c r="A27" s="42" t="inlineStr">
        <is>
          <t>Operational term</t>
        </is>
      </c>
      <c r="B27" s="41" t="inlineStr">
        <is>
          <t>EventWatch</t>
        </is>
      </c>
      <c r="C27" s="41" t="inlineStr">
        <is>
          <t>Operational monitoring service that identifies, assesses, and reports events relevant to customers.</t>
        </is>
      </c>
      <c r="D27" s="41" t="inlineStr">
        <is>
          <t>Common EventWatch terminology</t>
        </is>
      </c>
      <c r="E27" s="41" t="inlineStr">
        <is>
          <t>Various</t>
        </is>
      </c>
    </row>
    <row r="28" ht="30.75" customHeight="1">
      <c r="A28" s="42" t="inlineStr">
        <is>
          <t>Operational term</t>
        </is>
      </c>
      <c r="B28" s="41" t="inlineStr">
        <is>
          <t>WarRoom</t>
        </is>
      </c>
      <c r="C28" s="41" t="inlineStr">
        <is>
          <t>Central event workspace used to publish, organize, and update an operational event.</t>
        </is>
      </c>
      <c r="D28" s="41" t="inlineStr">
        <is>
          <t>Common EventWatch terminology</t>
        </is>
      </c>
      <c r="E28" s="41" t="inlineStr">
        <is>
          <t>Various</t>
        </is>
      </c>
    </row>
    <row r="29" ht="30.75" customHeight="1">
      <c r="A29" s="42" t="inlineStr">
        <is>
          <t>Operational term</t>
        </is>
      </c>
      <c r="B29" s="41" t="inlineStr">
        <is>
          <t>RCA</t>
        </is>
      </c>
      <c r="C29" s="41" t="inlineStr">
        <is>
          <t>Root Cause Analysis; a documented explanation of why an issue occurred and the corrective/preventive actions.</t>
        </is>
      </c>
      <c r="D29" s="41" t="inlineStr">
        <is>
          <t>Common EventWatch terminology</t>
        </is>
      </c>
      <c r="E29" s="41" t="inlineStr">
        <is>
          <t>Various</t>
        </is>
      </c>
    </row>
    <row r="30" ht="30.75" customHeight="1">
      <c r="A30" s="42" t="inlineStr">
        <is>
          <t>Operational term</t>
        </is>
      </c>
      <c r="B30" s="41" t="inlineStr">
        <is>
          <t>NC</t>
        </is>
      </c>
      <c r="C30" s="41" t="inlineStr">
        <is>
          <t>Non-Conformance; an internal quality record raised when required process or control performance was not met.</t>
        </is>
      </c>
      <c r="D30" s="41" t="inlineStr">
        <is>
          <t>Common EventWatch terminology</t>
        </is>
      </c>
      <c r="E30" s="41" t="inlineStr">
        <is>
          <t>Various</t>
        </is>
      </c>
    </row>
    <row r="31" ht="30.75" customHeight="1">
      <c r="A31" s="42" t="inlineStr">
        <is>
          <t>Operational term</t>
        </is>
      </c>
      <c r="B31" s="41" t="inlineStr">
        <is>
          <t>Not Impactful</t>
        </is>
      </c>
      <c r="C31" s="41" t="inlineStr">
        <is>
          <t>Review outcome indicating that available evidence did not meet the threshold for EventWatch escalation.</t>
        </is>
      </c>
      <c r="D31" s="41" t="inlineStr">
        <is>
          <t>Common EventWatch terminology</t>
        </is>
      </c>
      <c r="E31" s="41" t="inlineStr">
        <is>
          <t>Various</t>
        </is>
      </c>
    </row>
    <row r="32" ht="30.75" customHeight="1">
      <c r="A32" s="42" t="inlineStr">
        <is>
          <t>Operational term</t>
        </is>
      </c>
      <c r="B32" s="41" t="inlineStr">
        <is>
          <t>Feed harvesting</t>
        </is>
      </c>
      <c r="C32" s="41" t="inlineStr">
        <is>
          <t>Automated collection of articles or reports from monitored information sources.</t>
        </is>
      </c>
      <c r="D32" s="41" t="inlineStr">
        <is>
          <t>Common EventWatch terminology</t>
        </is>
      </c>
      <c r="E32" s="41" t="inlineStr">
        <is>
          <t>Various</t>
        </is>
      </c>
    </row>
    <row r="33" ht="30.75" customHeight="1">
      <c r="A33" s="42" t="inlineStr">
        <is>
          <t>Operational term</t>
        </is>
      </c>
      <c r="B33" s="41" t="inlineStr">
        <is>
          <t>Source coverage</t>
        </is>
      </c>
      <c r="C33" s="41" t="inlineStr">
        <is>
          <t>Availability and monitoring of relevant websites, feeds, registries, or publications.</t>
        </is>
      </c>
      <c r="D33" s="41" t="inlineStr">
        <is>
          <t>Common EventWatch terminology</t>
        </is>
      </c>
      <c r="E33" s="41" t="inlineStr">
        <is>
          <t>Various</t>
        </is>
      </c>
    </row>
    <row r="34" ht="30.75" customHeight="1">
      <c r="A34" s="42" t="inlineStr">
        <is>
          <t>Operational term</t>
        </is>
      </c>
      <c r="B34" s="41" t="inlineStr">
        <is>
          <t>Keyword Update</t>
        </is>
      </c>
      <c r="C34" s="41" t="inlineStr">
        <is>
          <t>Addition or refinement of search terms when available content was not identified correctly.</t>
        </is>
      </c>
      <c r="D34" s="41" t="inlineStr">
        <is>
          <t>Common EventWatch terminology</t>
        </is>
      </c>
      <c r="E34" s="41" t="inlineStr">
        <is>
          <t>Various</t>
        </is>
      </c>
    </row>
    <row r="35" ht="30.75" customHeight="1">
      <c r="A35" s="42" t="inlineStr">
        <is>
          <t>Operational term</t>
        </is>
      </c>
      <c r="B35" s="41" t="inlineStr">
        <is>
          <t>Geofencing</t>
        </is>
      </c>
      <c r="C35" s="41" t="inlineStr">
        <is>
          <t>Geographic impact logic used to associate an event area with customer or supplier locations.</t>
        </is>
      </c>
      <c r="D35" s="41" t="inlineStr">
        <is>
          <t>Common EventWatch terminology</t>
        </is>
      </c>
      <c r="E35" s="41" t="inlineStr">
        <is>
          <t>Various</t>
        </is>
      </c>
    </row>
    <row r="36" ht="30.75" customHeight="1">
      <c r="A36" s="42" t="inlineStr">
        <is>
          <t>Operational term</t>
        </is>
      </c>
      <c r="B36" s="41" t="inlineStr">
        <is>
          <t>Cluster</t>
        </is>
      </c>
      <c r="C36" s="41" t="inlineStr">
        <is>
          <t>Grouping of related articles or bulletins into one event record or WarRoom.</t>
        </is>
      </c>
      <c r="D36" s="41" t="inlineStr">
        <is>
          <t>Common EventWatch terminology</t>
        </is>
      </c>
      <c r="E36" s="41" t="inlineStr">
        <is>
          <t>Various</t>
        </is>
      </c>
    </row>
    <row r="37" ht="30.75" customHeight="1">
      <c r="A37" s="42" t="inlineStr">
        <is>
          <t>Operational term</t>
        </is>
      </c>
      <c r="B37" s="41" t="inlineStr">
        <is>
          <t>Human-in-the-loop review</t>
        </is>
      </c>
      <c r="C37" s="41" t="inlineStr">
        <is>
          <t>Analyst review that validates automated detection and decides whether to escalate or publish.</t>
        </is>
      </c>
      <c r="D37" s="41" t="inlineStr">
        <is>
          <t>Common EventWatch terminology</t>
        </is>
      </c>
      <c r="E37" s="41" t="inlineStr">
        <is>
          <t>Various</t>
        </is>
      </c>
    </row>
    <row r="38" ht="30.75" customHeight="1">
      <c r="A38" s="42" t="inlineStr">
        <is>
          <t>Operational term</t>
        </is>
      </c>
      <c r="B38" s="41" t="inlineStr">
        <is>
          <t>Impacted supplier</t>
        </is>
      </c>
      <c r="C38" s="41" t="inlineStr">
        <is>
          <t>Customer-mapped supplier assessed as potentially affected by an event.</t>
        </is>
      </c>
      <c r="D38" s="41" t="inlineStr">
        <is>
          <t>Common EventWatch terminology</t>
        </is>
      </c>
      <c r="E38" s="41" t="inlineStr">
        <is>
          <t>Various</t>
        </is>
      </c>
    </row>
    <row r="39" ht="30.75" customHeight="1">
      <c r="A39" s="42" t="inlineStr">
        <is>
          <t>Event type</t>
        </is>
      </c>
      <c r="B39" s="41" t="inlineStr">
        <is>
          <t>Bankruptcy</t>
        </is>
      </c>
      <c r="C39" s="41" t="inlineStr">
        <is>
          <t>Formal insolvency, bankruptcy filing, restructuring, or equivalent proceeding.</t>
        </is>
      </c>
      <c r="D39" s="41" t="inlineStr">
        <is>
          <t>Standard event category</t>
        </is>
      </c>
      <c r="E39" s="41" t="inlineStr">
        <is>
          <t>Event type</t>
        </is>
      </c>
    </row>
    <row r="40">
      <c r="A40" s="42" t="inlineStr">
        <is>
          <t>Event type</t>
        </is>
      </c>
      <c r="B40" s="41" t="inlineStr">
        <is>
          <t>Chemical Spill</t>
        </is>
      </c>
      <c r="C40" s="41" t="inlineStr">
        <is>
          <t>Release or leak of a hazardous chemical substance.</t>
        </is>
      </c>
      <c r="D40" s="41" t="inlineStr">
        <is>
          <t>Standard event category</t>
        </is>
      </c>
      <c r="E40" s="41" t="inlineStr">
        <is>
          <t>Event type</t>
        </is>
      </c>
    </row>
    <row r="41" ht="30.75" customHeight="1">
      <c r="A41" s="42" t="inlineStr">
        <is>
          <t>Event type</t>
        </is>
      </c>
      <c r="B41" s="41" t="inlineStr">
        <is>
          <t>Cyber Attack</t>
        </is>
      </c>
      <c r="C41" s="41" t="inlineStr">
        <is>
          <t>Cybersecurity incident such as ransomware, intrusion, compromise, or data breach.</t>
        </is>
      </c>
      <c r="D41" s="41" t="inlineStr">
        <is>
          <t>Standard event category</t>
        </is>
      </c>
      <c r="E41" s="41" t="inlineStr">
        <is>
          <t>Event type</t>
        </is>
      </c>
    </row>
    <row r="42">
      <c r="A42" s="42" t="inlineStr">
        <is>
          <t>Event type</t>
        </is>
      </c>
      <c r="B42" s="41" t="inlineStr">
        <is>
          <t>Earthquake</t>
        </is>
      </c>
      <c r="C42" s="41" t="inlineStr">
        <is>
          <t>Seismic event with potential operational or supply-chain impact.</t>
        </is>
      </c>
      <c r="D42" s="41" t="inlineStr">
        <is>
          <t>Standard event category</t>
        </is>
      </c>
      <c r="E42" s="41" t="inlineStr">
        <is>
          <t>Event type</t>
        </is>
      </c>
    </row>
    <row r="43" ht="30.75" customHeight="1">
      <c r="A43" s="42" t="inlineStr">
        <is>
          <t>Event type</t>
        </is>
      </c>
      <c r="B43" s="41" t="inlineStr">
        <is>
          <t>Extreme Weather</t>
        </is>
      </c>
      <c r="C43" s="41" t="inlineStr">
        <is>
          <t>Severe weather such as storms, tornadoes, typhoons, flooding, or snowstorms.</t>
        </is>
      </c>
      <c r="D43" s="41" t="inlineStr">
        <is>
          <t>Standard event category</t>
        </is>
      </c>
      <c r="E43" s="41" t="inlineStr">
        <is>
          <t>Event type</t>
        </is>
      </c>
    </row>
    <row r="44">
      <c r="A44" s="42" t="inlineStr">
        <is>
          <t>Event type</t>
        </is>
      </c>
      <c r="B44" s="41" t="inlineStr">
        <is>
          <t>Factory Closure</t>
        </is>
      </c>
      <c r="C44" s="41" t="inlineStr">
        <is>
          <t>Planned or unplanned closure of a manufacturing facility.</t>
        </is>
      </c>
      <c r="D44" s="41" t="inlineStr">
        <is>
          <t>Standard event category</t>
        </is>
      </c>
      <c r="E44" s="41" t="inlineStr">
        <is>
          <t>Event type</t>
        </is>
      </c>
    </row>
    <row r="45" ht="30.75" customHeight="1">
      <c r="A45" s="42" t="inlineStr">
        <is>
          <t>Event type</t>
        </is>
      </c>
      <c r="B45" s="41" t="inlineStr">
        <is>
          <t>Factory Disruption</t>
        </is>
      </c>
      <c r="C45" s="41" t="inlineStr">
        <is>
          <t>Operational interruption at a manufacturing facility that is not classified as closure or fire.</t>
        </is>
      </c>
      <c r="D45" s="41" t="inlineStr">
        <is>
          <t>Standard event category</t>
        </is>
      </c>
      <c r="E45" s="41" t="inlineStr">
        <is>
          <t>Event type</t>
        </is>
      </c>
    </row>
    <row r="46">
      <c r="A46" s="42" t="inlineStr">
        <is>
          <t>Event type</t>
        </is>
      </c>
      <c r="B46" s="41" t="inlineStr">
        <is>
          <t>Factory Fire</t>
        </is>
      </c>
      <c r="C46" s="41" t="inlineStr">
        <is>
          <t>Fire affecting a manufacturing, production, or storage facility.</t>
        </is>
      </c>
      <c r="D46" s="41" t="inlineStr">
        <is>
          <t>Standard event category</t>
        </is>
      </c>
      <c r="E46" s="41" t="inlineStr">
        <is>
          <t>Event type</t>
        </is>
      </c>
    </row>
    <row r="47" ht="30.75" customHeight="1">
      <c r="A47" s="42" t="inlineStr">
        <is>
          <t>Event type</t>
        </is>
      </c>
      <c r="B47" s="41" t="inlineStr">
        <is>
          <t>Financial Distress</t>
        </is>
      </c>
      <c r="C47" s="41" t="inlineStr">
        <is>
          <t>Material financial difficulty that does not yet constitute a formal bankruptcy event.</t>
        </is>
      </c>
      <c r="D47" s="41" t="inlineStr">
        <is>
          <t>Standard event category</t>
        </is>
      </c>
      <c r="E47" s="41" t="inlineStr">
        <is>
          <t>Event type</t>
        </is>
      </c>
    </row>
    <row r="48" ht="30.75" customHeight="1">
      <c r="A48" s="42" t="inlineStr">
        <is>
          <t>Event type</t>
        </is>
      </c>
      <c r="B48" s="41" t="inlineStr">
        <is>
          <t>Geopolitical</t>
        </is>
      </c>
      <c r="C48" s="41" t="inlineStr">
        <is>
          <t>Political, border, security, conflict, or humanitarian development affecting operations.</t>
        </is>
      </c>
      <c r="D48" s="41" t="inlineStr">
        <is>
          <t>Standard event category</t>
        </is>
      </c>
      <c r="E48" s="41" t="inlineStr">
        <is>
          <t>Event type</t>
        </is>
      </c>
    </row>
    <row r="49">
      <c r="A49" s="42" t="inlineStr">
        <is>
          <t>Event type</t>
        </is>
      </c>
      <c r="B49" s="41" t="inlineStr">
        <is>
          <t>Labor Disruption</t>
        </is>
      </c>
      <c r="C49" s="41" t="inlineStr">
        <is>
          <t>Strike, work stoppage, industrial action, or labor-related disruption.</t>
        </is>
      </c>
      <c r="D49" s="41" t="inlineStr">
        <is>
          <t>Standard event category</t>
        </is>
      </c>
      <c r="E49" s="41" t="inlineStr">
        <is>
          <t>Event type</t>
        </is>
      </c>
    </row>
    <row r="50">
      <c r="A50" s="42" t="inlineStr">
        <is>
          <t>Event type</t>
        </is>
      </c>
      <c r="B50" s="41" t="inlineStr">
        <is>
          <t>Leadership Transition</t>
        </is>
      </c>
      <c r="C50" s="41" t="inlineStr">
        <is>
          <t>Change in senior executive or organizational leadership.</t>
        </is>
      </c>
      <c r="D50" s="41" t="inlineStr">
        <is>
          <t>Standard event category</t>
        </is>
      </c>
      <c r="E50" s="41" t="inlineStr">
        <is>
          <t>Event type</t>
        </is>
      </c>
    </row>
    <row r="51">
      <c r="A51" s="42" t="inlineStr">
        <is>
          <t>Event type</t>
        </is>
      </c>
      <c r="B51" s="41" t="inlineStr">
        <is>
          <t>Merger &amp; Acquisition</t>
        </is>
      </c>
      <c r="C51" s="41" t="inlineStr">
        <is>
          <t>Merger, acquisition, divestiture, or comparable corporate transaction.</t>
        </is>
      </c>
      <c r="D51" s="41" t="inlineStr">
        <is>
          <t>Standard event category</t>
        </is>
      </c>
      <c r="E51" s="41" t="inlineStr">
        <is>
          <t>Event type</t>
        </is>
      </c>
    </row>
    <row r="52">
      <c r="A52" s="42" t="inlineStr">
        <is>
          <t>Event type</t>
        </is>
      </c>
      <c r="B52" s="41" t="inlineStr">
        <is>
          <t>N/A</t>
        </is>
      </c>
      <c r="C52" s="41" t="inlineStr">
        <is>
          <t>No applicable event category, generally used for non-event inquiries.</t>
        </is>
      </c>
      <c r="D52" s="41" t="inlineStr">
        <is>
          <t>Standard event category</t>
        </is>
      </c>
      <c r="E52" s="41" t="inlineStr">
        <is>
          <t>Event type</t>
        </is>
      </c>
    </row>
    <row r="53">
      <c r="A53" s="42" t="inlineStr">
        <is>
          <t>Event type</t>
        </is>
      </c>
      <c r="B53" s="41" t="inlineStr">
        <is>
          <t>Protest/Riot</t>
        </is>
      </c>
      <c r="C53" s="41" t="inlineStr">
        <is>
          <t>Demonstration, civil unrest, riot, or blockade driven by protest activity.</t>
        </is>
      </c>
      <c r="D53" s="41" t="inlineStr">
        <is>
          <t>Standard event category</t>
        </is>
      </c>
      <c r="E53" s="41" t="inlineStr">
        <is>
          <t>Event type</t>
        </is>
      </c>
    </row>
    <row r="54">
      <c r="A54" s="42" t="inlineStr">
        <is>
          <t>Event type</t>
        </is>
      </c>
      <c r="B54" s="41" t="inlineStr">
        <is>
          <t>Regulatory Change</t>
        </is>
      </c>
      <c r="C54" s="41" t="inlineStr">
        <is>
          <t>Government rule, sanction, export control, or regulatory action.</t>
        </is>
      </c>
      <c r="D54" s="41" t="inlineStr">
        <is>
          <t>Standard event category</t>
        </is>
      </c>
      <c r="E54" s="41" t="inlineStr">
        <is>
          <t>Event type</t>
        </is>
      </c>
    </row>
    <row r="55" ht="30.75" customHeight="1">
      <c r="A55" s="42" t="inlineStr">
        <is>
          <t>Event type</t>
        </is>
      </c>
      <c r="B55" s="41" t="inlineStr">
        <is>
          <t>Supply Shortage</t>
        </is>
      </c>
      <c r="C55" s="41" t="inlineStr">
        <is>
          <t>Shortage or constrained availability of materials, components, energy, or goods.</t>
        </is>
      </c>
      <c r="D55" s="41" t="inlineStr">
        <is>
          <t>Standard event category</t>
        </is>
      </c>
      <c r="E55" s="41" t="inlineStr">
        <is>
          <t>Event type</t>
        </is>
      </c>
    </row>
    <row r="56">
      <c r="A56" s="42" t="inlineStr">
        <is>
          <t>Event type</t>
        </is>
      </c>
      <c r="B56" s="41" t="inlineStr">
        <is>
          <t>Transport Disruption</t>
        </is>
      </c>
      <c r="C56" s="41" t="inlineStr">
        <is>
          <t>Disruption to roads, bridges, ports, rail, air, or logistics routes.</t>
        </is>
      </c>
      <c r="D56" s="41" t="inlineStr">
        <is>
          <t>Standard event category</t>
        </is>
      </c>
      <c r="E56" s="41" t="inlineStr">
        <is>
          <t>Event type</t>
        </is>
      </c>
    </row>
    <row r="57" ht="30.75" customHeight="1">
      <c r="A57" s="42" t="inlineStr">
        <is>
          <t>Event type</t>
        </is>
      </c>
      <c r="B57" s="41" t="inlineStr">
        <is>
          <t>Wildfire</t>
        </is>
      </c>
      <c r="C57" s="41" t="inlineStr">
        <is>
          <t>Uncontrolled vegetation fire with potential geographic or operational impact.</t>
        </is>
      </c>
      <c r="D57" s="41" t="inlineStr">
        <is>
          <t>Standard event category</t>
        </is>
      </c>
      <c r="E57" s="41" t="inlineStr">
        <is>
          <t>Event type</t>
        </is>
      </c>
    </row>
    <row r="58" ht="30.75" customHeight="1">
      <c r="A58" s="42" t="inlineStr">
        <is>
          <t>Issue type</t>
        </is>
      </c>
      <c r="B58" s="41" t="inlineStr">
        <is>
          <t>Complaint</t>
        </is>
      </c>
      <c r="C58" s="41" t="inlineStr">
        <is>
          <t>Customer reports a service failure, miss, delay, incorrect action, or other concern.</t>
        </is>
      </c>
      <c r="D58" s="41" t="inlineStr">
        <is>
          <t>Included in complaint metrics</t>
        </is>
      </c>
      <c r="E58" s="41" t="inlineStr">
        <is>
          <t>Issue Type</t>
        </is>
      </c>
    </row>
    <row r="59" ht="30.75" customHeight="1">
      <c r="A59" s="42" t="inlineStr">
        <is>
          <t>Issue type</t>
        </is>
      </c>
      <c r="B59" s="41" t="inlineStr">
        <is>
          <t>Inquiry</t>
        </is>
      </c>
      <c r="C59" s="41" t="inlineStr">
        <is>
          <t>Customer requests verification, explanation, or information without a confirmed service failure.</t>
        </is>
      </c>
      <c r="D59" s="41" t="inlineStr">
        <is>
          <t>Tracked separately from complaints</t>
        </is>
      </c>
      <c r="E59" s="41" t="inlineStr">
        <is>
          <t>Issue Type</t>
        </is>
      </c>
    </row>
    <row r="60" ht="30.75" customHeight="1">
      <c r="A60" s="42" t="inlineStr">
        <is>
          <t>Root cause</t>
        </is>
      </c>
      <c r="B60" s="41" t="inlineStr">
        <is>
          <t>People</t>
        </is>
      </c>
      <c r="C60" s="41" t="inlineStr">
        <is>
          <t>Human judgment, review, prioritization, publishing, or execution was the primary cause.</t>
        </is>
      </c>
      <c r="D60" s="41" t="inlineStr">
        <is>
          <t>Primary cause domain</t>
        </is>
      </c>
      <c r="E60" s="41" t="inlineStr">
        <is>
          <t>Root Cause</t>
        </is>
      </c>
    </row>
    <row r="61" ht="30.75" customHeight="1">
      <c r="A61" s="42" t="inlineStr">
        <is>
          <t>Root cause</t>
        </is>
      </c>
      <c r="B61" s="41" t="inlineStr">
        <is>
          <t>Process</t>
        </is>
      </c>
      <c r="C61" s="41" t="inlineStr">
        <is>
          <t>Policy, workflow, threshold, mapping method, or procedural design was the primary cause.</t>
        </is>
      </c>
      <c r="D61" s="41" t="inlineStr">
        <is>
          <t>Primary cause domain</t>
        </is>
      </c>
      <c r="E61" s="41" t="inlineStr">
        <is>
          <t>Root Cause</t>
        </is>
      </c>
    </row>
    <row r="62" ht="30.75" customHeight="1">
      <c r="A62" s="42" t="inlineStr">
        <is>
          <t>Root cause</t>
        </is>
      </c>
      <c r="B62" s="41" t="inlineStr">
        <is>
          <t>Product</t>
        </is>
      </c>
      <c r="C62" s="41" t="inlineStr">
        <is>
          <t>Technology, data ingestion, source coverage, detection, clustering, or platform behavior was the primary cause.</t>
        </is>
      </c>
      <c r="D62" s="41" t="inlineStr">
        <is>
          <t>Primary cause domain</t>
        </is>
      </c>
      <c r="E62" s="41" t="inlineStr">
        <is>
          <t>Root Cause</t>
        </is>
      </c>
    </row>
    <row r="63">
      <c r="A63" s="42" t="inlineStr">
        <is>
          <t>Sub-type</t>
        </is>
      </c>
      <c r="B63" s="41" t="inlineStr">
        <is>
          <t>Captured Late</t>
        </is>
      </c>
      <c r="C63" s="41" t="inlineStr">
        <is>
          <t>Relevant information entered the workflow later than required.</t>
        </is>
      </c>
      <c r="D63" s="41" t="inlineStr">
        <is>
          <t>Detailed cause/handling category</t>
        </is>
      </c>
      <c r="E63" s="41" t="inlineStr">
        <is>
          <t>Sub-type</t>
        </is>
      </c>
    </row>
    <row r="64">
      <c r="A64" s="42" t="inlineStr">
        <is>
          <t>Sub-type</t>
        </is>
      </c>
      <c r="B64" s="41" t="inlineStr">
        <is>
          <t>Duplication</t>
        </is>
      </c>
      <c r="C64" s="41" t="inlineStr">
        <is>
          <t>Related content was split into duplicate WarRooms or event records.</t>
        </is>
      </c>
      <c r="D64" s="41" t="inlineStr">
        <is>
          <t>Detailed cause/handling category</t>
        </is>
      </c>
      <c r="E64" s="41" t="inlineStr">
        <is>
          <t>Sub-type</t>
        </is>
      </c>
    </row>
    <row r="65" ht="30.75" customHeight="1">
      <c r="A65" s="42" t="inlineStr">
        <is>
          <t>Sub-type</t>
        </is>
      </c>
      <c r="B65" s="41" t="inlineStr">
        <is>
          <t>Event Identification</t>
        </is>
      </c>
      <c r="C65" s="41" t="inlineStr">
        <is>
          <t>The relevant event was not recognized or converted into reportable coverage.</t>
        </is>
      </c>
      <c r="D65" s="41" t="inlineStr">
        <is>
          <t>Detailed cause/handling category</t>
        </is>
      </c>
      <c r="E65" s="41" t="inlineStr">
        <is>
          <t>Sub-type</t>
        </is>
      </c>
    </row>
    <row r="66">
      <c r="A66" s="42" t="inlineStr">
        <is>
          <t>Sub-type</t>
        </is>
      </c>
      <c r="B66" s="41" t="inlineStr">
        <is>
          <t>Industry selection</t>
        </is>
      </c>
      <c r="C66" s="41" t="inlineStr">
        <is>
          <t>An incorrect or missing industry classification affected tracking.</t>
        </is>
      </c>
      <c r="D66" s="41" t="inlineStr">
        <is>
          <t>Detailed cause/handling category</t>
        </is>
      </c>
      <c r="E66" s="41" t="inlineStr">
        <is>
          <t>Sub-type</t>
        </is>
      </c>
    </row>
    <row r="67">
      <c r="A67" s="42" t="inlineStr">
        <is>
          <t>Sub-type</t>
        </is>
      </c>
      <c r="B67" s="41" t="inlineStr">
        <is>
          <t>Keyword Update</t>
        </is>
      </c>
      <c r="C67" s="41" t="inlineStr">
        <is>
          <t>Search or detection terms required addition or refinement.</t>
        </is>
      </c>
      <c r="D67" s="41" t="inlineStr">
        <is>
          <t>Detailed cause/handling category</t>
        </is>
      </c>
      <c r="E67" s="41" t="inlineStr">
        <is>
          <t>Sub-type</t>
        </is>
      </c>
    </row>
    <row r="68" ht="30.75" customHeight="1">
      <c r="A68" s="42" t="inlineStr">
        <is>
          <t>Sub-type</t>
        </is>
      </c>
      <c r="B68" s="41" t="inlineStr">
        <is>
          <t>Mapping</t>
        </is>
      </c>
      <c r="C68" s="41" t="inlineStr">
        <is>
          <t>Customer, supplier, company, facility, or impact relationship was missing or incorrect.</t>
        </is>
      </c>
      <c r="D68" s="41" t="inlineStr">
        <is>
          <t>Detailed cause/handling category</t>
        </is>
      </c>
      <c r="E68" s="41" t="inlineStr">
        <is>
          <t>Sub-type</t>
        </is>
      </c>
    </row>
    <row r="69">
      <c r="A69" s="42" t="inlineStr">
        <is>
          <t>Sub-type</t>
        </is>
      </c>
      <c r="B69" s="41" t="inlineStr">
        <is>
          <t>Policy/Logic</t>
        </is>
      </c>
      <c r="C69" s="41" t="inlineStr">
        <is>
          <t>A rule, threshold, or decision logic produced or explained the outcome.</t>
        </is>
      </c>
      <c r="D69" s="41" t="inlineStr">
        <is>
          <t>Detailed cause/handling category</t>
        </is>
      </c>
      <c r="E69" s="41" t="inlineStr">
        <is>
          <t>Sub-type</t>
        </is>
      </c>
    </row>
    <row r="70">
      <c r="A70" s="42" t="inlineStr">
        <is>
          <t>Sub-type</t>
        </is>
      </c>
      <c r="B70" s="41" t="inlineStr">
        <is>
          <t>Prioritization</t>
        </is>
      </c>
      <c r="C70" s="41" t="inlineStr">
        <is>
          <t>A detected item was not handled with the required urgency.</t>
        </is>
      </c>
      <c r="D70" s="41" t="inlineStr">
        <is>
          <t>Detailed cause/handling category</t>
        </is>
      </c>
      <c r="E70" s="41" t="inlineStr">
        <is>
          <t>Sub-type</t>
        </is>
      </c>
    </row>
    <row r="71" ht="30.75" customHeight="1">
      <c r="A71" s="42" t="inlineStr">
        <is>
          <t>Sub-type</t>
        </is>
      </c>
      <c r="B71" s="41" t="inlineStr">
        <is>
          <t>Process Clarification</t>
        </is>
      </c>
      <c r="C71" s="41" t="inlineStr">
        <is>
          <t>The case required explanation of policy, thresholds, or workflow rather than defect correction.</t>
        </is>
      </c>
      <c r="D71" s="41" t="inlineStr">
        <is>
          <t>Detailed cause/handling category</t>
        </is>
      </c>
      <c r="E71" s="41" t="inlineStr">
        <is>
          <t>Sub-type</t>
        </is>
      </c>
    </row>
    <row r="72" ht="30.75" customHeight="1">
      <c r="A72" s="42" t="inlineStr">
        <is>
          <t>Sub-type</t>
        </is>
      </c>
      <c r="B72" s="41" t="inlineStr">
        <is>
          <t>Relevancy</t>
        </is>
      </c>
      <c r="C72" s="41" t="inlineStr">
        <is>
          <t>The item’s relevance to the customer or EventWatch scope was disputed or incorrectly assessed.</t>
        </is>
      </c>
      <c r="D72" s="41" t="inlineStr">
        <is>
          <t>Detailed cause/handling category</t>
        </is>
      </c>
      <c r="E72" s="41" t="inlineStr">
        <is>
          <t>Sub-type</t>
        </is>
      </c>
    </row>
    <row r="73">
      <c r="A73" s="42" t="inlineStr">
        <is>
          <t>Sub-type</t>
        </is>
      </c>
      <c r="B73" s="41" t="inlineStr">
        <is>
          <t>Review</t>
        </is>
      </c>
      <c r="C73" s="41" t="inlineStr">
        <is>
          <t>Human assessment or quality review led to the issue.</t>
        </is>
      </c>
      <c r="D73" s="41" t="inlineStr">
        <is>
          <t>Detailed cause/handling category</t>
        </is>
      </c>
      <c r="E73" s="41" t="inlineStr">
        <is>
          <t>Sub-type</t>
        </is>
      </c>
    </row>
    <row r="74" ht="30.75" customHeight="1">
      <c r="A74" s="42" t="inlineStr">
        <is>
          <t>Sub-type</t>
        </is>
      </c>
      <c r="B74" s="41" t="inlineStr">
        <is>
          <t>Source Coverage</t>
        </is>
      </c>
      <c r="C74" s="41" t="inlineStr">
        <is>
          <t>The relevant source was unavailable, unmonitored, restricted, or not harvested.</t>
        </is>
      </c>
      <c r="D74" s="41" t="inlineStr">
        <is>
          <t>Detailed cause/handling category</t>
        </is>
      </c>
      <c r="E74" s="41" t="inlineStr">
        <is>
          <t>Sub-type</t>
        </is>
      </c>
    </row>
    <row r="75">
      <c r="A75" s="42" t="inlineStr">
        <is>
          <t>Sub-type</t>
        </is>
      </c>
      <c r="B75" s="41" t="inlineStr">
        <is>
          <t>Strategy</t>
        </is>
      </c>
      <c r="C75" s="41" t="inlineStr">
        <is>
          <t>The concern relates to reporting or consolidation strategy.</t>
        </is>
      </c>
      <c r="D75" s="41" t="inlineStr">
        <is>
          <t>Detailed cause/handling category</t>
        </is>
      </c>
      <c r="E75" s="41" t="inlineStr">
        <is>
          <t>Sub-type</t>
        </is>
      </c>
    </row>
    <row r="76">
      <c r="A76" s="42" t="inlineStr">
        <is>
          <t>Sub-type</t>
        </is>
      </c>
      <c r="B76" s="41" t="inlineStr">
        <is>
          <t>Tagging</t>
        </is>
      </c>
      <c r="C76" s="41" t="inlineStr">
        <is>
          <t>A required category or industry tag was missing or incorrect.</t>
        </is>
      </c>
      <c r="D76" s="41" t="inlineStr">
        <is>
          <t>Detailed cause/handling category</t>
        </is>
      </c>
      <c r="E76" s="41" t="inlineStr">
        <is>
          <t>Sub-type</t>
        </is>
      </c>
    </row>
    <row r="77" ht="30.75" customHeight="1">
      <c r="A77" s="42" t="inlineStr">
        <is>
          <t>Sub-type</t>
        </is>
      </c>
      <c r="B77" s="41" t="inlineStr">
        <is>
          <t>Visibility</t>
        </is>
      </c>
      <c r="C77" s="41" t="inlineStr">
        <is>
          <t>Published content was not visible because of profile, portal, notification, or display conditions.</t>
        </is>
      </c>
      <c r="D77" s="41" t="inlineStr">
        <is>
          <t>Detailed cause/handling category</t>
        </is>
      </c>
      <c r="E77" s="41" t="inlineStr">
        <is>
          <t>Sub-type</t>
        </is>
      </c>
    </row>
    <row r="78" ht="30.75" customHeight="1">
      <c r="A78" s="42" t="inlineStr">
        <is>
          <t>Sub-type</t>
        </is>
      </c>
      <c r="B78" s="41" t="inlineStr">
        <is>
          <t>WarRoom Creation</t>
        </is>
      </c>
      <c r="C78" s="41" t="inlineStr">
        <is>
          <t>A required WarRoom was not created despite available EventWatch coverage.</t>
        </is>
      </c>
      <c r="D78" s="41" t="inlineStr">
        <is>
          <t>Detailed cause/handling category</t>
        </is>
      </c>
      <c r="E78" s="41" t="inlineStr">
        <is>
          <t>Sub-type</t>
        </is>
      </c>
    </row>
    <row r="79" ht="30.75" customHeight="1">
      <c r="A79" s="42" t="inlineStr">
        <is>
          <t>Improvement classification</t>
        </is>
      </c>
      <c r="B79" s="41" t="inlineStr">
        <is>
          <t>Improvement</t>
        </is>
      </c>
      <c r="C79" s="41" t="inlineStr">
        <is>
          <t>Control, workflow, model, or monitoring enhancement rather than correction of a confirmed defect.</t>
        </is>
      </c>
      <c r="D79" s="41" t="inlineStr">
        <is>
          <t>Enhancement</t>
        </is>
      </c>
      <c r="E79" s="41" t="inlineStr">
        <is>
          <t>Improvement VS Bug</t>
        </is>
      </c>
    </row>
    <row r="80" ht="30.75" customHeight="1">
      <c r="A80" s="42" t="inlineStr">
        <is>
          <t>Improvement classification</t>
        </is>
      </c>
      <c r="B80" s="41" t="inlineStr">
        <is>
          <t>Bug</t>
        </is>
      </c>
      <c r="C80" s="41" t="inlineStr">
        <is>
          <t>Confirmed product or engineering defect requiring correction.</t>
        </is>
      </c>
      <c r="D80" s="41" t="inlineStr">
        <is>
          <t>Defect</t>
        </is>
      </c>
      <c r="E80" s="41" t="inlineStr">
        <is>
          <t>Improvement VS Bug</t>
        </is>
      </c>
    </row>
    <row r="81">
      <c r="A81" s="42" t="inlineStr">
        <is>
          <t>Fix status</t>
        </is>
      </c>
      <c r="B81" s="41" t="inlineStr">
        <is>
          <t>Fixed</t>
        </is>
      </c>
      <c r="C81" s="41" t="inlineStr">
        <is>
          <t>Immediate corrective action was completed.</t>
        </is>
      </c>
      <c r="D81" s="41" t="inlineStr">
        <is>
          <t>Current resolution state</t>
        </is>
      </c>
      <c r="E81" s="41" t="inlineStr">
        <is>
          <t>Short Term Fix Status</t>
        </is>
      </c>
    </row>
    <row r="82">
      <c r="A82" s="42" t="inlineStr">
        <is>
          <t>Fix status</t>
        </is>
      </c>
      <c r="B82" s="41" t="inlineStr">
        <is>
          <t>RCA Shared</t>
        </is>
      </c>
      <c r="C82" s="41" t="inlineStr">
        <is>
          <t>The root cause analysis was completed and shared with the customer.</t>
        </is>
      </c>
      <c r="D82" s="41" t="inlineStr">
        <is>
          <t>Current resolution state</t>
        </is>
      </c>
      <c r="E82" s="41" t="inlineStr">
        <is>
          <t>Short Term Fix Status</t>
        </is>
      </c>
    </row>
    <row r="83" ht="30.75" customHeight="1">
      <c r="A83" s="42" t="inlineStr">
        <is>
          <t>Fix status</t>
        </is>
      </c>
      <c r="B83" s="41" t="inlineStr">
        <is>
          <t>Clarification Provided</t>
        </is>
      </c>
      <c r="C83" s="41" t="inlineStr">
        <is>
          <t>The customer received an explanation, verification result, or policy/process clarification.</t>
        </is>
      </c>
      <c r="D83" s="41" t="inlineStr">
        <is>
          <t>Current resolution state</t>
        </is>
      </c>
      <c r="E83" s="41" t="inlineStr">
        <is>
          <t>Short Term Fix Status</t>
        </is>
      </c>
    </row>
    <row r="84">
      <c r="A84" s="42" t="inlineStr">
        <is>
          <t>Boolean flag</t>
        </is>
      </c>
      <c r="B84" s="41" t="inlineStr">
        <is>
          <t>Yes — RCA Requested</t>
        </is>
      </c>
      <c r="C84" s="41" t="inlineStr">
        <is>
          <t>A formal root cause analysis was requested.</t>
        </is>
      </c>
      <c r="D84" s="41" t="inlineStr">
        <is>
          <t>Yes</t>
        </is>
      </c>
      <c r="E84" s="41" t="inlineStr">
        <is>
          <t>RCA Requested</t>
        </is>
      </c>
    </row>
    <row r="85">
      <c r="A85" s="42" t="inlineStr">
        <is>
          <t>Boolean flag</t>
        </is>
      </c>
      <c r="B85" s="41" t="inlineStr">
        <is>
          <t>No — RCA Requested</t>
        </is>
      </c>
      <c r="C85" s="41" t="inlineStr">
        <is>
          <t>No formal root cause analysis was requested.</t>
        </is>
      </c>
      <c r="D85" s="41" t="inlineStr">
        <is>
          <t>No</t>
        </is>
      </c>
      <c r="E85" s="41" t="inlineStr">
        <is>
          <t>RCA Requested</t>
        </is>
      </c>
    </row>
    <row r="86" ht="30.75" customHeight="1">
      <c r="A86" s="42" t="inlineStr">
        <is>
          <t>Boolean flag</t>
        </is>
      </c>
      <c r="B86" s="41" t="inlineStr">
        <is>
          <t>Yes — Missed_Flag</t>
        </is>
      </c>
      <c r="C86" s="41" t="inlineStr">
        <is>
          <t>Expected coverage, alerting, escalation, or WarRoom action was missed or materially delayed.</t>
        </is>
      </c>
      <c r="D86" s="41" t="inlineStr">
        <is>
          <t>Yes</t>
        </is>
      </c>
      <c r="E86" s="41" t="inlineStr">
        <is>
          <t>Missed_Flag</t>
        </is>
      </c>
    </row>
    <row r="87" ht="30.75" customHeight="1">
      <c r="A87" s="42" t="inlineStr">
        <is>
          <t>Boolean flag</t>
        </is>
      </c>
      <c r="B87" s="41" t="inlineStr">
        <is>
          <t>No — Missed_Flag</t>
        </is>
      </c>
      <c r="C87" s="41" t="inlineStr">
        <is>
          <t>No confirmed reporting miss; the case concerns clarification, relevancy, mapping, duplication, or another non-miss issue.</t>
        </is>
      </c>
      <c r="D87" s="41" t="inlineStr">
        <is>
          <t>No</t>
        </is>
      </c>
      <c r="E87" s="41" t="inlineStr">
        <is>
          <t>Missed_Flag</t>
        </is>
      </c>
    </row>
    <row r="88">
      <c r="A88" s="42" t="inlineStr">
        <is>
          <t>Severity</t>
        </is>
      </c>
      <c r="B88" s="41" t="inlineStr">
        <is>
          <t>High</t>
        </is>
      </c>
      <c r="C88" s="41" t="inlineStr">
        <is>
          <t>Material impact or priority requiring elevated management attention.</t>
        </is>
      </c>
      <c r="D88" s="41" t="inlineStr">
        <is>
          <t>Priority level</t>
        </is>
      </c>
      <c r="E88" s="41" t="inlineStr">
        <is>
          <t>Severity</t>
        </is>
      </c>
    </row>
    <row r="89">
      <c r="A89" s="42" t="inlineStr">
        <is>
          <t>Severity</t>
        </is>
      </c>
      <c r="B89" s="41" t="inlineStr">
        <is>
          <t>Medium</t>
        </is>
      </c>
      <c r="C89" s="41" t="inlineStr">
        <is>
          <t>Standard operational complaint or issue requiring tracked response.</t>
        </is>
      </c>
      <c r="D89" s="41" t="inlineStr">
        <is>
          <t>Priority level</t>
        </is>
      </c>
      <c r="E89" s="41" t="inlineStr">
        <is>
          <t>Severity</t>
        </is>
      </c>
    </row>
    <row r="90">
      <c r="A90" s="42" t="inlineStr">
        <is>
          <t>Severity</t>
        </is>
      </c>
      <c r="B90" s="41" t="inlineStr">
        <is>
          <t>Low</t>
        </is>
      </c>
      <c r="C90" s="41" t="inlineStr">
        <is>
          <t>Limited-impact inquiry or quality issue with lower operational urgency.</t>
        </is>
      </c>
      <c r="D90" s="41" t="inlineStr">
        <is>
          <t>Priority level</t>
        </is>
      </c>
      <c r="E90" s="41" t="inlineStr">
        <is>
          <t>Severity</t>
        </is>
      </c>
    </row>
    <row r="91">
      <c r="A91" s="42" t="inlineStr">
        <is>
          <t>Automation focus</t>
        </is>
      </c>
      <c r="B91" s="41" t="inlineStr">
        <is>
          <t>AI-Assisted Geofencing</t>
        </is>
      </c>
      <c r="C91" s="41" t="inlineStr">
        <is>
          <t>Automate or improve impact-area creation and location validation.</t>
        </is>
      </c>
      <c r="D91" s="41" t="inlineStr">
        <is>
          <t>Standardized dashboard category</t>
        </is>
      </c>
      <c r="E91" s="41" t="inlineStr">
        <is>
          <t>Standard Automation Focus</t>
        </is>
      </c>
    </row>
    <row r="92">
      <c r="A92" s="42" t="inlineStr">
        <is>
          <t>Automation focus</t>
        </is>
      </c>
      <c r="B92" s="41" t="inlineStr">
        <is>
          <t>Automated Industry Tagging</t>
        </is>
      </c>
      <c r="C92" s="41" t="inlineStr">
        <is>
          <t>Automatically assign and validate industry classifications.</t>
        </is>
      </c>
      <c r="D92" s="41" t="inlineStr">
        <is>
          <t>Standardized dashboard category</t>
        </is>
      </c>
      <c r="E92" s="41" t="inlineStr">
        <is>
          <t>Standard Automation Focus</t>
        </is>
      </c>
    </row>
    <row r="93" ht="30.75" customHeight="1">
      <c r="A93" s="42" t="inlineStr">
        <is>
          <t>Automation focus</t>
        </is>
      </c>
      <c r="B93" s="41" t="inlineStr">
        <is>
          <t>Cluster Integrity &amp; Duplicate Prevention</t>
        </is>
      </c>
      <c r="C93" s="41" t="inlineStr">
        <is>
          <t>Detect duplicate/split clusters and preserve one coherent event sequence.</t>
        </is>
      </c>
      <c r="D93" s="41" t="inlineStr">
        <is>
          <t>Standardized dashboard category</t>
        </is>
      </c>
      <c r="E93" s="41" t="inlineStr">
        <is>
          <t>Standard Automation Focus</t>
        </is>
      </c>
    </row>
    <row r="94">
      <c r="A94" s="42" t="inlineStr">
        <is>
          <t>Automation focus</t>
        </is>
      </c>
      <c r="B94" s="41" t="inlineStr">
        <is>
          <t>Dynamic Source Discovery</t>
        </is>
      </c>
      <c r="C94" s="41" t="inlineStr">
        <is>
          <t>Identify, onboard, and monitor new or missing sources dynamically.</t>
        </is>
      </c>
      <c r="D94" s="41" t="inlineStr">
        <is>
          <t>Standardized dashboard category</t>
        </is>
      </c>
      <c r="E94" s="41" t="inlineStr">
        <is>
          <t>Standard Automation Focus</t>
        </is>
      </c>
    </row>
    <row r="95" ht="30.75" customHeight="1">
      <c r="A95" s="42" t="inlineStr">
        <is>
          <t>Automation focus</t>
        </is>
      </c>
      <c r="B95" s="41" t="inlineStr">
        <is>
          <t>Entity &amp; Supplier Resolution</t>
        </is>
      </c>
      <c r="C95" s="41" t="inlineStr">
        <is>
          <t>Resolve company, facility, supplier, and customer relationships accurately.</t>
        </is>
      </c>
      <c r="D95" s="41" t="inlineStr">
        <is>
          <t>Standardized dashboard category</t>
        </is>
      </c>
      <c r="E95" s="41" t="inlineStr">
        <is>
          <t>Standard Automation Focus</t>
        </is>
      </c>
    </row>
    <row r="96" ht="30.75" customHeight="1">
      <c r="A96" s="42" t="inlineStr">
        <is>
          <t>Automation focus</t>
        </is>
      </c>
      <c r="B96" s="41" t="inlineStr">
        <is>
          <t>Multilingual Keyword Expansion</t>
        </is>
      </c>
      <c r="C96" s="41" t="inlineStr">
        <is>
          <t>Expand and maintain detection terms across languages and regional variations.</t>
        </is>
      </c>
      <c r="D96" s="41" t="inlineStr">
        <is>
          <t>Standardized dashboard category</t>
        </is>
      </c>
      <c r="E96" s="41" t="inlineStr">
        <is>
          <t>Standard Automation Focus</t>
        </is>
      </c>
    </row>
    <row r="97" ht="30.75" customHeight="1">
      <c r="A97" s="42" t="inlineStr">
        <is>
          <t>Automation focus</t>
        </is>
      </c>
      <c r="B97" s="41" t="inlineStr">
        <is>
          <t>Notification Visibility Monitoring</t>
        </is>
      </c>
      <c r="C97" s="41" t="inlineStr">
        <is>
          <t>Monitor whether published alerts and WarRooms are visible and delivered to the customer.</t>
        </is>
      </c>
      <c r="D97" s="41" t="inlineStr">
        <is>
          <t>Standardized dashboard category</t>
        </is>
      </c>
      <c r="E97" s="41" t="inlineStr">
        <is>
          <t>Standard Automation Focus</t>
        </is>
      </c>
    </row>
    <row r="98">
      <c r="A98" s="42" t="inlineStr">
        <is>
          <t>Automation focus</t>
        </is>
      </c>
      <c r="B98" s="41" t="inlineStr">
        <is>
          <t>Other Control Automation</t>
        </is>
      </c>
      <c r="C98" s="41" t="inlineStr">
        <is>
          <t>Automation that does not fit another standardized focus category.</t>
        </is>
      </c>
      <c r="D98" s="41" t="inlineStr">
        <is>
          <t>Standardized dashboard category</t>
        </is>
      </c>
      <c r="E98" s="41" t="inlineStr">
        <is>
          <t>Standard Automation Focus</t>
        </is>
      </c>
    </row>
    <row r="99" ht="30.75" customHeight="1">
      <c r="A99" s="42" t="inlineStr">
        <is>
          <t>Automation focus</t>
        </is>
      </c>
      <c r="B99" s="41" t="inlineStr">
        <is>
          <t>WarRoom &amp; Decision Validation</t>
        </is>
      </c>
      <c r="C99" s="41" t="inlineStr">
        <is>
          <t>Validate impact decisions, escalation, publishing, and WarRoom creation.</t>
        </is>
      </c>
      <c r="D99" s="41" t="inlineStr">
        <is>
          <t>Standardized dashboard category</t>
        </is>
      </c>
      <c r="E99" s="41" t="inlineStr">
        <is>
          <t>Standard Automation Focus</t>
        </is>
      </c>
    </row>
    <row r="100" ht="30.75" customHeight="1">
      <c r="A100" s="42" t="inlineStr">
        <is>
          <t>Reason label</t>
        </is>
      </c>
      <c r="B100" s="41" t="inlineStr">
        <is>
          <t>Coverage Verification Request</t>
        </is>
      </c>
      <c r="C100" s="41" t="inlineStr">
        <is>
          <t>Customer requested confirmation of coverage, facts, or system behavior.</t>
        </is>
      </c>
      <c r="D100" s="41" t="inlineStr">
        <is>
          <t>Use only when supported by Comments and Missed_Flag</t>
        </is>
      </c>
      <c r="E100" s="41" t="inlineStr">
        <is>
          <t>Reason</t>
        </is>
      </c>
    </row>
    <row r="101" ht="30.75" customHeight="1">
      <c r="A101" s="42" t="inlineStr">
        <is>
          <t>Reason label</t>
        </is>
      </c>
      <c r="B101" s="41" t="inlineStr">
        <is>
          <t>Customer Requested Verification</t>
        </is>
      </c>
      <c r="C101" s="41" t="inlineStr">
        <is>
          <t>Customer requested confirmation of coverage, facts, or system behavior.</t>
        </is>
      </c>
      <c r="D101" s="41" t="inlineStr">
        <is>
          <t>Use only when supported by Comments and Missed_Flag</t>
        </is>
      </c>
      <c r="E101" s="41" t="inlineStr">
        <is>
          <t>Reason</t>
        </is>
      </c>
    </row>
    <row r="102" ht="30.75" customHeight="1">
      <c r="A102" s="42" t="inlineStr">
        <is>
          <t>Reason label</t>
        </is>
      </c>
      <c r="B102" s="41" t="inlineStr">
        <is>
          <t>Customer Terminology Preference</t>
        </is>
      </c>
      <c r="C102" s="41" t="inlineStr">
        <is>
          <t>Customer requested wording or naming alignment rather than correction of a reporting failure.</t>
        </is>
      </c>
      <c r="D102" s="41" t="inlineStr">
        <is>
          <t>Use only when supported by Comments and Missed_Flag</t>
        </is>
      </c>
      <c r="E102" s="41" t="inlineStr">
        <is>
          <t>Reason</t>
        </is>
      </c>
    </row>
    <row r="103" ht="30.75" customHeight="1">
      <c r="A103" s="42" t="inlineStr">
        <is>
          <t>Reason label</t>
        </is>
      </c>
      <c r="B103" s="41" t="inlineStr">
        <is>
          <t>Delay in creating separate WarRoom / delayed escalation</t>
        </is>
      </c>
      <c r="C103" s="41" t="inlineStr">
        <is>
          <t>Expected reporting, escalation, notification, or WarRoom creation occurred later than required.</t>
        </is>
      </c>
      <c r="D103" s="41" t="inlineStr">
        <is>
          <t>Use only when supported by Comments and Missed_Flag</t>
        </is>
      </c>
      <c r="E103" s="41" t="inlineStr">
        <is>
          <t>Reason</t>
        </is>
      </c>
    </row>
    <row r="104" ht="30.75" customHeight="1">
      <c r="A104" s="42" t="inlineStr">
        <is>
          <t>Reason label</t>
        </is>
      </c>
      <c r="B104" s="41" t="inlineStr">
        <is>
          <t>Delayed / Missing WarRoom</t>
        </is>
      </c>
      <c r="C104" s="41" t="inlineStr">
        <is>
          <t>Expected reporting, escalation, notification, or WarRoom creation occurred later than required.</t>
        </is>
      </c>
      <c r="D104" s="41" t="inlineStr">
        <is>
          <t>Use only when supported by Comments and Missed_Flag</t>
        </is>
      </c>
      <c r="E104" s="41" t="inlineStr">
        <is>
          <t>Reason</t>
        </is>
      </c>
    </row>
    <row r="105" ht="30.75" customHeight="1">
      <c r="A105" s="42" t="inlineStr">
        <is>
          <t>Reason label</t>
        </is>
      </c>
      <c r="B105" s="41" t="inlineStr">
        <is>
          <t>Delayed Event</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alert / WarRoom created late</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Duplicate WarRooms</t>
        </is>
      </c>
      <c r="C108" s="41" t="inlineStr">
        <is>
          <t>Related content was distributed across more than one WarRoom.</t>
        </is>
      </c>
      <c r="D108" s="41" t="inlineStr">
        <is>
          <t>Use only when supported by Comments and Missed_Flag</t>
        </is>
      </c>
      <c r="E108" s="41" t="inlineStr">
        <is>
          <t>Reason</t>
        </is>
      </c>
    </row>
    <row r="109" ht="30.75" customHeight="1">
      <c r="A109" s="42" t="inlineStr">
        <is>
          <t>Reason label</t>
        </is>
      </c>
      <c r="B109" s="41" t="inlineStr">
        <is>
          <t>Event not triggered / not notified</t>
        </is>
      </c>
      <c r="C109" s="41" t="inlineStr">
        <is>
          <t>Expected EventWatch coverage, alerting, notification, or WarRoom action did not occur.</t>
        </is>
      </c>
      <c r="D109" s="41" t="inlineStr">
        <is>
          <t>Use only when supported by Comments and Missed_Flag</t>
        </is>
      </c>
      <c r="E109" s="41" t="inlineStr">
        <is>
          <t>Reason</t>
        </is>
      </c>
    </row>
    <row r="110" ht="30.75" customHeight="1">
      <c r="A110" s="42" t="inlineStr">
        <is>
          <t>Reason label</t>
        </is>
      </c>
      <c r="B110" s="41" t="inlineStr">
        <is>
          <t>Geographic Coverage Clarification</t>
        </is>
      </c>
      <c r="C110" s="41" t="inlineStr">
        <is>
          <t>Customer requested explanation of the geographic scope or impact-area method.</t>
        </is>
      </c>
      <c r="D110" s="41" t="inlineStr">
        <is>
          <t>Use only when supported by Comments and Missed_Flag</t>
        </is>
      </c>
      <c r="E110" s="41" t="inlineStr">
        <is>
          <t>Reason</t>
        </is>
      </c>
    </row>
    <row r="111" ht="30.75" customHeight="1">
      <c r="A111" s="42" t="inlineStr">
        <is>
          <t>Reason label</t>
        </is>
      </c>
      <c r="B111" s="41" t="inlineStr">
        <is>
          <t>Geographic Misclassification</t>
        </is>
      </c>
      <c r="C111" s="41" t="inlineStr">
        <is>
          <t>An event or location was assigned to an incorrect geographic impact area.</t>
        </is>
      </c>
      <c r="D111" s="41" t="inlineStr">
        <is>
          <t>Use only when supported by Comments and Missed_Flag</t>
        </is>
      </c>
      <c r="E111" s="41" t="inlineStr">
        <is>
          <t>Reason</t>
        </is>
      </c>
    </row>
    <row r="112" ht="30.75" customHeight="1">
      <c r="A112" s="42" t="inlineStr">
        <is>
          <t>Reason label</t>
        </is>
      </c>
      <c r="B112" s="41" t="inlineStr">
        <is>
          <t>Impacted Supplier Missing</t>
        </is>
      </c>
      <c r="C112" s="41" t="inlineStr">
        <is>
          <t>A relevant mapped supplier was omitted from the impacted-supplier selection.</t>
        </is>
      </c>
      <c r="D112" s="41" t="inlineStr">
        <is>
          <t>Use only when supported by Comments and Missed_Flag</t>
        </is>
      </c>
      <c r="E112" s="41" t="inlineStr">
        <is>
          <t>Reason</t>
        </is>
      </c>
    </row>
    <row r="113" ht="30.75" customHeight="1">
      <c r="A113" s="42" t="inlineStr">
        <is>
          <t>Reason label</t>
        </is>
      </c>
      <c r="B113" s="41" t="inlineStr">
        <is>
          <t>Incorrect Action</t>
        </is>
      </c>
      <c r="C113" s="41" t="inlineStr">
        <is>
          <t>EventWatch action or handling was incorrect even though the event itself may not have been missed.</t>
        </is>
      </c>
      <c r="D113" s="41" t="inlineStr">
        <is>
          <t>Use only when supported by Comments and Missed_Flag</t>
        </is>
      </c>
      <c r="E113" s="41" t="inlineStr">
        <is>
          <t>Reason</t>
        </is>
      </c>
    </row>
    <row r="114" ht="30.75" customHeight="1">
      <c r="A114" s="42" t="inlineStr">
        <is>
          <t>Reason label</t>
        </is>
      </c>
      <c r="B114" s="41" t="inlineStr">
        <is>
          <t>Incorrect Industry selection</t>
        </is>
      </c>
      <c r="C114" s="41" t="inlineStr">
        <is>
          <t>The expected industry classification was missing or incorrect.</t>
        </is>
      </c>
      <c r="D114" s="41" t="inlineStr">
        <is>
          <t>Use only when supported by Comments and Missed_Flag</t>
        </is>
      </c>
      <c r="E114" s="41" t="inlineStr">
        <is>
          <t>Reason</t>
        </is>
      </c>
    </row>
    <row r="115" ht="30.75" customHeight="1">
      <c r="A115" s="42" t="inlineStr">
        <is>
          <t>Reason label</t>
        </is>
      </c>
      <c r="B115" s="41" t="inlineStr">
        <is>
          <t>Missed + Delayed Reporting</t>
        </is>
      </c>
      <c r="C115" s="41" t="inlineStr">
        <is>
          <t>Expected reporting, escalation, notification, or WarRoom creation occurred later than required.</t>
        </is>
      </c>
      <c r="D115" s="41" t="inlineStr">
        <is>
          <t>Use only when supported by Comments and Missed_Flag</t>
        </is>
      </c>
      <c r="E115" s="41" t="inlineStr">
        <is>
          <t>Reason</t>
        </is>
      </c>
    </row>
    <row r="116" ht="30.75" customHeight="1">
      <c r="A116" s="42" t="inlineStr">
        <is>
          <t>Reason label</t>
        </is>
      </c>
      <c r="B116" s="41" t="inlineStr">
        <is>
          <t>Missed / Delayed Event</t>
        </is>
      </c>
      <c r="C116" s="41" t="inlineStr">
        <is>
          <t>Expected reporting, escalation, notification, or WarRoom creation occurred later than required.</t>
        </is>
      </c>
      <c r="D116" s="41" t="inlineStr">
        <is>
          <t>Use only when supported by Comments and Missed_Flag</t>
        </is>
      </c>
      <c r="E116" s="41" t="inlineStr">
        <is>
          <t>Reason</t>
        </is>
      </c>
    </row>
    <row r="117" ht="30.75" customHeight="1">
      <c r="A117" s="42" t="inlineStr">
        <is>
          <t>Reason label</t>
        </is>
      </c>
      <c r="B117" s="41" t="inlineStr">
        <is>
          <t>Missed Event</t>
        </is>
      </c>
      <c r="C117" s="41" t="inlineStr">
        <is>
          <t>Expected EventWatch coverage, alerting, notification, or WarRoom action did not occur.</t>
        </is>
      </c>
      <c r="D117" s="41" t="inlineStr">
        <is>
          <t>Use only when supported by Comments and Missed_Flag</t>
        </is>
      </c>
      <c r="E117" s="41" t="inlineStr">
        <is>
          <t>Reason</t>
        </is>
      </c>
    </row>
    <row r="118" ht="30.75" customHeight="1">
      <c r="A118" s="42" t="inlineStr">
        <is>
          <t>Reason label</t>
        </is>
      </c>
      <c r="B118" s="41" t="inlineStr">
        <is>
          <t>Missed Relevant Event</t>
        </is>
      </c>
      <c r="C118" s="41" t="inlineStr">
        <is>
          <t>Expected EventWatch coverage, alerting, notification, or WarRoom action did not occur.</t>
        </is>
      </c>
      <c r="D118" s="41" t="inlineStr">
        <is>
          <t>Use only when supported by Comments and Missed_Flag</t>
        </is>
      </c>
      <c r="E118" s="41" t="inlineStr">
        <is>
          <t>Reason</t>
        </is>
      </c>
    </row>
    <row r="119" ht="30.75" customHeight="1">
      <c r="A119" s="42" t="inlineStr">
        <is>
          <t>Reason label</t>
        </is>
      </c>
      <c r="B119" s="41" t="inlineStr">
        <is>
          <t>Missed WarRoom</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WarRoom / No notification</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alert / event not captured</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insolvency alert</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insolvency event</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severe weather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Missing Automotive industry tag (customer tracking missed it)</t>
        </is>
      </c>
      <c r="C125" s="41" t="inlineStr">
        <is>
          <t>The expected industry classification was missing or incorrect.</t>
        </is>
      </c>
      <c r="D125" s="41" t="inlineStr">
        <is>
          <t>Use only when supported by Comments and Missed_Flag</t>
        </is>
      </c>
      <c r="E125" s="41" t="inlineStr">
        <is>
          <t>Reason</t>
        </is>
      </c>
    </row>
    <row r="126" ht="30.75" customHeight="1">
      <c r="A126" s="42" t="inlineStr">
        <is>
          <t>Reason label</t>
        </is>
      </c>
      <c r="B126" s="41" t="inlineStr">
        <is>
          <t>Missing EventWatch coverage / feeds not captured</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Resilinc alert / insolvency not captured</t>
        </is>
      </c>
      <c r="C127" s="41" t="inlineStr">
        <is>
          <t>Expected EventWatch coverage, alerting, notification, or WarRoom action did not occur.</t>
        </is>
      </c>
      <c r="D127" s="41" t="inlineStr">
        <is>
          <t>Use only when supported by Comments and Missed_Flag</t>
        </is>
      </c>
      <c r="E127" s="41" t="inlineStr">
        <is>
          <t>Reason</t>
        </is>
      </c>
    </row>
    <row r="128" ht="30.75" customHeight="1">
      <c r="A128" s="42" t="inlineStr">
        <is>
          <t>Reason label</t>
        </is>
      </c>
      <c r="B128" s="41" t="inlineStr">
        <is>
          <t>SEC notification not captured/provided on time</t>
        </is>
      </c>
      <c r="C128" s="41" t="inlineStr">
        <is>
          <t>Specific customer-reported reason recorded in the tracker.</t>
        </is>
      </c>
      <c r="D128" s="41" t="inlineStr">
        <is>
          <t>Use only when supported by Comments and Missed_Flag</t>
        </is>
      </c>
      <c r="E128" s="41" t="inlineStr">
        <is>
          <t>Reason</t>
        </is>
      </c>
    </row>
    <row r="129" ht="30.75" customHeight="1">
      <c r="A129" s="42" t="inlineStr">
        <is>
          <t>Reason label</t>
        </is>
      </c>
      <c r="B129" s="41" t="inlineStr">
        <is>
          <t>Severity / consolidation handling concern</t>
        </is>
      </c>
      <c r="C129" s="41" t="inlineStr">
        <is>
          <t>Customer questioned the severity level or consolidation of event coverage.</t>
        </is>
      </c>
      <c r="D129" s="41" t="inlineStr">
        <is>
          <t>Use only when supported by Comments and Missed_Flag</t>
        </is>
      </c>
      <c r="E129" s="41" t="inlineStr">
        <is>
          <t>Reason</t>
        </is>
      </c>
    </row>
    <row r="130" ht="30.75" customHeight="1">
      <c r="A130" s="42" t="inlineStr">
        <is>
          <t>Reason label</t>
        </is>
      </c>
      <c r="B130" s="41" t="inlineStr">
        <is>
          <t>Supplier Impact Mapping Clarification</t>
        </is>
      </c>
      <c r="C130" s="41" t="inlineStr">
        <is>
          <t>Customer requested explanation of why suppliers were included or excluded from the impact area.</t>
        </is>
      </c>
      <c r="D130" s="41" t="inlineStr">
        <is>
          <t>Use only when supported by Comments and Missed_Flag</t>
        </is>
      </c>
      <c r="E130" s="41" t="inlineStr">
        <is>
          <t>Reason</t>
        </is>
      </c>
    </row>
    <row r="131" ht="30.75" customHeight="1">
      <c r="A131" s="42" t="inlineStr">
        <is>
          <t>Reason label</t>
        </is>
      </c>
      <c r="B131" s="41" t="inlineStr">
        <is>
          <t>WarRoom not created despite nationwide disruption</t>
        </is>
      </c>
      <c r="C131" s="41" t="inlineStr">
        <is>
          <t>Expected EventWatch coverage, alerting, notification, or WarRoom action did not occur.</t>
        </is>
      </c>
      <c r="D131" s="41" t="inlineStr">
        <is>
          <t>Use only when supported by Comments and Missed_Flag</t>
        </is>
      </c>
      <c r="E131" s="41" t="inlineStr">
        <is>
          <t>Reason</t>
        </is>
      </c>
    </row>
    <row r="132" ht="30.75" customHeight="1">
      <c r="A132" s="42" t="inlineStr">
        <is>
          <t>Reason label</t>
        </is>
      </c>
      <c r="B132" s="41" t="inlineStr">
        <is>
          <t>WarRoom not visible in customer profile</t>
        </is>
      </c>
      <c r="C132" s="41" t="inlineStr">
        <is>
          <t>Published content was not visible in the customer profile or portal.</t>
        </is>
      </c>
      <c r="D132" s="41" t="inlineStr">
        <is>
          <t>Use only when supported by Comments and Missed_Flag</t>
        </is>
      </c>
      <c r="E132" s="41" t="inlineStr">
        <is>
          <t>Reason</t>
        </is>
      </c>
    </row>
    <row r="133" ht="30.75" customHeight="1">
      <c r="A133" s="42" t="inlineStr">
        <is>
          <t>Reason label</t>
        </is>
      </c>
      <c r="B133" s="41" t="inlineStr">
        <is>
          <t>WarRoom should have been created but was not</t>
        </is>
      </c>
      <c r="C133" s="41" t="inlineStr">
        <is>
          <t>Available information met the escalation criteria, but the required WarRoom was not created.</t>
        </is>
      </c>
      <c r="D133" s="41" t="inlineStr">
        <is>
          <t>Use only when supported by Comments and Missed_Flag</t>
        </is>
      </c>
      <c r="E133" s="41" t="inlineStr">
        <is>
          <t>Reason</t>
        </is>
      </c>
    </row>
    <row r="134" ht="30.75" customHeight="1">
      <c r="A134" s="42" t="inlineStr">
        <is>
          <t>Reason label</t>
        </is>
      </c>
      <c r="B134" s="41" t="inlineStr">
        <is>
          <t>WarRoom visibility affected by customer profile filters</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Wrong Relevancy</t>
        </is>
      </c>
      <c r="C135" s="41" t="inlineStr">
        <is>
          <t>The relevance classification of an event or alert was disputed or incorrect.</t>
        </is>
      </c>
      <c r="D135" s="41" t="inlineStr">
        <is>
          <t>Use only when supported by Comments and Missed_Flag</t>
        </is>
      </c>
      <c r="E135" s="41" t="inlineStr">
        <is>
          <t>Reason</t>
        </is>
      </c>
    </row>
    <row r="136" ht="30.75" customHeight="1">
      <c r="A136" s="42" t="inlineStr">
        <is>
          <t>Event type</t>
        </is>
      </c>
      <c r="B136" s="41" t="inlineStr">
        <is>
          <t>Hurricane/Typhoon</t>
        </is>
      </c>
      <c r="C136" s="41" t="inlineStr">
        <is>
          <t>Tropical cyclone classified as a hurricane or typhoon, with potential geographic, operational, or supply-chain impact.</t>
        </is>
      </c>
      <c r="D136" s="41" t="inlineStr">
        <is>
          <t>Use specifically for hurricanes and typhoons rather than the broader Extreme Weather category.</t>
        </is>
      </c>
      <c r="E136" s="41" t="inlineStr">
        <is>
          <t>Event type</t>
        </is>
      </c>
    </row>
    <row r="137" ht="30.75" customHeight="1">
      <c r="A137" s="42" t="inlineStr">
        <is>
          <t>Event type</t>
        </is>
      </c>
      <c r="B137" s="41" t="inlineStr">
        <is>
          <t>Other</t>
        </is>
      </c>
      <c r="C137" s="41" t="inlineStr">
        <is>
          <t>Event or inquiry category that does not fit any available standardized Event type.</t>
        </is>
      </c>
      <c r="D137" s="41" t="inlineStr">
        <is>
          <t>Use only when no specific standard category applies; explain the subject in the title and comments.</t>
        </is>
      </c>
      <c r="E137"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