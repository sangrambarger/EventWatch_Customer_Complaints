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12</v>
                </pt>
                <pt idx="3">
                  <v>11</v>
                </pt>
                <pt idx="4">
                  <v>17</v>
                </pt>
                <pt idx="5">
                  <v>9</v>
                </pt>
                <pt idx="6">
                  <v>7</v>
                </pt>
                <pt idx="7">
                  <v>13</v>
                </pt>
                <pt idx="8">
                  <v>14</v>
                </pt>
                <pt idx="9">
                  <v>8</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2</v>
                </pt>
                <pt idx="3">
                  <v>2</v>
                </pt>
                <pt idx="4">
                  <v>2</v>
                </pt>
                <pt idx="5">
                  <v>3</v>
                </pt>
                <pt idx="6">
                  <v>4</v>
                </pt>
                <pt idx="7">
                  <v>5</v>
                </pt>
                <pt idx="8">
                  <v>4</v>
                </pt>
                <pt idx="9">
                  <v>2</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46</v>
                </pt>
                <pt idx="1">
                  <v>40</v>
                </pt>
                <pt idx="2">
                  <v>14</v>
                </pt>
                <pt idx="3">
                  <v>3</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109</v>
                </pt>
                <pt idx="3">
                  <v>13</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59</v>
                </pt>
                <pt idx="1">
                  <v>43</v>
                </pt>
                <pt idx="2">
                  <v>1</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Belden Inc</v>
                </pt>
                <pt idx="5">
                  <v>GM</v>
                </pt>
                <pt idx="6">
                  <v>Ford/GM</v>
                </pt>
                <pt idx="7">
                  <v>General Mills</v>
                </pt>
                <pt idx="8">
                  <v>Irving Oil</v>
                </pt>
                <pt idx="9">
                  <v>META</v>
                </pt>
                <pt idx="10">
                  <v>Other customers</v>
                </pt>
              </strCache>
            </strRef>
          </cat>
          <val>
            <numRef>
              <f>Dashboard!$B$67:$B$77</f>
              <numCache>
                <formatCode>General</formatCode>
                <ptCount val="11"/>
                <pt idx="0">
                  <v>34</v>
                </pt>
                <pt idx="1">
                  <v>13</v>
                </pt>
                <pt idx="2">
                  <v>7</v>
                </pt>
                <pt idx="3">
                  <v>5</v>
                </pt>
                <pt idx="4">
                  <v>4</v>
                </pt>
                <pt idx="5">
                  <v>4</v>
                </pt>
                <pt idx="6">
                  <v>3</v>
                </pt>
                <pt idx="7">
                  <v>2</v>
                </pt>
                <pt idx="8">
                  <v>2</v>
                </pt>
                <pt idx="9">
                  <v>2</v>
                </pt>
                <pt idx="10">
                  <v>27</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Dashboard!$E$67:$E$76</f>
              <strCache>
                <ptCount val="10"/>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pt idx="9">
                  <v>Classification &amp; Impact Validation</v>
                </pt>
              </strCache>
            </strRef>
          </cat>
          <val>
            <numRef>
              <f>Dashboard!$F$67:$F$76</f>
              <numCache>
                <formatCode>General</formatCode>
                <ptCount val="10"/>
                <pt idx="0">
                  <v>33</v>
                </pt>
                <pt idx="1">
                  <v>36</v>
                </pt>
                <pt idx="2">
                  <v>5</v>
                </pt>
                <pt idx="3">
                  <v>4</v>
                </pt>
                <pt idx="4">
                  <v>8</v>
                </pt>
                <pt idx="5">
                  <v>1</v>
                </pt>
                <pt idx="6">
                  <v>4</v>
                </pt>
                <pt idx="7">
                  <v>2</v>
                </pt>
                <pt idx="8">
                  <v>8</v>
                </pt>
                <pt idx="9">
                  <v>2</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9"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67"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9"/>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Keyword Update</t>
        </is>
      </c>
      <c r="K4" s="33" t="inlineStr">
        <is>
          <t>Improvement</t>
        </is>
      </c>
      <c r="L4" s="33" t="inlineStr">
        <is>
          <t>Fixed</t>
        </is>
      </c>
      <c r="M4" s="33" t="inlineStr">
        <is>
          <t>Customer link ingestion</t>
        </is>
      </c>
      <c r="N4" s="33" t="inlineStr">
        <is>
          <t>No</t>
        </is>
      </c>
      <c r="O4" s="33" t="inlineStr">
        <is>
          <t>Feed harvesting gap; WarRoom created after escalation. Settled by the owner on 18-Oct-2026: no analyst can review an event they never saw, so this is a capture gap and not an identification failure. Keyword Update.</t>
        </is>
      </c>
      <c r="P4" s="33" t="n"/>
      <c r="Q4" s="33" t="inlineStr">
        <is>
          <t>Yes</t>
        </is>
      </c>
      <c r="R4" s="39" t="n">
        <v>1</v>
      </c>
      <c r="S4" s="39" t="n"/>
      <c r="T4" s="35" t="n">
        <v>46023</v>
      </c>
      <c r="U4" s="33" t="inlineStr">
        <is>
          <t>Medium</t>
        </is>
      </c>
      <c r="V4" s="33" t="inlineStr">
        <is>
          <t>Dynamic Source Discovery</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Review</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 Settled by the owner on 18-Oct-2026: an analyst moved the snowstorm to monitoring in error, which is a judgement failure. People and Review.</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People</t>
        </is>
      </c>
      <c r="J11" s="33" t="inlineStr">
        <is>
          <t>WarRoom Creation</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 Settled by the owner: the bulletin was already published. The analyst selected the wrong event type and reviewer validation did not correct it. This is an analyst-understanding and classification complaint, not a missed bulletin, so Missed_Flag is No. Settled by the owner on 18-Oct-2026: notifying the event and creating the WarRoom are two steps issued together, and here the event went out with no WarRoom attached. The WarRoom was created after the customer wrote in, so the sub-type is WarRoom Creation and Missed_Flag stays No.</t>
        </is>
      </c>
      <c r="P11" s="33" t="n"/>
      <c r="Q11" s="33" t="inlineStr">
        <is>
          <t>No</t>
        </is>
      </c>
      <c r="R11" s="39" t="n">
        <v>2</v>
      </c>
      <c r="S11" s="39" t="n"/>
      <c r="T11" s="35" t="n">
        <v>46054</v>
      </c>
      <c r="U11" s="33" t="inlineStr">
        <is>
          <t>Medium</t>
        </is>
      </c>
      <c r="V11" s="33" t="inlineStr">
        <is>
          <t>WarRoom &amp; Decision Validation</t>
        </is>
      </c>
      <c r="X11" s="33" t="n"/>
      <c r="Y11" s="33" t="inlineStr">
        <is>
          <t>EventWatch Ops - Nitin Rindhe</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 / Routing Defect</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 Cross-Tenant Data Contamination.</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Model Classification Defect</t>
        </is>
      </c>
      <c r="K17" s="33" t="inlineStr">
        <is>
          <t>Improvement</t>
        </is>
      </c>
      <c r="L17" s="33" t="inlineStr">
        <is>
          <t>Clarification Provided</t>
        </is>
      </c>
      <c r="M17" s="33" t="inlineStr">
        <is>
          <t>A not-impactful decision check on captured incidents at manufacturing sites, so a factory fire is not closed out before an analyst has weighed it; and relevance scoring that stops treating supplier mapping as a dominant decision factor, so an unmapped site is judged on incident severity and downstream supply chain potential instead</t>
        </is>
      </c>
      <c r="N17" s="33" t="inlineStr">
        <is>
          <t>No</t>
        </is>
      </c>
      <c r="O17" s="33" t="inlineStr">
        <is>
          <t>Event not triggered due to company not mapped as Ford supplier; explanation provided. Settled by the owner on 18-Oct-2026: this is the same failure as the ADM data breach row. The articles were captured and the classification models categorised them Not Impactful, and the human-in-the-loop review did not correct it. Product and Model Classification Defect. The earlier note that the company was not mapped as a Ford supplier is superseded by this finding. Settled by the owner on 18-Oct-2026: the remedy and the focus follow the corrected cause. The mapping-explanation template and Entity and Supplier Resolution described the superseded theory, not the failure.</t>
        </is>
      </c>
      <c r="P17" s="33" t="n"/>
      <c r="Q17" s="33" t="inlineStr">
        <is>
          <t>Yes</t>
        </is>
      </c>
      <c r="R17" s="39" t="n">
        <v>3</v>
      </c>
      <c r="S17" s="39" t="n"/>
      <c r="T17" s="35" t="n">
        <v>46082</v>
      </c>
      <c r="U17" s="33" t="inlineStr">
        <is>
          <t>Medium</t>
        </is>
      </c>
      <c r="V17" s="33" t="inlineStr">
        <is>
          <t>Classification &amp; Impact Validation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Inquiry</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Model Classification Defect</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 Settled by the owner: the Product model incorrectly classified the captured event as Not Impactful, and human review did not correct the classification. Filed under the model defect rather than Review, because the first wrong call was the model's.</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Inquiry</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 Settled by the owner: the claimed news was not available in the public domain, so EventWatch could not report it. No EventWatch failure was established, so this is an Inquiry and Missed_Flag is No. Kept under Process Clarification rather than adding a Scope or Threshold Clarification sub-type.</t>
        </is>
      </c>
      <c r="P24" s="33" t="n"/>
      <c r="Q24" s="33" t="inlineStr">
        <is>
          <t>No</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Published Late</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 Settled by the owner on 18-Oct-2026: both the bulletin and the WarRoom went out after the customer email. The guidance was applied correctly while the event was under monitoring, so no decision was wrong; what came late was the escalation once the impact threshold was met. People and Published Late, Missed_Flag stays Yes.</t>
        </is>
      </c>
      <c r="P26" s="33" t="inlineStr">
        <is>
          <t>~1 day (Mar 26 to Mar 27)</t>
        </is>
      </c>
      <c r="Q26" s="33" t="inlineStr">
        <is>
          <t>Yes</t>
        </is>
      </c>
      <c r="R26" s="39" t="n">
        <v>3</v>
      </c>
      <c r="S26" s="39" t="n">
        <v>24</v>
      </c>
      <c r="T26" s="35" t="n">
        <v>46082</v>
      </c>
      <c r="U26" s="33" t="inlineStr">
        <is>
          <t>Medium</t>
        </is>
      </c>
      <c r="V26" s="33" t="inlineStr">
        <is>
          <t>WarRoom &amp; Decision Validation</t>
        </is>
      </c>
      <c r="X26" s="33" t="inlineStr">
        <is>
          <t>EventWatch monitored the Midwest weather threat from the point it was first identified. While it was thunderstorm activity and tornado warnings it was correctly held under monitoring, because the guidelines notify those only on confirmed impact such as structural damage, infrastructure disruption, transport interruption or utility outage. Public reports then confirmed structural damage in Hardin County and Kenton, Ohio, and a tornado touchdown, which met the notification criteria. The bulletin and the WarRoom were prepared and issued only after Ford wrote in on 27-Mar-2026, so the escalation at the point the threshold was crossed came late.</t>
        </is>
      </c>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Analyst Review Miss</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 Blocked initial source.</t>
        </is>
      </c>
      <c r="P29" s="33" t="inlineStr">
        <is>
          <t>25 days</t>
        </is>
      </c>
      <c r="Q29" s="33" t="inlineStr">
        <is>
          <t>Yes</t>
        </is>
      </c>
      <c r="R29" s="39" t="n">
        <v>4</v>
      </c>
      <c r="S29" s="39" t="n">
        <v>600</v>
      </c>
      <c r="T29" s="35" t="n">
        <v>46113</v>
      </c>
      <c r="U29" s="33" t="inlineStr">
        <is>
          <t>Medium</t>
        </is>
      </c>
      <c r="V29" s="33" t="inlineStr">
        <is>
          <t>WarRoom &amp; Decision Validation</t>
        </is>
      </c>
      <c r="X29" s="33" t="inlineStr">
        <is>
          <t>The initial source associated with the Murata cyberattack was blocked. During review, the event was misclassified and was not escalated at the appropriate time, resulting in a missed WarRoom and delayed customer notification. The case was reviewed with the reporting team, validation requirements were reinforced, and additional focus was placed on cyber events and blocked-source scenarios. The primary root cause was an incorrect review and escalation decision; the blocked source was a contributing factor.</t>
        </is>
      </c>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Platform Bug</t>
        </is>
      </c>
      <c r="K31" s="33" t="inlineStr">
        <is>
          <t>Bug</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 Settled by the owner on 18-Oct-2026: this is an engineering defect, not a mapping gap. The four omitted sites met the customer settings and the impact-region criteria, so the targets were on file and the system did not send to them. Product and Platform Bug, and it stays a miss. Settled by the owner on 18-Oct-2026: recorded as a Bug rather than an Improvement, to match the Platform Bug sub-type. The ticket documented no root cause at the time, so the defect is confirmed by the owner rather than by the record.</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Review</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 Settled by the owner on 18-Oct-2026: the model identified the event correctly and the analyst got the impact call wrong, which is People and Review.</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Review</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 Settled by the owner on 18-Oct-2026: the analyst did not run the company-mapping check before marking the story Not Impactful. The process existed and a person skipped it, so the row is People and Review with the process-adherence finding recorded here, not a Process root cause. Missed_Flag stays Yes.</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People</t>
        </is>
      </c>
      <c r="J41" s="33" t="inlineStr">
        <is>
          <t>Published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inlineStr">
        <is>
          <t>The first public report was published on April 28, 2026, at 3:07 PM PST. EventWatch captured the report at 4:39 PM PST and correctly identified it as an event. The reporting team subsequently deprioritized the event despite indications of increasing severity, delaying escalation. Additional feeds received on April 29 prompted reassessment, and a WarRoom was created at 1:02 PM PST. The investigation concluded that this was an analysis and escalation lapse rather than a detection gap.</t>
        </is>
      </c>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Inquiry</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Keyword Update</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 Settled by the owner on 18-Oct-2026: the record's own finding names a keyword gap, so the row is filed Keyword Update rather than Event Identification.</t>
        </is>
      </c>
      <c r="P54" s="33" t="n"/>
      <c r="Q54" s="33" t="inlineStr">
        <is>
          <t>Yes</t>
        </is>
      </c>
      <c r="R54" s="39" t="n">
        <v>5</v>
      </c>
      <c r="S54" s="39" t="n"/>
      <c r="T54" s="35" t="n">
        <v>46143</v>
      </c>
      <c r="U54" s="33" t="inlineStr">
        <is>
          <t>Medium</t>
        </is>
      </c>
      <c r="V54" s="33" t="inlineStr">
        <is>
          <t>Dynamic Source Discovery</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Published Late</t>
        </is>
      </c>
      <c r="K55" s="33" t="inlineStr">
        <is>
          <t>Improvement</t>
        </is>
      </c>
      <c r="L55" s="33" t="inlineStr">
        <is>
          <t>Fixed</t>
        </is>
      </c>
      <c r="M55" s="33" t="inlineStr">
        <is>
          <t>Escalation timeliness check on a mapped supplier, so a bulletin that has been sitting unpublished is raised before the customer asks for it</t>
        </is>
      </c>
      <c r="N55" s="33" t="inlineStr">
        <is>
          <t>Yes</t>
        </is>
      </c>
      <c r="O55" s="33" t="inlineStr">
        <is>
          <t>NVR asked why no WarRoom appeared for SRS Distribution's completed acquisition of Mingledorff's. The supplier was mapped; the entire bulletin was published late, nine days after the event of 11-May-2026. Internal notes record erosion of trust. Settled by the owner: this is a publishing delay, not a mapping failure and not a ranking decision, so the Sub-type is Published Late and the focus moves off Entity &amp; Supplier Resolution to WarRoom &amp; Decision Validation, where the other two Published Late rows sit. The earlier Prioritization filing and the Mapping validation remedy both described causes the record does not support.</t>
        </is>
      </c>
      <c r="P55" s="33" t="inlineStr">
        <is>
          <t>~9 days (May 11 → May 20)</t>
        </is>
      </c>
      <c r="Q55" s="33" t="inlineStr">
        <is>
          <t>Yes</t>
        </is>
      </c>
      <c r="R55" s="39" t="n">
        <v>5</v>
      </c>
      <c r="S55" s="39" t="n">
        <v>216</v>
      </c>
      <c r="T55" s="35" t="n">
        <v>46143</v>
      </c>
      <c r="U55" s="33" t="inlineStr">
        <is>
          <t>Medium</t>
        </is>
      </c>
      <c r="V55" s="33" t="inlineStr">
        <is>
          <t>WarRoom &amp; Decision Validation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Published Late</t>
        </is>
      </c>
      <c r="K56" s="33" t="inlineStr">
        <is>
          <t>Improvement</t>
        </is>
      </c>
      <c r="L56" s="33" t="inlineStr">
        <is>
          <t>Clarification Provided</t>
        </is>
      </c>
      <c r="M56" s="33" t="inlineStr">
        <is>
          <t>Escalation automation</t>
        </is>
      </c>
      <c r="N56" s="33" t="inlineStr">
        <is>
          <t>Yes</t>
        </is>
      </c>
      <c r="O56" s="33" t="inlineStr">
        <is>
          <t>The system successfully captured and classified the wildfire-related feeds on May 18, 2026. During analyst review, the event was placed under monitoring because early impact visibility was limited, and additional contextual validation was not performed. The event was reassessed after further updates on May 19 and escalated through WarRoom creation. Final classification: People - Published Late. Evidence Status: Confirmed RCA. The Sub-type remains Prioritization in this change set because Published Late is not yet an introduced value; it is recorded here as the final classification.</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Product</t>
        </is>
      </c>
      <c r="J57" s="33" t="inlineStr">
        <is>
          <t>Alerting Gap</t>
        </is>
      </c>
      <c r="K57" s="33" t="inlineStr">
        <is>
          <t>Bug</t>
        </is>
      </c>
      <c r="L57" s="33" t="inlineStr">
        <is>
          <t>RCA Shared</t>
        </is>
      </c>
      <c r="M57" s="33" t="inlineStr">
        <is>
          <t>Escalation automation</t>
        </is>
      </c>
      <c r="N57" s="33" t="inlineStr">
        <is>
          <t>Yes</t>
        </is>
      </c>
      <c r="O57" s="33" t="inlineStr">
        <is>
          <t>The EventWatch system successfully captured wildfire-related feeds on May 19, 2026. A feed-ingestion failure prevented the feeds from reaching the EventWatch portal and reporting workflow for analyst review and escalation. Additional updates on May 20 became available in the workflow, after which the event was reviewed and escalated through WarRoom creation. Alerting Gap Type: Captured Feed Not Surfaced to Analyst Workflow. Evidence Status: Confirmed. This is an Alerting Gap because analysts did not have usable workflow visibility before the customer-impacting delay. The fact that analysts reviewed the event after it became available does not change the originating root cause.</t>
        </is>
      </c>
      <c r="P57" s="33" t="inlineStr">
        <is>
          <t>~21 hours</t>
        </is>
      </c>
      <c r="Q57" s="33" t="inlineStr">
        <is>
          <t>Yes</t>
        </is>
      </c>
      <c r="R57" s="39" t="n">
        <v>5</v>
      </c>
      <c r="S57" s="39" t="n">
        <v>21</v>
      </c>
      <c r="T57" s="35" t="n">
        <v>46143</v>
      </c>
      <c r="U57" s="33" t="inlineStr">
        <is>
          <t>Medium</t>
        </is>
      </c>
      <c r="V57" s="33" t="inlineStr">
        <is>
          <t>Notification Visibility Monitoring</t>
        </is>
      </c>
      <c r="X57" s="33" t="n"/>
      <c r="Y57" s="33" t="inlineStr">
        <is>
          <t>Product &amp; Platform</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46143</v>
      </c>
      <c r="B60" s="37" t="n">
        <v>46170</v>
      </c>
      <c r="C60" s="33" t="inlineStr">
        <is>
          <t>Labor Disruption</t>
        </is>
      </c>
      <c r="D60" s="33" t="inlineStr">
        <is>
          <t>Collins Aerospace</t>
        </is>
      </c>
      <c r="E60" s="39" t="n">
        <v>1</v>
      </c>
      <c r="F60" s="33" t="inlineStr">
        <is>
          <t>Potential Strike Action at Thales Defence Facilities in Glasgow and Reading, UK</t>
        </is>
      </c>
      <c r="G60" s="33" t="inlineStr">
        <is>
          <t>Complaint</t>
        </is>
      </c>
      <c r="H60" s="33" t="inlineStr">
        <is>
          <t>Delayed WarRoom</t>
        </is>
      </c>
      <c r="I60" s="33" t="inlineStr">
        <is>
          <t>Product</t>
        </is>
      </c>
      <c r="J60" s="33" t="inlineStr">
        <is>
          <t>Alerting Gap</t>
        </is>
      </c>
      <c r="K60" s="33" t="inlineStr">
        <is>
          <t>Bug</t>
        </is>
      </c>
      <c r="L60" s="33" t="inlineStr">
        <is>
          <t>RCA Shared</t>
        </is>
      </c>
      <c r="M60" s="33" t="inlineStr">
        <is>
          <t>Feed-to-portal ingestion monitoring, so an upstream-identified feed that fails to enter the portal workflow is detected before the reporting and escalation queues go without it</t>
        </is>
      </c>
      <c r="N60" s="33" t="inlineStr">
        <is>
          <t>Yes</t>
        </is>
      </c>
      <c r="O60" s="33" t="inlineStr">
        <is>
          <t>Relevant labor-action feeds were identified upstream but were not ingested into the EventWatch portal workflow on May 26, 2026. The feeds therefore did not reach the reporting and escalation queues in time. The WarRoom was created on May 28, 2026. Internal validation confirmed an ingestion gap between feed capture and portal availability. Raised by Steven Brandt in the complaint thread on 28-May-2026; no Jira ticket was opened. Alerting Gap Type: Feed-to-Portal Ingestion Failure. Evidence Status: Confirmed.</t>
        </is>
      </c>
      <c r="P60" s="33" t="inlineStr">
        <is>
          <t>~2 days (26-May articles → 28-May WarRoom)</t>
        </is>
      </c>
      <c r="Q60" s="33" t="inlineStr">
        <is>
          <t>Yes</t>
        </is>
      </c>
      <c r="R60" s="39" t="n">
        <v>5</v>
      </c>
      <c r="S60" s="39" t="n"/>
      <c r="T60" s="35" t="inlineStr">
        <is>
          <t>May 2026</t>
        </is>
      </c>
      <c r="U60" s="33" t="inlineStr">
        <is>
          <t>Medium</t>
        </is>
      </c>
      <c r="V60" s="33" t="inlineStr">
        <is>
          <t>Notification Visibility Monitoring</t>
        </is>
      </c>
      <c r="W60" s="33" t="n"/>
      <c r="X60" s="33" t="inlineStr">
        <is>
          <t>The feeds were identified upstream but were not ingested into the EventWatch portal workflow, which prevented them from reaching the reporting and escalation queues in a timely manner. Internal review confirmed an ingestion gap between feed capture and portal availability.</t>
        </is>
      </c>
      <c r="Y60" s="33" t="inlineStr">
        <is>
          <t>Product &amp; Platform</t>
        </is>
      </c>
      <c r="Z60" s="37" t="n"/>
    </row>
    <row r="61">
      <c r="A61" s="35" t="n">
        <v>46174</v>
      </c>
      <c r="B61" s="37" t="n">
        <v>46176</v>
      </c>
      <c r="C61" s="33" t="inlineStr">
        <is>
          <t>Bankruptcy</t>
        </is>
      </c>
      <c r="D61" s="33" t="inlineStr">
        <is>
          <t>Ford</t>
        </is>
      </c>
      <c r="E61" s="39" t="n">
        <v>1</v>
      </c>
      <c r="F61" s="33" t="inlineStr">
        <is>
          <t>CROMTRYCK s.r.o. Insolvency (Czech Republic)</t>
        </is>
      </c>
      <c r="G61" s="33" t="inlineStr">
        <is>
          <t>Complaint</t>
        </is>
      </c>
      <c r="H61" s="33" t="inlineStr">
        <is>
          <t>Missed Event</t>
        </is>
      </c>
      <c r="I61" s="33" t="inlineStr">
        <is>
          <t>Product</t>
        </is>
      </c>
      <c r="J61" s="33" t="inlineStr">
        <is>
          <t>Source Coverage</t>
        </is>
      </c>
      <c r="K61" s="33" t="inlineStr">
        <is>
          <t>Improvement</t>
        </is>
      </c>
      <c r="L61" s="33" t="inlineStr">
        <is>
          <t>Fixed</t>
        </is>
      </c>
      <c r="M61" s="33" t="inlineStr">
        <is>
          <t>Dynamic Source Discovery</t>
        </is>
      </c>
      <c r="N61" s="33" t="inlineStr">
        <is>
          <t>Yes</t>
        </is>
      </c>
      <c r="O61" s="33" t="inlineStr">
        <is>
          <t>Missed insolvency event due to regional insolvency source coverage limitations and restricted/paywalled source visibility. Vendor source expansion requested.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46177</v>
      </c>
      <c r="C62" s="33" t="inlineStr">
        <is>
          <t>Protest/Riot</t>
        </is>
      </c>
      <c r="D62" s="34" t="inlineStr">
        <is>
          <t>Ford</t>
        </is>
      </c>
      <c r="E62" s="39" t="n">
        <v>1</v>
      </c>
      <c r="F62" s="33" t="inlineStr">
        <is>
          <t>ANTAC Transport Blockades in Mexico</t>
        </is>
      </c>
      <c r="G62" s="33" t="inlineStr">
        <is>
          <t>Complaint</t>
        </is>
      </c>
      <c r="H62" s="33" t="inlineStr">
        <is>
          <t>Missed Event</t>
        </is>
      </c>
      <c r="I62" s="33" t="inlineStr">
        <is>
          <t>Product</t>
        </is>
      </c>
      <c r="J62" s="33" t="inlineStr">
        <is>
          <t>Keyword Update</t>
        </is>
      </c>
      <c r="K62" s="33" t="inlineStr">
        <is>
          <t>Improvement</t>
        </is>
      </c>
      <c r="L62" s="33" t="inlineStr">
        <is>
          <t>RCA Shared</t>
        </is>
      </c>
      <c r="M62" s="33" t="inlineStr">
        <is>
          <t>Dynamic Source Discovery</t>
        </is>
      </c>
      <c r="N62" s="33" t="inlineStr">
        <is>
          <t>Yes</t>
        </is>
      </c>
      <c r="O62" s="33" t="inlineStr">
        <is>
          <t>RCA completed; keyword gap identified and corrective actions implemented. Spanish-language detection logic did not recognize transportation disruption and protest terminology. Relevant keywords were added.</t>
        </is>
      </c>
      <c r="P62" s="33" t="n"/>
      <c r="Q62" s="33" t="inlineStr">
        <is>
          <t>Yes</t>
        </is>
      </c>
      <c r="R62" s="39" t="n">
        <v>6</v>
      </c>
      <c r="S62" s="39" t="n"/>
      <c r="T62" s="35" t="n">
        <v>46174</v>
      </c>
      <c r="U62" s="33" t="inlineStr">
        <is>
          <t>Medium</t>
        </is>
      </c>
      <c r="V62" s="33" t="inlineStr">
        <is>
          <t>Multilingual Keyword Expansion</t>
        </is>
      </c>
      <c r="X62" s="33" t="n"/>
      <c r="Y62" s="33" t="inlineStr">
        <is>
          <t>Product &amp; Platform</t>
        </is>
      </c>
      <c r="Z62" s="37" t="n"/>
    </row>
    <row r="63">
      <c r="A63" s="35" t="n">
        <v>46174</v>
      </c>
      <c r="B63" s="37" t="n">
        <v>46178</v>
      </c>
      <c r="C63" s="33" t="inlineStr">
        <is>
          <t>Factory Disruption</t>
        </is>
      </c>
      <c r="D63" s="33" t="inlineStr">
        <is>
          <t>Eaton</t>
        </is>
      </c>
      <c r="E63" s="39" t="n">
        <v>1</v>
      </c>
      <c r="F63" s="33" t="inlineStr">
        <is>
          <t>Burnstein von Seelen Precision Casting Operational Disruption</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escalation model + Not Impactful override validation</t>
        </is>
      </c>
      <c r="N63" s="33" t="inlineStr">
        <is>
          <t>Yes</t>
        </is>
      </c>
      <c r="O63" s="33" t="inlineStr">
        <is>
          <t>RCA shared; analyst classified event as Not Impactful. Event was successfully received and reviewed but incorrectly classified and therefore not escalated.</t>
        </is>
      </c>
      <c r="P63" s="33" t="n"/>
      <c r="Q63" s="33" t="inlineStr">
        <is>
          <t>Yes</t>
        </is>
      </c>
      <c r="R63" s="39" t="n">
        <v>6</v>
      </c>
      <c r="S63" s="39" t="n"/>
      <c r="T63" s="35" t="n">
        <v>46174</v>
      </c>
      <c r="U63" s="33" t="inlineStr">
        <is>
          <t>Medium</t>
        </is>
      </c>
      <c r="V63" s="33" t="inlineStr">
        <is>
          <t>WarRoom &amp; Decision Validation</t>
        </is>
      </c>
      <c r="W63" s="33" t="inlineStr">
        <is>
          <t>EAO-1</t>
        </is>
      </c>
      <c r="X63"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3" s="33" t="inlineStr">
        <is>
          <t>EventWatch Ops - Nitin Rindhe</t>
        </is>
      </c>
      <c r="Z63" s="37" t="n">
        <v>46181</v>
      </c>
    </row>
    <row r="64">
      <c r="A64" s="35" t="n">
        <v>46174</v>
      </c>
      <c r="B64" s="37" t="n">
        <v>46183</v>
      </c>
      <c r="C64" s="33" t="inlineStr">
        <is>
          <t>Merger &amp; Acquisition</t>
        </is>
      </c>
      <c r="D64" s="33" t="inlineStr">
        <is>
          <t>Ford</t>
        </is>
      </c>
      <c r="E64" s="39" t="n">
        <v>1</v>
      </c>
      <c r="F64" s="33" t="inlineStr">
        <is>
          <t>Credit Suisse / UBS Acquisition Alert Missing from EventWatch News Dashboard (Ford)</t>
        </is>
      </c>
      <c r="G64" s="33" t="inlineStr">
        <is>
          <t>Complaint</t>
        </is>
      </c>
      <c r="H64" s="33" t="inlineStr">
        <is>
          <t>News dashboard visibility gap</t>
        </is>
      </c>
      <c r="I64" s="33" t="inlineStr">
        <is>
          <t>Product</t>
        </is>
      </c>
      <c r="J64" s="33" t="inlineStr">
        <is>
          <t>Visibility</t>
        </is>
      </c>
      <c r="K64" s="33" t="inlineStr">
        <is>
          <t>Improvement</t>
        </is>
      </c>
      <c r="L64" s="33" t="inlineStr">
        <is>
          <t>Fixed</t>
        </is>
      </c>
      <c r="M64" s="33" t="inlineStr">
        <is>
          <t>Parity checking between Global Search and the EventWatch News Dashboard so a published alert cannot be findable in one and absent from the other</t>
        </is>
      </c>
      <c r="N64" s="33" t="inlineStr">
        <is>
          <t>No</t>
        </is>
      </c>
      <c r="O64"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4" s="33" t="n"/>
      <c r="Q64" s="33" t="inlineStr">
        <is>
          <t>No</t>
        </is>
      </c>
      <c r="R64" s="39" t="n">
        <v>6</v>
      </c>
      <c r="S64" s="39" t="n"/>
      <c r="T64" s="35" t="inlineStr">
        <is>
          <t>Jun 2026</t>
        </is>
      </c>
      <c r="U64" s="33" t="inlineStr">
        <is>
          <t>Medium</t>
        </is>
      </c>
      <c r="V64" s="33" t="inlineStr">
        <is>
          <t>Notification Visibility Monitoring</t>
        </is>
      </c>
      <c r="W64" s="33" t="inlineStr">
        <is>
          <t>CAN-3377</t>
        </is>
      </c>
      <c r="X64"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4" s="33" t="inlineStr">
        <is>
          <t>Product &amp; Platform</t>
        </is>
      </c>
      <c r="Z64" s="37" t="n"/>
    </row>
    <row r="65">
      <c r="A65" s="35" t="n">
        <v>46174</v>
      </c>
      <c r="B65" s="37" t="n">
        <v>46188</v>
      </c>
      <c r="C65" s="33" t="inlineStr">
        <is>
          <t>Chemical Spill</t>
        </is>
      </c>
      <c r="D65" s="33" t="inlineStr">
        <is>
          <t>Eaton</t>
        </is>
      </c>
      <c r="E65" s="39" t="n">
        <v>1</v>
      </c>
      <c r="F65" s="33" t="inlineStr">
        <is>
          <t>CO₂ Leak at Schaeffler India Plant, Pune</t>
        </is>
      </c>
      <c r="G65" s="33" t="inlineStr">
        <is>
          <t>Complaint</t>
        </is>
      </c>
      <c r="H65" s="33" t="inlineStr">
        <is>
          <t>Missed Event</t>
        </is>
      </c>
      <c r="I65" s="33" t="inlineStr">
        <is>
          <t>People</t>
        </is>
      </c>
      <c r="J65" s="33" t="inlineStr">
        <is>
          <t>Review</t>
        </is>
      </c>
      <c r="K65" s="33" t="inlineStr">
        <is>
          <t>Improvement</t>
        </is>
      </c>
      <c r="L65" s="33" t="inlineStr">
        <is>
          <t>RCA Shared</t>
        </is>
      </c>
      <c r="M65" s="33" t="inlineStr">
        <is>
          <t>Hazardous gas leak detection + mapped supplier escalation model</t>
        </is>
      </c>
      <c r="N65" s="33" t="inlineStr">
        <is>
          <t>Yes</t>
        </is>
      </c>
      <c r="O65" s="33" t="inlineStr">
        <is>
          <t>RCA document prepared and shared with customer. Customer reported missing EventWatch coverage related to a CO₂ leak involving fatalities at a mapped supplier facility. Settled by the owner on 18-Oct-2026: an analyst overlooked the event, so the root cause moves from Product to People and the row routes to EventWatch Ops.</t>
        </is>
      </c>
      <c r="P65" s="33" t="n"/>
      <c r="Q65" s="33" t="inlineStr">
        <is>
          <t>Yes</t>
        </is>
      </c>
      <c r="R65" s="39" t="n">
        <v>6</v>
      </c>
      <c r="S65" s="39" t="n"/>
      <c r="T65" s="35" t="n">
        <v>46174</v>
      </c>
      <c r="U65" s="33" t="inlineStr">
        <is>
          <t>Medium</t>
        </is>
      </c>
      <c r="V65" s="33" t="inlineStr">
        <is>
          <t>WarRoom &amp; Decision Validation</t>
        </is>
      </c>
      <c r="W65" s="33" t="inlineStr">
        <is>
          <t>EAO-4</t>
        </is>
      </c>
      <c r="X65" s="33" t="inlineStr">
        <is>
          <t>An analyst overlooked the event. Eaton reported missing EventWatch coverage of a CO2 leak involving fatalities at a mapped supplier facility; settled by the owner on 18-Oct-2026 as an analyst miss, which moved the root cause from Product to People and routed the row to EventWatch Ops. The RCA itself went to the customer on 15-Jun-2026 as a PDF whose text is not in the ticket.</t>
        </is>
      </c>
      <c r="Y65" s="33" t="inlineStr">
        <is>
          <t>EventWatch Ops - Nitin Rindhe</t>
        </is>
      </c>
      <c r="Z65" s="37" t="n">
        <v>46191</v>
      </c>
    </row>
    <row r="66">
      <c r="A66" s="35" t="n">
        <v>46174</v>
      </c>
      <c r="B66" s="37" t="n">
        <v>46188</v>
      </c>
      <c r="C66" s="33" t="inlineStr">
        <is>
          <t>Supply Shortage</t>
        </is>
      </c>
      <c r="D66" s="33" t="inlineStr">
        <is>
          <t>Belden Inc</t>
        </is>
      </c>
      <c r="E66" s="39" t="n">
        <v>1</v>
      </c>
      <c r="F66" s="33" t="inlineStr">
        <is>
          <t>MLCC Supply Chain Alert Related to AI Demand Growth</t>
        </is>
      </c>
      <c r="G66" s="33" t="inlineStr">
        <is>
          <t>Inquiry</t>
        </is>
      </c>
      <c r="H66" s="33" t="inlineStr">
        <is>
          <t>Coverage Verification Request</t>
        </is>
      </c>
      <c r="I66" s="33" t="inlineStr">
        <is>
          <t>Process</t>
        </is>
      </c>
      <c r="J66" s="33" t="inlineStr">
        <is>
          <t>Process Clarification</t>
        </is>
      </c>
      <c r="K66" s="33" t="inlineStr">
        <is>
          <t>Improvement</t>
        </is>
      </c>
      <c r="L66" s="33" t="inlineStr">
        <is>
          <t>Clarification Provided</t>
        </is>
      </c>
      <c r="M66" s="33" t="inlineStr">
        <is>
          <t>Forecast vs Event differentiation</t>
        </is>
      </c>
      <c r="N66" s="33" t="inlineStr">
        <is>
          <t>No</t>
        </is>
      </c>
      <c r="O66" s="33" t="inlineStr">
        <is>
          <t>Article was an investment and market outlook discussing future MLCC demand and did not meet EventWatch reporting thresholds.</t>
        </is>
      </c>
      <c r="P66" s="33" t="n"/>
      <c r="Q66" s="33" t="inlineStr">
        <is>
          <t>No</t>
        </is>
      </c>
      <c r="R66" s="39" t="n">
        <v>6</v>
      </c>
      <c r="S66" s="39" t="n"/>
      <c r="T66" s="35" t="n">
        <v>46174</v>
      </c>
      <c r="U66" s="33" t="inlineStr">
        <is>
          <t>Medium</t>
        </is>
      </c>
      <c r="V66" s="33" t="inlineStr">
        <is>
          <t>Other Control Automation</t>
        </is>
      </c>
      <c r="W66" s="33" t="inlineStr">
        <is>
          <t>EAO-8</t>
        </is>
      </c>
      <c r="X66"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6" s="33" t="inlineStr">
        <is>
          <t>EventWatch Ops - Nitin Rindhe</t>
        </is>
      </c>
      <c r="Z66" s="37" t="n">
        <v>46202</v>
      </c>
    </row>
    <row r="67">
      <c r="A67" s="35" t="n">
        <v>46174</v>
      </c>
      <c r="B67" s="37" t="n">
        <v>46196</v>
      </c>
      <c r="C67" s="33" t="inlineStr">
        <is>
          <t>Merger &amp; Acquisition</t>
        </is>
      </c>
      <c r="D67" s="33" t="inlineStr">
        <is>
          <t>Caterpillar</t>
        </is>
      </c>
      <c r="E67" s="39" t="n">
        <v>1</v>
      </c>
      <c r="F67" s="33" t="inlineStr">
        <is>
          <t>Dana Incorporated to Merge with Eaton's Mobility Business</t>
        </is>
      </c>
      <c r="G67" s="33" t="inlineStr">
        <is>
          <t>Complaint</t>
        </is>
      </c>
      <c r="H67" s="33" t="inlineStr">
        <is>
          <t>Impacted Supplier Missing</t>
        </is>
      </c>
      <c r="I67" s="33" t="inlineStr">
        <is>
          <t>People</t>
        </is>
      </c>
      <c r="J67" s="33" t="inlineStr">
        <is>
          <t>Supplier Selection Miss</t>
        </is>
      </c>
      <c r="K67" s="33" t="inlineStr">
        <is>
          <t>Improvement</t>
        </is>
      </c>
      <c r="L67" s="33" t="inlineStr">
        <is>
          <t>RCA Shared</t>
        </is>
      </c>
      <c r="M67" s="33" t="inlineStr">
        <is>
          <t>Supplier relationship validation + impacted entity completeness checks</t>
        </is>
      </c>
      <c r="N67" s="33" t="inlineStr">
        <is>
          <t>Yes</t>
        </is>
      </c>
      <c r="O67" s="33" t="inlineStr">
        <is>
          <t>Customer-facing RCA requested and RCA document prepared. Dana Holding Corporation was not included in impacted supplier selection during initial WarRoom creation and was subsequently added.</t>
        </is>
      </c>
      <c r="P67" s="33" t="n"/>
      <c r="Q67" s="33" t="inlineStr">
        <is>
          <t>No</t>
        </is>
      </c>
      <c r="R67" s="39" t="n">
        <v>6</v>
      </c>
      <c r="S67" s="39" t="n"/>
      <c r="T67" s="35" t="n">
        <v>46174</v>
      </c>
      <c r="U67" s="33" t="inlineStr">
        <is>
          <t>Medium</t>
        </is>
      </c>
      <c r="V67" s="33" t="inlineStr">
        <is>
          <t>Entity &amp; Supplier Resolution</t>
        </is>
      </c>
      <c r="W67" s="33" t="inlineStr">
        <is>
          <t>EAO-6</t>
        </is>
      </c>
      <c r="X67"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7" s="33" t="inlineStr">
        <is>
          <t>EventWatch Ops - Nitin Rindhe</t>
        </is>
      </c>
      <c r="Z67" s="37" t="n">
        <v>46217</v>
      </c>
    </row>
    <row r="68">
      <c r="A68" s="35" t="n">
        <v>46174</v>
      </c>
      <c r="B68" s="37" t="n">
        <v>46196</v>
      </c>
      <c r="C68" s="33" t="inlineStr">
        <is>
          <t>Geopolitical</t>
        </is>
      </c>
      <c r="D68" s="33" t="inlineStr">
        <is>
          <t>Western Digital</t>
        </is>
      </c>
      <c r="E68" s="39" t="n">
        <v>1</v>
      </c>
      <c r="F68" s="33" t="inlineStr">
        <is>
          <t>Inquiry on Route Disruption – Sepone Bridge, Laos</t>
        </is>
      </c>
      <c r="G68" s="33" t="inlineStr">
        <is>
          <t>Inquiry</t>
        </is>
      </c>
      <c r="H68" s="33" t="inlineStr">
        <is>
          <t>Customer Requested Verification</t>
        </is>
      </c>
      <c r="I68" s="33" t="inlineStr">
        <is>
          <t>Process</t>
        </is>
      </c>
      <c r="J68" s="33" t="inlineStr">
        <is>
          <t>Process Clarification</t>
        </is>
      </c>
      <c r="K68" s="33" t="inlineStr">
        <is>
          <t>Improvement</t>
        </is>
      </c>
      <c r="L68" s="33" t="inlineStr">
        <is>
          <t>Clarification Provided</t>
        </is>
      </c>
      <c r="M68" s="33" t="inlineStr">
        <is>
          <t>Route-risk monitoring enhancement</t>
        </is>
      </c>
      <c r="N68" s="33" t="inlineStr">
        <is>
          <t>No</t>
        </is>
      </c>
      <c r="O68" s="33" t="inlineStr">
        <is>
          <t>Review of English and local-language sources did not identify any verified disruption, closure, or logistic impact.</t>
        </is>
      </c>
      <c r="P68" s="33" t="n"/>
      <c r="Q68" s="33" t="inlineStr">
        <is>
          <t>No</t>
        </is>
      </c>
      <c r="R68" s="39" t="n">
        <v>6</v>
      </c>
      <c r="S68" s="39" t="n"/>
      <c r="T68" s="35" t="n">
        <v>46174</v>
      </c>
      <c r="U68" s="33" t="inlineStr">
        <is>
          <t>Medium</t>
        </is>
      </c>
      <c r="V68" s="33" t="inlineStr">
        <is>
          <t>Other Control Automation</t>
        </is>
      </c>
      <c r="W68" s="33" t="inlineStr">
        <is>
          <t>EAO-7</t>
        </is>
      </c>
      <c r="X68"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8" s="33" t="inlineStr">
        <is>
          <t>EventWatch Ops - Nitin Rindhe</t>
        </is>
      </c>
      <c r="Z68" s="37" t="n">
        <v>46198</v>
      </c>
    </row>
    <row r="69">
      <c r="A69" s="35" t="n">
        <v>46174</v>
      </c>
      <c r="B69" s="37" t="n">
        <v>46197</v>
      </c>
      <c r="C69" s="33" t="inlineStr">
        <is>
          <t>Cyber Attack</t>
        </is>
      </c>
      <c r="D69" s="33" t="inlineStr">
        <is>
          <t>Western Digital</t>
        </is>
      </c>
      <c r="E69" s="39" t="n">
        <v>1</v>
      </c>
      <c r="F69" s="33" t="inlineStr">
        <is>
          <t>Nidec Chaun Choung Technology Suffers Ransomware Attack</t>
        </is>
      </c>
      <c r="G69" s="33" t="inlineStr">
        <is>
          <t>Complaint</t>
        </is>
      </c>
      <c r="H69" s="33" t="inlineStr">
        <is>
          <t>Missed Event</t>
        </is>
      </c>
      <c r="I69" s="33" t="inlineStr">
        <is>
          <t>People</t>
        </is>
      </c>
      <c r="J69" s="33" t="inlineStr">
        <is>
          <t>Review</t>
        </is>
      </c>
      <c r="K69" s="33" t="inlineStr">
        <is>
          <t>Improvement</t>
        </is>
      </c>
      <c r="L69" s="33" t="inlineStr">
        <is>
          <t>RCA Shared</t>
        </is>
      </c>
      <c r="M69" s="33" t="inlineStr">
        <is>
          <t>Supplier-aware cyber incident escalation model</t>
        </is>
      </c>
      <c r="N69" s="33" t="inlineStr">
        <is>
          <t>Yes</t>
        </is>
      </c>
      <c r="O69" s="33" t="inlineStr">
        <is>
          <t>RCA prepared; analyst impact-assessment failure identified. Event was captured successfully but incorrectly assessed as Not Impactful during analyst review and therefore not escalated.</t>
        </is>
      </c>
      <c r="P69" s="33" t="n"/>
      <c r="Q69" s="33" t="inlineStr">
        <is>
          <t>Yes</t>
        </is>
      </c>
      <c r="R69" s="39" t="n">
        <v>6</v>
      </c>
      <c r="S69" s="39" t="n"/>
      <c r="T69" s="35" t="n">
        <v>46174</v>
      </c>
      <c r="U69" s="33" t="inlineStr">
        <is>
          <t>Medium</t>
        </is>
      </c>
      <c r="V69" s="33" t="inlineStr">
        <is>
          <t>WarRoom &amp; Decision Validation</t>
        </is>
      </c>
      <c r="W69" s="33" t="inlineStr">
        <is>
          <t>EAO-10</t>
        </is>
      </c>
      <c r="X69" s="33" t="inlineStr">
        <is>
          <t>An analyst impact-assessment failure. The event was captured successfully and was then incorrectly assessed as Not Impactful during analyst review, so it was never escalated. The RCA went to the customer on 29-Jun-2026 as a PDF whose text is not in the ticket.</t>
        </is>
      </c>
      <c r="Y69" s="33" t="inlineStr">
        <is>
          <t>EventWatch Ops - Nitin Rindhe</t>
        </is>
      </c>
      <c r="Z69" s="37" t="n">
        <v>46202</v>
      </c>
    </row>
    <row r="70">
      <c r="A70" s="35" t="n">
        <v>46174</v>
      </c>
      <c r="B70" s="37" t="n">
        <v>46198</v>
      </c>
      <c r="C70" s="33" t="inlineStr">
        <is>
          <t>Factory Fire</t>
        </is>
      </c>
      <c r="D70" s="33" t="inlineStr">
        <is>
          <t>Caterpillar</t>
        </is>
      </c>
      <c r="E70" s="39" t="n">
        <v>1</v>
      </c>
      <c r="F70" s="33" t="inlineStr">
        <is>
          <t>Fire at the Isselguss GmbH Facility in Isselburg, Germany</t>
        </is>
      </c>
      <c r="G70" s="33" t="inlineStr">
        <is>
          <t>Complaint</t>
        </is>
      </c>
      <c r="H70" s="33" t="inlineStr">
        <is>
          <t>Missed Event</t>
        </is>
      </c>
      <c r="I70" s="33" t="inlineStr">
        <is>
          <t>Product</t>
        </is>
      </c>
      <c r="J70" s="33" t="inlineStr">
        <is>
          <t>Clustering / Duplication Defect</t>
        </is>
      </c>
      <c r="K70" s="33" t="inlineStr">
        <is>
          <t>Improvement</t>
        </is>
      </c>
      <c r="L70" s="33" t="inlineStr">
        <is>
          <t>RCA Shared</t>
        </is>
      </c>
      <c r="M70" s="33" t="inlineStr">
        <is>
          <t>Entity-location-aware clustering + cluster separation validation</t>
        </is>
      </c>
      <c r="N70" s="33" t="inlineStr">
        <is>
          <t>Yes</t>
        </is>
      </c>
      <c r="O70" s="33" t="inlineStr">
        <is>
          <t>RCA PDF prepared and approved for customer sharing. Event was captured by feeds but incorrectly clustered with another unrelated factory fire in Germany, preventing separate WarRoom creation. Settled by the owner on 18-Oct-2026: the feeds captured the fire and clustered it with an unrelated German factory fire, which is a Product clustering defect.</t>
        </is>
      </c>
      <c r="P70" s="33" t="n"/>
      <c r="Q70" s="33" t="inlineStr">
        <is>
          <t>Yes</t>
        </is>
      </c>
      <c r="R70" s="39" t="n">
        <v>6</v>
      </c>
      <c r="S70" s="39" t="n"/>
      <c r="T70" s="35" t="n">
        <v>46174</v>
      </c>
      <c r="U70" s="33" t="inlineStr">
        <is>
          <t>Medium</t>
        </is>
      </c>
      <c r="V70" s="33" t="inlineStr">
        <is>
          <t>Entity &amp; Supplier Resolution</t>
        </is>
      </c>
      <c r="W70" s="33" t="inlineStr">
        <is>
          <t>EAO-9</t>
        </is>
      </c>
      <c r="X70" s="33" t="inlineStr">
        <is>
          <t>A clustering defect. The feeds captured the fire and the platform clustered it with an unrelated factory fire in Germany, which prevented a separate WarRoom being created. Settled by the owner on 18-Oct-2026 as Product rather than an analyst failure. The WarRoom was published before the RCA was issued, and the RCA went to the customer on 25-Jun-2026 as a PDF whose text is not in the ticket.</t>
        </is>
      </c>
      <c r="Y70" s="33" t="inlineStr">
        <is>
          <t>Product &amp; Platform</t>
        </is>
      </c>
      <c r="Z70" s="37" t="n">
        <v>46202</v>
      </c>
    </row>
    <row r="71">
      <c r="A71" s="35" t="n">
        <v>46174</v>
      </c>
      <c r="B71" s="37" t="n">
        <v>46199</v>
      </c>
      <c r="C71" s="33" t="inlineStr">
        <is>
          <t>Extreme Weather</t>
        </is>
      </c>
      <c r="D71" s="33" t="inlineStr">
        <is>
          <t>Woodward</t>
        </is>
      </c>
      <c r="E71" s="39" t="n">
        <v>1</v>
      </c>
      <c r="F71" s="33" t="inlineStr">
        <is>
          <t>Severe Storms Trigger Disruptions Across the Midwest USA – Geographic Misclassification</t>
        </is>
      </c>
      <c r="G71" s="33" t="inlineStr">
        <is>
          <t>Complaint</t>
        </is>
      </c>
      <c r="H71" s="33" t="inlineStr">
        <is>
          <t>Geographic Misclassification</t>
        </is>
      </c>
      <c r="I71" s="33" t="inlineStr">
        <is>
          <t>People</t>
        </is>
      </c>
      <c r="J71" s="33" t="inlineStr">
        <is>
          <t>Review</t>
        </is>
      </c>
      <c r="K71" s="33" t="inlineStr">
        <is>
          <t>Improvement</t>
        </is>
      </c>
      <c r="L71" s="33" t="inlineStr">
        <is>
          <t>Fixed</t>
        </is>
      </c>
      <c r="M71" s="33" t="inlineStr">
        <is>
          <t>Cluster integrity validation + geographic consistency checks</t>
        </is>
      </c>
      <c r="N71" s="33" t="inlineStr">
        <is>
          <t>Yes</t>
        </is>
      </c>
      <c r="O71" s="33" t="inlineStr">
        <is>
          <t>California sites were incorrectly included because two different events were merged into the same WarRoom.</t>
        </is>
      </c>
      <c r="P71" s="33" t="n"/>
      <c r="Q71" s="33" t="inlineStr">
        <is>
          <t>No</t>
        </is>
      </c>
      <c r="R71" s="39" t="n">
        <v>6</v>
      </c>
      <c r="S71" s="39" t="n"/>
      <c r="T71" s="35" t="n">
        <v>46174</v>
      </c>
      <c r="U71" s="33" t="inlineStr">
        <is>
          <t>Medium</t>
        </is>
      </c>
      <c r="V71" s="33" t="inlineStr">
        <is>
          <t>Cluster Integrity &amp; Duplicate Prevention</t>
        </is>
      </c>
      <c r="W71" s="33" t="inlineStr">
        <is>
          <t>EAO-5</t>
        </is>
      </c>
      <c r="X71"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1" s="33" t="inlineStr">
        <is>
          <t>EventWatch Ops - Nitin Rindhe</t>
        </is>
      </c>
      <c r="Z71" s="37" t="n"/>
    </row>
    <row r="72">
      <c r="A72" s="35" t="n">
        <v>46174</v>
      </c>
      <c r="B72" s="37" t="n">
        <v>46203</v>
      </c>
      <c r="C72" s="33" t="inlineStr">
        <is>
          <t>Factory Fire</t>
        </is>
      </c>
      <c r="D72" s="33" t="inlineStr">
        <is>
          <t>Caterpillar</t>
        </is>
      </c>
      <c r="E72" s="39" t="n">
        <v>1</v>
      </c>
      <c r="F72" s="33" t="inlineStr">
        <is>
          <t>Isselguss / Isselburg Foundry Naming Clarification</t>
        </is>
      </c>
      <c r="G72" s="33" t="inlineStr">
        <is>
          <t>Inquiry</t>
        </is>
      </c>
      <c r="H72" s="33" t="inlineStr">
        <is>
          <t>Customer Terminology Preference</t>
        </is>
      </c>
      <c r="I72" s="33" t="inlineStr">
        <is>
          <t>Process</t>
        </is>
      </c>
      <c r="J72" s="33" t="inlineStr">
        <is>
          <t>Process Clarification</t>
        </is>
      </c>
      <c r="K72" s="33" t="inlineStr">
        <is>
          <t>Improvement</t>
        </is>
      </c>
      <c r="L72" s="33" t="inlineStr">
        <is>
          <t>Clarification Provided</t>
        </is>
      </c>
      <c r="M72" s="33" t="inlineStr">
        <is>
          <t>Company alias management</t>
        </is>
      </c>
      <c r="N72" s="33" t="inlineStr">
        <is>
          <t>No</t>
        </is>
      </c>
      <c r="O72" s="33" t="inlineStr">
        <is>
          <t>Isselguss and Isselburg Foundry refer to the same facility. Title updated to align with customer terminology preference and not due to a reporting error.</t>
        </is>
      </c>
      <c r="P72" s="33" t="n"/>
      <c r="Q72" s="33" t="inlineStr">
        <is>
          <t>No</t>
        </is>
      </c>
      <c r="R72" s="39" t="n">
        <v>6</v>
      </c>
      <c r="S72" s="39" t="n"/>
      <c r="T72" s="35" t="n">
        <v>46174</v>
      </c>
      <c r="U72" s="33" t="inlineStr">
        <is>
          <t>Medium</t>
        </is>
      </c>
      <c r="V72" s="33" t="inlineStr">
        <is>
          <t>Entity &amp; Supplier Resolution</t>
        </is>
      </c>
      <c r="W72" s="33" t="inlineStr">
        <is>
          <t>EAO-11</t>
        </is>
      </c>
      <c r="X72"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2" s="33" t="inlineStr">
        <is>
          <t>EventWatch Ops - Nitin Rindhe</t>
        </is>
      </c>
      <c r="Z72" s="37" t="n">
        <v>46204</v>
      </c>
    </row>
    <row r="73">
      <c r="A73" s="35" t="n">
        <v>46204</v>
      </c>
      <c r="B73" s="37" t="n">
        <v>46204</v>
      </c>
      <c r="C73" s="28" t="inlineStr">
        <is>
          <t>Labor Disruption</t>
        </is>
      </c>
      <c r="D73" s="33" t="inlineStr">
        <is>
          <t>Ford</t>
        </is>
      </c>
      <c r="E73" s="39" t="n">
        <v>1</v>
      </c>
      <c r="F73" s="33" t="inlineStr">
        <is>
          <t>BorgWarner Indefinite Strike – Vigo Metropolitan Area, Spain</t>
        </is>
      </c>
      <c r="G73" s="33" t="inlineStr">
        <is>
          <t>Complaint</t>
        </is>
      </c>
      <c r="H73" s="33" t="inlineStr">
        <is>
          <t>Missed Event</t>
        </is>
      </c>
      <c r="I73" s="33" t="inlineStr">
        <is>
          <t>Product</t>
        </is>
      </c>
      <c r="J73" s="33" t="inlineStr">
        <is>
          <t>Alerting Gap</t>
        </is>
      </c>
      <c r="K73" s="33" t="inlineStr">
        <is>
          <t>Bug</t>
        </is>
      </c>
      <c r="L73" s="33" t="inlineStr">
        <is>
          <t>RCA Shared</t>
        </is>
      </c>
      <c r="M73" s="33" t="inlineStr">
        <is>
          <t>Vendor-to-portal feed validation + cluster state integrity monitoring</t>
        </is>
      </c>
      <c r="N73" s="33" t="inlineStr">
        <is>
          <t>Yes</t>
        </is>
      </c>
      <c r="O73" s="33" t="inlineStr">
        <is>
          <t>The articles were captured by the vendor and by the Spanish-language detection flow but did not reach the analyst portal until July 1, 2026. The failure occurred after feed capture and before timely analyst visibility. Alerting Gap Type: Captured Feed Surfaced Late. Evidence Status: Confirmed and Closed.</t>
        </is>
      </c>
      <c r="P73" s="33" t="inlineStr">
        <is>
          <t>Yes</t>
        </is>
      </c>
      <c r="Q73" s="33" t="inlineStr">
        <is>
          <t>Yes</t>
        </is>
      </c>
      <c r="R73" s="39" t="n">
        <v>7</v>
      </c>
      <c r="S73" s="39" t="n"/>
      <c r="T73" s="35" t="n">
        <v>46204</v>
      </c>
      <c r="U73" s="33" t="inlineStr">
        <is>
          <t>Medium</t>
        </is>
      </c>
      <c r="V73" s="33" t="inlineStr">
        <is>
          <t>Notification Visibility Monitoring</t>
        </is>
      </c>
      <c r="W73" s="33" t="inlineStr">
        <is>
          <t>EAO-12</t>
        </is>
      </c>
      <c r="X73"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3" s="33" t="inlineStr">
        <is>
          <t>Product &amp; Platform</t>
        </is>
      </c>
      <c r="Z73" s="37" t="n">
        <v>46216</v>
      </c>
    </row>
    <row r="74">
      <c r="A74" s="35" t="n">
        <v>46204</v>
      </c>
      <c r="B74" s="37" t="n">
        <v>46209</v>
      </c>
      <c r="C74" s="33" t="inlineStr">
        <is>
          <t>Factory Fire</t>
        </is>
      </c>
      <c r="D74" s="33" t="inlineStr">
        <is>
          <t>Ford</t>
        </is>
      </c>
      <c r="E74" s="39" t="n">
        <v>1</v>
      </c>
      <c r="F74" s="33" t="inlineStr">
        <is>
          <t>Fire at FXI Foam Manufacturing Plant in Cuautitlan, Mexico</t>
        </is>
      </c>
      <c r="G74" s="33" t="inlineStr">
        <is>
          <t>Complaint</t>
        </is>
      </c>
      <c r="H74" s="33" t="inlineStr">
        <is>
          <t>Missed Event</t>
        </is>
      </c>
      <c r="I74" s="33" t="inlineStr">
        <is>
          <t>Product</t>
        </is>
      </c>
      <c r="J74" s="33" t="inlineStr">
        <is>
          <t>Source Coverage</t>
        </is>
      </c>
      <c r="K74" s="33" t="inlineStr">
        <is>
          <t>Improvement</t>
        </is>
      </c>
      <c r="L74" s="33" t="inlineStr">
        <is>
          <t>RCA Shared</t>
        </is>
      </c>
      <c r="M74" s="33" t="inlineStr">
        <is>
          <t>Vendor source network coverage for Mexican regional and industrial trade press, so a factory fire carried only by outlets outside the monitoring network is captured without a customer inquiry prompting it</t>
        </is>
      </c>
      <c r="N74" s="33" t="inlineStr">
        <is>
          <t>Yes</t>
        </is>
      </c>
      <c r="O74" s="33" t="inlineStr">
        <is>
          <t>Customer reported a fire at FXI, a Tier 2 supplier, causing a Force Majeure at Sage Automotive Interiors, with no matching EventWatch notification. EventWatch captured the reports, but the event was classified Not Impactful under an inadequate relevance-assessment methodology. The available approach did not give sufficient weight to the severity and potential downstream significance of a major industrial fire when direct supply-chain impact had not yet been confirmed. Resilinc accepted this as a methodology weakness and committed to enhancing the relevance-scoring and review approach. The earlier explanation linking the classification to the company being unmapped is superseded; supplier mapping was not a dominant classification input. Settled by the owner: the reports were captured, but Product incorrectly classified the event as Not Impactful. The customer later raised the event, after which it was reported. Filed as a model classification defect rather than a methodology weakness. Superseded on 22-Oct-2026: the owner settled the EAO-13 against EAO-25 contradiction over this one fire in favour of EAO-25's RCA, so the row is filed Source Coverage and the methodology-weakness account above is the explanation that was sent to Ford, not the cause the tracker now carries.</t>
        </is>
      </c>
      <c r="P74" s="33" t="n"/>
      <c r="Q74" s="33" t="inlineStr">
        <is>
          <t>Yes</t>
        </is>
      </c>
      <c r="R74" s="39" t="n">
        <v>7</v>
      </c>
      <c r="S74" s="39" t="n"/>
      <c r="T74" s="35" t="n">
        <v>46204</v>
      </c>
      <c r="U74" s="33" t="inlineStr">
        <is>
          <t>Medium</t>
        </is>
      </c>
      <c r="V74" s="33" t="inlineStr">
        <is>
          <t>Dynamic Source Discovery</t>
        </is>
      </c>
      <c r="W74" s="33" t="inlineStr">
        <is>
          <t>EAO-13</t>
        </is>
      </c>
      <c r="X74" s="33" t="inlineStr">
        <is>
          <t>An upstream source coverage gap. Superseded on 22-Oct-2026 by the owner, who settled this row against EAO-25's RCA for the same Cuautitlan FXI fire: Product Management confirmed that the sources reporting the incident were not part of the news vendor's monitoring network, so the articles were never captured by EventWatch and never proceeded to AI classification or human-in-the-loop review. The relevant sources were submitted to the vendor with a request to include them. This replaces the finding EAO-13's own RCA carried and that this row was filed on until today, which described the fire as captured by EventWatch and then classified Not Impactful by the AI models under a relevance-assessment methodology Resilinc accepted as deficient. The two RCAs went to Ford and they disagree; the owner has ruled that EAO-25's finding is the one the tracker carries.</t>
        </is>
      </c>
      <c r="Y74" s="33" t="inlineStr">
        <is>
          <t>Product &amp; Platform</t>
        </is>
      </c>
      <c r="Z74" s="37" t="n">
        <v>46220</v>
      </c>
    </row>
    <row r="75">
      <c r="A75" s="35" t="n">
        <v>46204</v>
      </c>
      <c r="B75" s="37" t="n">
        <v>46211</v>
      </c>
      <c r="C75" s="33" t="inlineStr">
        <is>
          <t>Factory Fire</t>
        </is>
      </c>
      <c r="D75" s="33" t="inlineStr">
        <is>
          <t>Ford</t>
        </is>
      </c>
      <c r="E75" s="39" t="n">
        <v>1</v>
      </c>
      <c r="F75" s="33" t="inlineStr">
        <is>
          <t>New World International Co. Factory Fire, Thailand</t>
        </is>
      </c>
      <c r="G75" s="33" t="inlineStr">
        <is>
          <t>Complaint</t>
        </is>
      </c>
      <c r="H75" s="33" t="inlineStr">
        <is>
          <t>Missed Event</t>
        </is>
      </c>
      <c r="I75" s="33" t="inlineStr">
        <is>
          <t>People</t>
        </is>
      </c>
      <c r="J75" s="33" t="inlineStr">
        <is>
          <t>Review</t>
        </is>
      </c>
      <c r="K75" s="33" t="inlineStr">
        <is>
          <t>Improvement</t>
        </is>
      </c>
      <c r="L75" s="33" t="inlineStr">
        <is>
          <t>Clarification Provided</t>
        </is>
      </c>
      <c r="M75" s="33" t="inlineStr">
        <is>
          <t>Supplier-aware factory fire escalation model + Not Impactful override validation</t>
        </is>
      </c>
      <c r="N75" s="33" t="inlineStr">
        <is>
          <t>Yes</t>
        </is>
      </c>
      <c r="O75" s="33" t="inlineStr">
        <is>
          <t>Feeds were received and event was reportedly marked Not Impactful despite destruction of production/storage facility. Investigation ongoing.</t>
        </is>
      </c>
      <c r="P75" s="33" t="n"/>
      <c r="Q75" s="33" t="inlineStr">
        <is>
          <t>Yes</t>
        </is>
      </c>
      <c r="R75" s="39" t="n">
        <v>7</v>
      </c>
      <c r="S75" s="39" t="n"/>
      <c r="T75" s="35" t="n">
        <v>46204</v>
      </c>
      <c r="U75" s="33" t="inlineStr">
        <is>
          <t>Medium</t>
        </is>
      </c>
      <c r="V75" s="33" t="inlineStr">
        <is>
          <t>WarRoom &amp; Decision Validation</t>
        </is>
      </c>
      <c r="W75" s="33" t="inlineStr">
        <is>
          <t>EAO-14</t>
        </is>
      </c>
      <c r="X75" s="33" t="inlineStr">
        <is>
          <t>An AI misclassification reinforced during analyst review. The classification models did not sufficiently recognise the potential supply chain relevance of a factory fire involving an industrial manufacturing facility despite the severity of the incident. During manual review the initial AI assessment was accepted, so the event did not progress through the reporting workflow. Taken from the RCA shared with Ford on 13-Jul-2026, which supersedes the earlier note that the document text was unreadable from the ticket. Filed People / Review because the human review is where the assessment could have been corrected and was not.</t>
        </is>
      </c>
      <c r="Y75" s="33" t="inlineStr">
        <is>
          <t>EventWatch Ops - Nitin Rindhe</t>
        </is>
      </c>
      <c r="Z75" s="37" t="n">
        <v>46217</v>
      </c>
    </row>
    <row r="76">
      <c r="A76" s="35" t="n">
        <v>46204</v>
      </c>
      <c r="B76" s="37" t="n">
        <v>46211</v>
      </c>
      <c r="C76" s="33" t="inlineStr">
        <is>
          <t>Supply Shortage</t>
        </is>
      </c>
      <c r="D76" s="33" t="inlineStr">
        <is>
          <t>META</t>
        </is>
      </c>
      <c r="E76" s="39" t="n">
        <v>1</v>
      </c>
      <c r="F76" s="33" t="inlineStr">
        <is>
          <t>Samsung DRAM Price Increase Alert – WarRoom Not Created</t>
        </is>
      </c>
      <c r="G76" s="33" t="inlineStr">
        <is>
          <t>Complaint</t>
        </is>
      </c>
      <c r="H76" s="33" t="inlineStr">
        <is>
          <t>Missed WarRoom</t>
        </is>
      </c>
      <c r="I76" s="33" t="inlineStr">
        <is>
          <t>People</t>
        </is>
      </c>
      <c r="J76" s="33" t="inlineStr">
        <is>
          <t>Supplier Selection Miss</t>
        </is>
      </c>
      <c r="K76" s="33" t="inlineStr">
        <is>
          <t>Improvement</t>
        </is>
      </c>
      <c r="L76" s="33" t="inlineStr">
        <is>
          <t>Clarification Provided</t>
        </is>
      </c>
      <c r="M76" s="33" t="inlineStr">
        <is>
          <t>Site Selection Suggestion based on unnormalized supplier names</t>
        </is>
      </c>
      <c r="N76" s="33" t="inlineStr">
        <is>
          <t>Yes</t>
        </is>
      </c>
      <c r="O76" s="33" t="inlineStr">
        <is>
          <t>EventWatch alert published but corresponding WarRoom not created despite supplier normalization. Investigation ongoing. Settled by the owner: the bulletin existed, but the applicable customer WarRoom was not created because supplier and site normalization was not applied correctly. Settled by the owner on 18-Oct-2026: the supplier was mapped under two names and the analyst checked only one of them, so this is an analyst selection miss rather than a normalization defect. Missed_Flag stays Yes: no WarRoom reached the customer.</t>
        </is>
      </c>
      <c r="P76" s="33" t="inlineStr">
        <is>
          <t>No</t>
        </is>
      </c>
      <c r="Q76" s="33" t="inlineStr">
        <is>
          <t>Yes</t>
        </is>
      </c>
      <c r="R76" s="39" t="n">
        <v>7</v>
      </c>
      <c r="S76" s="39" t="n"/>
      <c r="T76" s="35" t="n">
        <v>46204</v>
      </c>
      <c r="U76" s="33" t="inlineStr">
        <is>
          <t>Low</t>
        </is>
      </c>
      <c r="V76" s="33" t="inlineStr">
        <is>
          <t>Entity &amp; Supplier Resolution</t>
        </is>
      </c>
      <c r="W76" s="33" t="inlineStr">
        <is>
          <t>EAO-15</t>
        </is>
      </c>
      <c r="X76"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 Settled by the owner on 18-Oct-2026: the normalization account above is superseded. Samsung Electronics is also mapped as Samsung in the portal for this customer, so the supplier was on file under a second name. The analyst checked Samsung Electronics only and did not check Samsung, so the sites were never selected and no customer WarRoom was created. The failure is supplier selection by a person, not a platform normalization defect. People and Supplier Selection Miss, routed to EventWatch Ops.</t>
        </is>
      </c>
      <c r="Y76" s="33" t="inlineStr">
        <is>
          <t>EventWatch Ops - Nitin Rindhe</t>
        </is>
      </c>
      <c r="Z76" s="37" t="n">
        <v>46220</v>
      </c>
    </row>
    <row r="77">
      <c r="A77" s="35" t="n">
        <v>46204</v>
      </c>
      <c r="B77" s="37" t="n">
        <v>46213</v>
      </c>
      <c r="C77" s="33" t="inlineStr">
        <is>
          <t>Hurricane/Typhoon</t>
        </is>
      </c>
      <c r="D77" s="33" t="inlineStr">
        <is>
          <t>Eaton</t>
        </is>
      </c>
      <c r="E77" s="39" t="n">
        <v>1</v>
      </c>
      <c r="F77" s="33" t="inlineStr">
        <is>
          <t>Super Typhoon Bavi WarRoom Timing Clarification (Taiwan)</t>
        </is>
      </c>
      <c r="G77" s="33" t="inlineStr">
        <is>
          <t>Inquiry</t>
        </is>
      </c>
      <c r="H77" s="33" t="inlineStr">
        <is>
          <t>WarRoom Timing/Trigger Criteria Clarification</t>
        </is>
      </c>
      <c r="I77" s="33" t="inlineStr">
        <is>
          <t>Process</t>
        </is>
      </c>
      <c r="J77" s="33" t="inlineStr">
        <is>
          <t>Process Clarification</t>
        </is>
      </c>
      <c r="K77" s="33" t="inlineStr">
        <is>
          <t>Improvement</t>
        </is>
      </c>
      <c r="L77" s="33" t="inlineStr">
        <is>
          <t>Clarification Provided</t>
        </is>
      </c>
      <c r="M77" s="33" t="inlineStr">
        <is>
          <t>WarRoom trigger-criteria explanation template for post-peak activations</t>
        </is>
      </c>
      <c r="N77" s="33" t="inlineStr">
        <is>
          <t>No</t>
        </is>
      </c>
      <c r="O77" s="33" t="inlineStr">
        <is>
          <t>Eaton asked why the WarRoom for Super Typhoon Bavi (Taiwan) was activated on 9-Jul after the storm had already peaked, and what triggering criteria were used.</t>
        </is>
      </c>
      <c r="Q77" s="33" t="inlineStr">
        <is>
          <t>No</t>
        </is>
      </c>
      <c r="R77" s="39" t="n">
        <v>7</v>
      </c>
      <c r="T77" s="35" t="n">
        <v>46204</v>
      </c>
      <c r="U77" s="33" t="inlineStr">
        <is>
          <t>Low</t>
        </is>
      </c>
      <c r="V77" s="33" t="inlineStr">
        <is>
          <t>WarRoom &amp; Decision Validation</t>
        </is>
      </c>
      <c r="W77" s="33" t="inlineStr">
        <is>
          <t>EAO-16</t>
        </is>
      </c>
      <c r="X77"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7" s="33" t="inlineStr">
        <is>
          <t>EventWatch Ops - Nitin Rindhe</t>
        </is>
      </c>
      <c r="Z77" s="37" t="n">
        <v>46224</v>
      </c>
    </row>
    <row r="78">
      <c r="A78" s="35" t="n">
        <v>46204</v>
      </c>
      <c r="B78" s="37" t="n">
        <v>46213</v>
      </c>
      <c r="C78" s="33" t="inlineStr">
        <is>
          <t>Legal Action</t>
        </is>
      </c>
      <c r="D78" s="33" t="inlineStr">
        <is>
          <t>Micron</t>
        </is>
      </c>
      <c r="E78" s="39" t="n">
        <v>1</v>
      </c>
      <c r="F78" s="33" t="inlineStr">
        <is>
          <t>Jacobs Engineering/CH2M Hill Forced Labor Lawsuit – Missed EventWatch Notification (Micron)</t>
        </is>
      </c>
      <c r="G78" s="33" t="inlineStr">
        <is>
          <t>Complaint</t>
        </is>
      </c>
      <c r="H78" s="33" t="inlineStr">
        <is>
          <t>Missed Event</t>
        </is>
      </c>
      <c r="I78" s="33" t="inlineStr">
        <is>
          <t>People</t>
        </is>
      </c>
      <c r="J78" s="33" t="inlineStr">
        <is>
          <t>Review</t>
        </is>
      </c>
      <c r="K78" s="33" t="inlineStr">
        <is>
          <t>Improvement</t>
        </is>
      </c>
      <c r="L78" s="33" t="inlineStr">
        <is>
          <t>RCA Shared</t>
        </is>
      </c>
      <c r="M78" s="33" t="inlineStr">
        <is>
          <t>Not Impactful decision validation for legal actions involving a monitored supplier, so a significant legal development is checked against the reporting criteria before it is closed at review</t>
        </is>
      </c>
      <c r="N78" s="33" t="inlineStr">
        <is>
          <t>Yes</t>
        </is>
      </c>
      <c r="O78" s="33" t="inlineStr">
        <is>
          <t>Micron reported a forced-labor lawsuit against Jacobs Engineering/CH2M Hill was not captured in EventWatch and requested RCA if it was in scope.</t>
        </is>
      </c>
      <c r="Q78" s="33" t="inlineStr">
        <is>
          <t>Yes</t>
        </is>
      </c>
      <c r="R78" s="39" t="n">
        <v>7</v>
      </c>
      <c r="T78" s="35" t="n">
        <v>46204</v>
      </c>
      <c r="U78" s="33" t="inlineStr">
        <is>
          <t>Medium</t>
        </is>
      </c>
      <c r="V78" s="33" t="inlineStr">
        <is>
          <t>WarRoom &amp; Decision Validation</t>
        </is>
      </c>
      <c r="W78" s="33" t="inlineStr">
        <is>
          <t>EAO-17</t>
        </is>
      </c>
      <c r="X78" s="33" t="inlineStr">
        <is>
          <t>The root cause occurred during the analyst review stage, where the litigation was mistakenly assessed as Not Impactful. The event was excluded from publication despite meeting the EventWatch reporting criteria for significant legal developments involving a monitored supplier. Taken from the RCA shared with Micron, which supersedes the earlier filing of this row as Product / Source Coverage: the event was captured, and what failed was the review.</t>
        </is>
      </c>
      <c r="Y78" s="33" t="inlineStr">
        <is>
          <t>EventWatch Ops - Nitin Rindhe</t>
        </is>
      </c>
      <c r="Z78" s="37" t="n">
        <v>46217</v>
      </c>
    </row>
    <row r="79">
      <c r="A79" s="35" t="n">
        <v>46204</v>
      </c>
      <c r="B79" s="37" t="n">
        <v>46216</v>
      </c>
      <c r="C79" s="33" t="inlineStr">
        <is>
          <t>Supply Shortage</t>
        </is>
      </c>
      <c r="D79" s="33" t="inlineStr">
        <is>
          <t>Western Digital</t>
        </is>
      </c>
      <c r="E79" s="39" t="n">
        <v>1</v>
      </c>
      <c r="F79" s="33" t="inlineStr">
        <is>
          <t>Suspension Baseplate Supply Risk Monitoring Request (Fujita Plating/NHK/OSK)</t>
        </is>
      </c>
      <c r="G79" s="33" t="inlineStr">
        <is>
          <t>Inquiry</t>
        </is>
      </c>
      <c r="H79" s="33" t="inlineStr">
        <is>
          <t>Coverage Verification Request</t>
        </is>
      </c>
      <c r="I79" s="33" t="inlineStr">
        <is>
          <t>Process</t>
        </is>
      </c>
      <c r="J79" s="33" t="inlineStr">
        <is>
          <t>Process Clarification</t>
        </is>
      </c>
      <c r="K79" s="33" t="inlineStr">
        <is>
          <t>Improvement</t>
        </is>
      </c>
      <c r="L79" s="33" t="inlineStr">
        <is>
          <t>Clarification Provided</t>
        </is>
      </c>
      <c r="M79" s="33" t="inlineStr">
        <is>
          <t>Supplier decommitment/capacity-risk monitoring for sub-tier component makers</t>
        </is>
      </c>
      <c r="N79" s="33" t="inlineStr">
        <is>
          <t>No</t>
        </is>
      </c>
      <c r="O79" s="33" t="inlineStr">
        <is>
          <t>Western Digital asked whether EventWatch has published or is monitoring a reported Suspension Baseplate supply risk tied to Fujita Plating/NHK/OSK decommitments; CS found no matching event in the backend.</t>
        </is>
      </c>
      <c r="Q79" s="33" t="inlineStr">
        <is>
          <t>No</t>
        </is>
      </c>
      <c r="R79" s="39" t="n">
        <v>7</v>
      </c>
      <c r="T79" s="35" t="n">
        <v>46204</v>
      </c>
      <c r="U79" s="33" t="inlineStr">
        <is>
          <t>Low</t>
        </is>
      </c>
      <c r="V79" s="33" t="inlineStr">
        <is>
          <t>Other Control Automation</t>
        </is>
      </c>
      <c r="W79" s="33" t="inlineStr">
        <is>
          <t>EAO-18</t>
        </is>
      </c>
      <c r="X79"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9" s="33" t="inlineStr">
        <is>
          <t>EventWatch Ops - Nitin Rindhe</t>
        </is>
      </c>
      <c r="Z79" s="37" t="n">
        <v>46224</v>
      </c>
    </row>
    <row r="80">
      <c r="A80" s="35" t="n">
        <v>46204</v>
      </c>
      <c r="B80" s="37" t="n">
        <v>46217</v>
      </c>
      <c r="C80" s="33" t="inlineStr">
        <is>
          <t>Power Outage</t>
        </is>
      </c>
      <c r="D80" s="33" t="inlineStr">
        <is>
          <t>Ford</t>
        </is>
      </c>
      <c r="E80" s="39" t="n">
        <v>1</v>
      </c>
      <c r="F80" s="33" t="inlineStr">
        <is>
          <t>RFI – Power Grid Failure Monitoring Strategy</t>
        </is>
      </c>
      <c r="G80" s="33" t="inlineStr">
        <is>
          <t>Inquiry</t>
        </is>
      </c>
      <c r="H80" s="33" t="inlineStr">
        <is>
          <t>Monitoring Strategy RFI</t>
        </is>
      </c>
      <c r="I80" s="33" t="inlineStr">
        <is>
          <t>Process</t>
        </is>
      </c>
      <c r="J80" s="33" t="inlineStr">
        <is>
          <t>Process Clarification</t>
        </is>
      </c>
      <c r="K80" s="33" t="inlineStr">
        <is>
          <t>Improvement</t>
        </is>
      </c>
      <c r="L80" s="33" t="inlineStr">
        <is>
          <t>Clarification Provided</t>
        </is>
      </c>
      <c r="M80" s="33" t="inlineStr">
        <is>
          <t>Published monitoring-scope documentation for power-grid/infrastructure failure events</t>
        </is>
      </c>
      <c r="N80" s="33" t="inlineStr">
        <is>
          <t>No</t>
        </is>
      </c>
      <c r="O80" s="33" t="inlineStr">
        <is>
          <t>Ford requested an explanation of Resilinc's monitoring strategy for power grid failure events after multiple incidents affected suppliers in the US and Europe.</t>
        </is>
      </c>
      <c r="Q80" s="33" t="inlineStr">
        <is>
          <t>No</t>
        </is>
      </c>
      <c r="R80" s="39" t="n">
        <v>7</v>
      </c>
      <c r="T80" s="35" t="n">
        <v>46204</v>
      </c>
      <c r="U80" s="33" t="inlineStr">
        <is>
          <t>Low</t>
        </is>
      </c>
      <c r="V80" s="33" t="inlineStr">
        <is>
          <t>Other Control Automation</t>
        </is>
      </c>
      <c r="W80" s="33" t="inlineStr">
        <is>
          <t>EAO-19</t>
        </is>
      </c>
      <c r="X80"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80" s="33" t="inlineStr">
        <is>
          <t>EventWatch Ops - Nitin Rindhe</t>
        </is>
      </c>
      <c r="Z80" s="37" t="n">
        <v>46220</v>
      </c>
    </row>
    <row r="81">
      <c r="A81" s="35" t="n">
        <v>46204</v>
      </c>
      <c r="B81" s="37" t="n">
        <v>46220</v>
      </c>
      <c r="C81" s="33" t="inlineStr">
        <is>
          <t>Bankruptcy</t>
        </is>
      </c>
      <c r="D81" s="33" t="inlineStr">
        <is>
          <t>Honeywell</t>
        </is>
      </c>
      <c r="E81" s="39" t="n">
        <v>1</v>
      </c>
      <c r="F81" s="33" t="inlineStr">
        <is>
          <t>ASSMANN WSW Components GmbH Bankruptcy Filing – Missed Coverage (Honeywell Tier 1 Supplier)</t>
        </is>
      </c>
      <c r="G81" s="33" t="inlineStr">
        <is>
          <t>Complaint</t>
        </is>
      </c>
      <c r="H81" s="33" t="inlineStr">
        <is>
          <t>Missed insolvency alert</t>
        </is>
      </c>
      <c r="I81" s="33" t="inlineStr">
        <is>
          <t>Product</t>
        </is>
      </c>
      <c r="J81" s="33" t="inlineStr">
        <is>
          <t>Source Coverage</t>
        </is>
      </c>
      <c r="K81" s="33" t="inlineStr">
        <is>
          <t>Improvement</t>
        </is>
      </c>
      <c r="L81" s="33" t="inlineStr">
        <is>
          <t>Fixed</t>
        </is>
      </c>
      <c r="M81" s="33" t="inlineStr">
        <is>
          <t>Tier-1 supplier bankruptcy/insolvency filing source coverage expansion (EU registries)</t>
        </is>
      </c>
      <c r="N81" s="33" t="inlineStr">
        <is>
          <t>Yes</t>
        </is>
      </c>
      <c r="O81" s="33" t="inlineStr">
        <is>
          <t>Honeywell reported ASSMANN WSW Components GmbH's July 6 insolvency filing (a mapped Tier-1 supplier) was never published as an EventWatch bulletin or WarRoom; RCA requested.</t>
        </is>
      </c>
      <c r="Q81" s="33" t="inlineStr">
        <is>
          <t>Yes</t>
        </is>
      </c>
      <c r="R81" s="39" t="n">
        <v>7</v>
      </c>
      <c r="T81" s="35" t="n">
        <v>46204</v>
      </c>
      <c r="U81" s="33" t="inlineStr">
        <is>
          <t>Medium</t>
        </is>
      </c>
      <c r="V81" s="33" t="inlineStr">
        <is>
          <t>Dynamic Source Discovery</t>
        </is>
      </c>
      <c r="W81" s="33" t="inlineStr">
        <is>
          <t>EAO-20</t>
        </is>
      </c>
      <c r="X81" s="33" t="inlineStr">
        <is>
          <t>German-language sources reporting the ASSMANN WSW Components insolvency were not captured by the portal; Engineering was asked to investigate the feed gap. RCA reviewed and shared with the customer 20-Jul-2026.</t>
        </is>
      </c>
      <c r="Y81" s="33" t="inlineStr">
        <is>
          <t>Product &amp; Platform</t>
        </is>
      </c>
      <c r="Z81" s="37" t="n">
        <v>46224</v>
      </c>
    </row>
    <row r="82">
      <c r="A82" s="35" t="n">
        <v>46204</v>
      </c>
      <c r="B82" s="37" t="n">
        <v>46220</v>
      </c>
      <c r="C82" s="33" t="inlineStr">
        <is>
          <t>Wildfire</t>
        </is>
      </c>
      <c r="D82" s="33" t="inlineStr">
        <is>
          <t>Ford</t>
        </is>
      </c>
      <c r="E82" s="39" t="n">
        <v>1</v>
      </c>
      <c r="F82" s="33" t="inlineStr">
        <is>
          <t>Severe Air Quality Degradation – Canadian Wildfires Missed Alert (Midwest/Northeast US)</t>
        </is>
      </c>
      <c r="G82" s="33" t="inlineStr">
        <is>
          <t>Complaint</t>
        </is>
      </c>
      <c r="H82" s="33" t="inlineStr">
        <is>
          <t>Missed Event</t>
        </is>
      </c>
      <c r="I82" s="33" t="inlineStr">
        <is>
          <t>People</t>
        </is>
      </c>
      <c r="J82" s="33" t="inlineStr">
        <is>
          <t>Review</t>
        </is>
      </c>
      <c r="K82" s="33" t="inlineStr">
        <is>
          <t>Improvement</t>
        </is>
      </c>
      <c r="L82" s="33" t="inlineStr">
        <is>
          <t>RCA Shared</t>
        </is>
      </c>
      <c r="M82" s="33" t="inlineStr">
        <is>
          <t>Escalation automation for environmental-hazard advisories</t>
        </is>
      </c>
      <c r="N82" s="33" t="inlineStr">
        <is>
          <t>Yes</t>
        </is>
      </c>
      <c r="O82" s="33" t="inlineStr">
        <is>
          <t>Ford reported no EventWatch alert/WarRoom was generated for July 15-17 wildfire smoke air-quality degradation across the US Midwest/Northeast; CS confirmed no matching notification was found. Settled by the owner on 18-Oct-2026: an analyst did not assess or review the wildfire smoke event correctly. People and Review.</t>
        </is>
      </c>
      <c r="Q82" s="33" t="inlineStr">
        <is>
          <t>Yes</t>
        </is>
      </c>
      <c r="R82" s="39" t="n">
        <v>7</v>
      </c>
      <c r="T82" s="35" t="n">
        <v>46204</v>
      </c>
      <c r="U82" s="33" t="inlineStr">
        <is>
          <t>Medium</t>
        </is>
      </c>
      <c r="V82" s="33" t="inlineStr">
        <is>
          <t>WarRoom &amp; Decision Validation</t>
        </is>
      </c>
      <c r="W82" s="33" t="inlineStr">
        <is>
          <t>EAO-21</t>
        </is>
      </c>
      <c r="X82" s="33" t="inlineStr">
        <is>
          <t>The analyst missed it. During the initial AI assessment the event was classified Not Impactful because the news articles primarily emphasised hazardous air quality levels and public health advisories resulting from wildfire smoke, and the broader operational and regional supply chain implications of the widespread air quality degradation were not sufficiently recognised at that stage. The classification was then not identified during the human-in-the-loop review, so the event was not progressed for publication until it was re-evaluated after Ford's notification. Taken from the RCA shared with Ford on 21-Jul-2026. Owner's ruling: this is an analyst miss and does not go to Product.</t>
        </is>
      </c>
      <c r="Y82" s="33" t="inlineStr">
        <is>
          <t>EventWatch Ops - Nitin Rindhe</t>
        </is>
      </c>
      <c r="Z82" s="37" t="n">
        <v>46230</v>
      </c>
    </row>
    <row r="83">
      <c r="A83" s="35" t="n">
        <v>46204</v>
      </c>
      <c r="B83" s="37" t="n">
        <v>46230</v>
      </c>
      <c r="C83" s="33" t="inlineStr">
        <is>
          <t>Cyber Attack</t>
        </is>
      </c>
      <c r="D83" s="33" t="inlineStr">
        <is>
          <t>Eaton</t>
        </is>
      </c>
      <c r="E83" s="39" t="n">
        <v>1</v>
      </c>
      <c r="F83" s="33" t="inlineStr">
        <is>
          <t>Romania ANCPI Cyberattack – Missed EventWatch Notification</t>
        </is>
      </c>
      <c r="G83" s="33" t="inlineStr">
        <is>
          <t>Inquiry</t>
        </is>
      </c>
      <c r="H83" s="33" t="inlineStr">
        <is>
          <t>Wrong Relevancy</t>
        </is>
      </c>
      <c r="I83" s="33" t="inlineStr">
        <is>
          <t>Process</t>
        </is>
      </c>
      <c r="J83" s="33" t="inlineStr">
        <is>
          <t>Deliberate Rule</t>
        </is>
      </c>
      <c r="K83" s="33" t="inlineStr">
        <is>
          <t>Improvement</t>
        </is>
      </c>
      <c r="L83" s="33" t="inlineStr">
        <is>
          <t>Clarification Provided</t>
        </is>
      </c>
      <c r="M83" s="33" t="inlineStr">
        <is>
          <t>A feedback path from a disputed Not Impactful classification back into the reporting criteria, so a customer telling us a government-services disruption does affect them tunes the model rather than closing as no further context</t>
        </is>
      </c>
      <c r="N83" s="33" t="inlineStr">
        <is>
          <t>No</t>
        </is>
      </c>
      <c r="O83" s="33" t="inlineStr">
        <is>
          <t>Eaton reported the July 14-16 ANCPI (Romania land registry) cyberattack had no corresponding WarRoom or news on the portal; RCA requested if it was in scope.</t>
        </is>
      </c>
      <c r="Q83" s="33" t="inlineStr">
        <is>
          <t>No</t>
        </is>
      </c>
      <c r="R83" s="39" t="n">
        <v>7</v>
      </c>
      <c r="T83" s="35" t="n">
        <v>46204</v>
      </c>
      <c r="U83" s="33" t="inlineStr">
        <is>
          <t>Medium</t>
        </is>
      </c>
      <c r="V83" s="33" t="inlineStr">
        <is>
          <t>WarRoom &amp; Decision Validation</t>
        </is>
      </c>
      <c r="W83" s="33" t="inlineStr">
        <is>
          <t>EAO-22</t>
        </is>
      </c>
      <c r="X83"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3" s="33" t="inlineStr">
        <is>
          <t>EventWatch Ops - Nitin Rindhe</t>
        </is>
      </c>
      <c r="Z83" s="37" t="n">
        <v>46232</v>
      </c>
    </row>
    <row r="84">
      <c r="A84" s="35" t="n">
        <v>46235</v>
      </c>
      <c r="B84" s="37" t="n">
        <v>46237</v>
      </c>
      <c r="C84" s="33" t="inlineStr">
        <is>
          <t>Factory Fire</t>
        </is>
      </c>
      <c r="D84" s="33" t="inlineStr">
        <is>
          <t>Ford</t>
        </is>
      </c>
      <c r="E84" s="39" t="n">
        <v>1</v>
      </c>
      <c r="F84" s="33" t="inlineStr">
        <is>
          <t>TOHOKU Chemical Japan Fire – Sub-tier Cashew Dust Supplier</t>
        </is>
      </c>
      <c r="G84" s="33" t="inlineStr">
        <is>
          <t>Inquiry</t>
        </is>
      </c>
      <c r="H84" s="33" t="inlineStr">
        <is>
          <t>Coverage Verification Request</t>
        </is>
      </c>
      <c r="I84" s="33" t="inlineStr">
        <is>
          <t>Process</t>
        </is>
      </c>
      <c r="J84" s="33" t="inlineStr">
        <is>
          <t>Process Clarification</t>
        </is>
      </c>
      <c r="K84" s="33" t="inlineStr">
        <is>
          <t>Improvement</t>
        </is>
      </c>
      <c r="L84" s="33" t="inlineStr">
        <is>
          <t>Clarification Provided</t>
        </is>
      </c>
      <c r="M84" s="33" t="inlineStr">
        <is>
          <t>A customer-reported event with no public source should register as a monitoring story the customer can see, and publish automatically once a credible public source appears, rather than the customer having to ask again</t>
        </is>
      </c>
      <c r="N84" s="33" t="inlineStr">
        <is>
          <t>No</t>
        </is>
      </c>
      <c r="O84" s="33" t="inlineStr">
        <is>
          <t>EAO-24: No proactive alert was generated for the July 21 fire. Customer requested RCA, ICA, and PCA for the missed coverage. RCA shared.</t>
        </is>
      </c>
      <c r="P84" s="33" t="n"/>
      <c r="Q84" s="33" t="inlineStr">
        <is>
          <t>No</t>
        </is>
      </c>
      <c r="R84" s="39" t="n">
        <v>8</v>
      </c>
      <c r="S84" s="39" t="n"/>
      <c r="T84" s="35" t="n">
        <v>46235</v>
      </c>
      <c r="U84" s="33" t="inlineStr">
        <is>
          <t>Medium</t>
        </is>
      </c>
      <c r="V84" s="33" t="inlineStr">
        <is>
          <t>Other Control Automation</t>
        </is>
      </c>
      <c r="W84" s="33" t="inlineStr">
        <is>
          <t>EAO-24</t>
        </is>
      </c>
      <c r="X84"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4" s="33" t="inlineStr">
        <is>
          <t>EventWatch Ops - Nitin Rindhe</t>
        </is>
      </c>
      <c r="Z84" s="37" t="n">
        <v>46239</v>
      </c>
    </row>
    <row r="85">
      <c r="A85" s="35" t="n">
        <v>46235</v>
      </c>
      <c r="B85" s="37" t="n">
        <v>46237</v>
      </c>
      <c r="C85" s="33" t="inlineStr">
        <is>
          <t>Factory Fire</t>
        </is>
      </c>
      <c r="D85" s="33" t="inlineStr">
        <is>
          <t>GM</t>
        </is>
      </c>
      <c r="E85" s="39" t="n">
        <v>1</v>
      </c>
      <c r="F85" s="33" t="inlineStr">
        <is>
          <t>Fire at UTAS-Nova Automotive Lighting Systems, Danyang, Jiangsu, China</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GM reported a fire at UTAS-Nova Automotive Lighting Systems, Danyang, Jiangsu, China (reported July 10) was not found in GM's org. EventWatch searched English and Chinese public sources on 04-Aug-2026 and found no article confirming the fire, and opened a monitoring story pending credible public reporting. Unresolved: the RCA Details on this row name a clustering defect, which is the finding for the Nemak article on the same ticket and not for this event. The cause here has not been settled.</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46237</v>
      </c>
      <c r="C86" s="33" t="inlineStr">
        <is>
          <t>Tornado</t>
        </is>
      </c>
      <c r="D86" s="33" t="inlineStr">
        <is>
          <t>GM</t>
        </is>
      </c>
      <c r="E86" s="39" t="n">
        <v>1</v>
      </c>
      <c r="F86" s="33" t="inlineStr">
        <is>
          <t>Chicago Heights, Illinois Tornado – Trialco Impact Not Identified</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Cluster-assignment validation so an article grouped into the wrong cluster is caught before analyst review</t>
        </is>
      </c>
      <c r="N86" s="33" t="inlineStr">
        <is>
          <t>Yes</t>
        </is>
      </c>
      <c r="O86" s="33" t="inlineStr">
        <is>
          <t>GM reported no event was created specifically for the July 27 Chicago Heights, Illinois tornado (broader Illinois storm alerts existed) and asked whether Trialco was identified as impacted. EventWatch answered on 04-Aug-2026 that the storm was notified with a WarRoom on 27-Jul-2026, titled Severe Thunderstorms Cause Widespread Damage in Parts of Wisconsin, Illinois, and that Trialco's Chicago Heights location sits inside that WarRoom's geofence, with no public reporting of damage at the facility. Unresolved: a bulletin did reach GM, so whether this row is a confirmed miss has not been re-examined since, and the RCA Details name the clustering finding for the Nemak article on the same ticket rather than this event.</t>
        </is>
      </c>
      <c r="Q86" s="33" t="inlineStr">
        <is>
          <t>Yes</t>
        </is>
      </c>
      <c r="R86" s="39" t="n">
        <v>8</v>
      </c>
      <c r="T86" s="35" t="n">
        <v>46235</v>
      </c>
      <c r="U86" s="33" t="inlineStr">
        <is>
          <t>Medium</t>
        </is>
      </c>
      <c r="V86" s="33" t="inlineStr">
        <is>
          <t>Dynamic Source Discovery</t>
        </is>
      </c>
      <c r="W86" s="33" t="inlineStr">
        <is>
          <t>EAO-25</t>
        </is>
      </c>
      <c r="X86"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6" s="33" t="inlineStr">
        <is>
          <t>Product &amp; Platform</t>
        </is>
      </c>
      <c r="Z86" s="37" t="n"/>
    </row>
    <row r="87">
      <c r="A87" s="35" t="n">
        <v>46235</v>
      </c>
      <c r="B87" s="37" t="n">
        <v>46238</v>
      </c>
      <c r="C87" s="33" t="inlineStr">
        <is>
          <t>Earthquake</t>
        </is>
      </c>
      <c r="D87" s="33" t="inlineStr">
        <is>
          <t>Hitachi</t>
        </is>
      </c>
      <c r="E87" s="39" t="n">
        <v>1</v>
      </c>
      <c r="F87" s="33" t="inlineStr">
        <is>
          <t>Disruption Agent Returns Only Tier 1 Suppliers for Kumamoto Earthquake Query (Hitachi)</t>
        </is>
      </c>
      <c r="G87" s="33" t="inlineStr">
        <is>
          <t>Complaint</t>
        </is>
      </c>
      <c r="H87" s="33" t="inlineStr">
        <is>
          <t>Impacted Supplier Missing</t>
        </is>
      </c>
      <c r="I87" s="33" t="inlineStr">
        <is>
          <t>Product</t>
        </is>
      </c>
      <c r="J87" s="33" t="inlineStr">
        <is>
          <t>Platform Bug</t>
        </is>
      </c>
      <c r="K87" s="33" t="inlineStr">
        <is>
          <t>Improvement</t>
        </is>
      </c>
      <c r="L87" s="33" t="inlineStr">
        <is>
          <t>Fixed</t>
        </is>
      </c>
      <c r="M87" s="33" t="inlineStr">
        <is>
          <t>Disruption Agent response completeness checks so a prompt asking for multiple supplier tiers returns all of them in one response</t>
        </is>
      </c>
      <c r="N87" s="33" t="inlineStr">
        <is>
          <t>No</t>
        </is>
      </c>
      <c r="O87" s="33" t="inlineStr">
        <is>
          <t>From Jira CAN-3433 (Resolved). For Hitachi, a single Disruption Agent prompt asking for both Tier 1 and Tier 2 suppliers potentially impacted by the 6.8 magnitude Kumamoto earthquake returned Tier 1 only; Tier 2 required a second prompt. Whitespace / data-hygiene matching defect fixed under TENAR-45367.</t>
        </is>
      </c>
      <c r="P87" s="33" t="n"/>
      <c r="Q87" s="33" t="inlineStr">
        <is>
          <t>No</t>
        </is>
      </c>
      <c r="R87" s="39" t="n">
        <v>8</v>
      </c>
      <c r="S87" s="39" t="n"/>
      <c r="T87" s="35" t="inlineStr">
        <is>
          <t>Aug 2026</t>
        </is>
      </c>
      <c r="U87" s="33" t="inlineStr">
        <is>
          <t>Low</t>
        </is>
      </c>
      <c r="V87" s="33" t="inlineStr">
        <is>
          <t>Other Control Automation</t>
        </is>
      </c>
      <c r="W87" s="33" t="inlineStr">
        <is>
          <t>CAN-3433</t>
        </is>
      </c>
      <c r="X87" s="33" t="inlineStr">
        <is>
          <t>A data hygiene defect on the EventWatch side: leading and trailing spaces in the values the Disruption Agent matched on. They were stripped under TENAR-45367 and the fix was verified on stage on 07-Aug-2026.</t>
        </is>
      </c>
      <c r="Y87" s="33" t="inlineStr">
        <is>
          <t>Product &amp; Platform</t>
        </is>
      </c>
      <c r="Z87" s="37" t="n"/>
    </row>
    <row r="88">
      <c r="A88" s="35" t="n">
        <v>46235</v>
      </c>
      <c r="B88" s="37" t="n">
        <v>46245</v>
      </c>
      <c r="C88" s="33" t="inlineStr">
        <is>
          <t>Regulatory Change</t>
        </is>
      </c>
      <c r="D88" s="33" t="inlineStr">
        <is>
          <t>Ford</t>
        </is>
      </c>
      <c r="E88" s="39" t="n">
        <v>1</v>
      </c>
      <c r="F88" s="33" t="inlineStr">
        <is>
          <t>China MOFCOM Announcement No. 30 of 2026 (Export Control Watchlist)</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Not Impactful Decision Validation</t>
        </is>
      </c>
      <c r="N88" s="33" t="inlineStr">
        <is>
          <t>Yes</t>
        </is>
      </c>
      <c r="O88" s="33" t="inlineStr">
        <is>
          <t>EAO-23: News was captured but initially classified as Not Impactful by AI. Human-in-the-loop review did not escalate the event. RCA shared based on the investigation trail.</t>
        </is>
      </c>
      <c r="P88" s="33" t="n"/>
      <c r="Q88" s="33" t="inlineStr">
        <is>
          <t>Yes</t>
        </is>
      </c>
      <c r="R88" s="39" t="n">
        <v>8</v>
      </c>
      <c r="S88" s="39" t="n"/>
      <c r="T88" s="35" t="n">
        <v>46235</v>
      </c>
      <c r="U88" s="33" t="inlineStr">
        <is>
          <t>Medium</t>
        </is>
      </c>
      <c r="V88" s="33" t="inlineStr">
        <is>
          <t>WarRoom &amp; Decision Validation</t>
        </is>
      </c>
      <c r="W88" s="33" t="inlineStr">
        <is>
          <t>EAO-23</t>
        </is>
      </c>
      <c r="X88" s="33" t="inlineStr">
        <is>
          <t>The analyst overlooked it. The missed publication occurred during the human review stage, where the significance of China's export control measures and their potential impact on affected suppliers and downstream supply chains was incorrectly assessed. The event was marked Not Impactful and was not published despite meeting the EventWatch reporting criteria. Taken from the RCA shared with Ford on 05-Aug-2026. Owner's ruling: this is an analyst miss and does not go to Product.</t>
        </is>
      </c>
      <c r="Y88" s="33" t="inlineStr">
        <is>
          <t>EventWatch Ops - Nitin Rindhe</t>
        </is>
      </c>
      <c r="Z88" s="37" t="n">
        <v>46252</v>
      </c>
    </row>
    <row r="89">
      <c r="A89" s="35" t="n">
        <v>46235</v>
      </c>
      <c r="B89" s="37" t="n">
        <v>46248</v>
      </c>
      <c r="C89" s="33" t="inlineStr">
        <is>
          <t>Bankruptcy</t>
        </is>
      </c>
      <c r="D89" s="33" t="inlineStr">
        <is>
          <t>Infineon</t>
        </is>
      </c>
      <c r="E89" s="39" t="n">
        <v>1</v>
      </c>
      <c r="F89" s="33" t="inlineStr">
        <is>
          <t>Eberhard AG Insolvency – No EventWatch Alert (Infineon)</t>
        </is>
      </c>
      <c r="G89" s="33" t="inlineStr">
        <is>
          <t>Complaint</t>
        </is>
      </c>
      <c r="H89" s="33" t="inlineStr">
        <is>
          <t>Missed insolvency alert</t>
        </is>
      </c>
      <c r="I89" s="33" t="inlineStr">
        <is>
          <t>Product</t>
        </is>
      </c>
      <c r="J89" s="33" t="inlineStr">
        <is>
          <t>Source Coverage</t>
        </is>
      </c>
      <c r="K89" s="33" t="inlineStr">
        <is>
          <t>Improvement</t>
        </is>
      </c>
      <c r="L89" s="33" t="inlineStr">
        <is>
          <t>RCA Shared</t>
        </is>
      </c>
      <c r="M89" s="33" t="inlineStr">
        <is>
          <t>Add the bankruptcy and insolvency sources covering this supplier's region to the vendor network, so a filing at a mapped supplier is captured when it is published rather than when the customer raises it</t>
        </is>
      </c>
      <c r="N89" s="33" t="inlineStr">
        <is>
          <t>Yes</t>
        </is>
      </c>
      <c r="O89"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9" s="33" t="n"/>
      <c r="Q89" s="33" t="inlineStr">
        <is>
          <t>Yes</t>
        </is>
      </c>
      <c r="R89" s="39" t="n">
        <v>8</v>
      </c>
      <c r="S89" s="39" t="n"/>
      <c r="T89" s="35" t="inlineStr">
        <is>
          <t>Aug 2026</t>
        </is>
      </c>
      <c r="U89" s="33" t="inlineStr">
        <is>
          <t>Medium</t>
        </is>
      </c>
      <c r="V89" s="33" t="inlineStr">
        <is>
          <t>Dynamic Source Discovery</t>
        </is>
      </c>
      <c r="W89" s="33" t="n"/>
      <c r="X89" s="33" t="inlineStr">
        <is>
          <t>The sources reporting the Eberhard AG insolvency are not part of the vendor network; the vendor has been asked to include them. Recorded by Product Management as a source miss at the portal.</t>
        </is>
      </c>
      <c r="Y89" s="33" t="inlineStr">
        <is>
          <t>Product &amp; Platform</t>
        </is>
      </c>
      <c r="Z89" s="37" t="n"/>
    </row>
    <row r="90">
      <c r="A90" s="35" t="n">
        <v>46235</v>
      </c>
      <c r="B90" s="37" t="n">
        <v>46251</v>
      </c>
      <c r="C90" s="33" t="inlineStr">
        <is>
          <t>Geopolitical</t>
        </is>
      </c>
      <c r="D90" s="33" t="inlineStr">
        <is>
          <t>Ford</t>
        </is>
      </c>
      <c r="E90" s="39" t="n">
        <v>1</v>
      </c>
      <c r="F90" s="33" t="inlineStr">
        <is>
          <t>Ceuta Border Security &amp; Humanitarian Crisis</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WarRoom Trigger Automation</t>
        </is>
      </c>
      <c r="N90" s="33" t="inlineStr">
        <is>
          <t>Yes</t>
        </is>
      </c>
      <c r="O90" s="33" t="inlineStr">
        <is>
          <t>EAO-27: Customer reported a missed EventWatch alert and requested an update. RCA shared following review of the event.</t>
        </is>
      </c>
      <c r="P90" s="33" t="n"/>
      <c r="Q90" s="33" t="inlineStr">
        <is>
          <t>Yes</t>
        </is>
      </c>
      <c r="R90" s="39" t="n">
        <v>8</v>
      </c>
      <c r="S90" s="39" t="n"/>
      <c r="T90" s="35" t="n">
        <v>46235</v>
      </c>
      <c r="U90" s="33" t="inlineStr">
        <is>
          <t>Medium</t>
        </is>
      </c>
      <c r="V90" s="33" t="inlineStr">
        <is>
          <t>WarRoom &amp; Decision Validation</t>
        </is>
      </c>
      <c r="W90" s="33" t="inlineStr">
        <is>
          <t>EAO-27</t>
        </is>
      </c>
      <c r="X90" s="33" t="inlineStr">
        <is>
          <t>Assessed as an isolated occurrence rather than in the context of the incidents before it. The corrective action Nitin Rindhe set out on 07-Oct-2026, answering Ford's question about whether the RCA's enhancement had been deployed, is that analysts are now expected to evaluate recurring or evolving geopolitical and border-related events against previous incidents rather than assessing each feed on its own, weighing recurrence and escalation, previously reported disruptions, proximity to critical transportation or logistics infrastructure, and implications for cross-border freight. It is a process-level change to the assessment methodology, not a product deployment. The RCA was reviewed and sent to the customer on 20-Aug-2026 as a PDF whose text is not in the ticket; the ticket closed 25-Aug-2026 and Ford reopened the thread on 05-Oct-2026 to ask about deployment.</t>
        </is>
      </c>
      <c r="Y90" s="33" t="inlineStr">
        <is>
          <t>EventWatch Ops - Nitin Rindhe</t>
        </is>
      </c>
      <c r="Z90" s="37" t="n">
        <v>46259</v>
      </c>
    </row>
    <row r="91">
      <c r="A91" s="35" t="n">
        <v>46235</v>
      </c>
      <c r="B91" s="37" t="n">
        <v>46251</v>
      </c>
      <c r="C91" s="33" t="inlineStr">
        <is>
          <t>Port Disruption</t>
        </is>
      </c>
      <c r="D91" s="33" t="inlineStr">
        <is>
          <t>Eaton</t>
        </is>
      </c>
      <c r="E91" s="39" t="n">
        <v>1</v>
      </c>
      <c r="F91" s="33" t="inlineStr">
        <is>
          <t>Kandla Port Cargo Congestion – Supplier Impact Notification Clarification (Eaton)</t>
        </is>
      </c>
      <c r="G91" s="33" t="inlineStr">
        <is>
          <t>Inquiry</t>
        </is>
      </c>
      <c r="H91" s="33" t="inlineStr">
        <is>
          <t>Supplier Impact Mapping Clarification</t>
        </is>
      </c>
      <c r="I91" s="33" t="inlineStr">
        <is>
          <t>Process</t>
        </is>
      </c>
      <c r="J91" s="33" t="inlineStr">
        <is>
          <t>Deliberate Rule</t>
        </is>
      </c>
      <c r="K91" s="33" t="inlineStr">
        <is>
          <t>Improvement</t>
        </is>
      </c>
      <c r="L91" s="33" t="inlineStr">
        <is>
          <t>Clarification Provided</t>
        </is>
      </c>
      <c r="M91" s="33" t="inlineStr">
        <is>
          <t>Impact-confirmation notification criteria documentation for port/logistics bulletins</t>
        </is>
      </c>
      <c r="N91" s="33" t="inlineStr">
        <is>
          <t>No</t>
        </is>
      </c>
      <c r="O91" s="33" t="inlineStr">
        <is>
          <t>Eaton asked what criteria triggered impact-confirmation notifications to Eaton suppliers on the Kandla Port cargo congestion bulletin, since the bulletin text focused on rice exports.</t>
        </is>
      </c>
      <c r="Q91" s="33" t="inlineStr">
        <is>
          <t>No</t>
        </is>
      </c>
      <c r="R91" s="39" t="n">
        <v>8</v>
      </c>
      <c r="T91" s="35" t="n">
        <v>46235</v>
      </c>
      <c r="U91" s="33" t="inlineStr">
        <is>
          <t>Low</t>
        </is>
      </c>
      <c r="V91" s="33" t="inlineStr">
        <is>
          <t>Entity &amp; Supplier Resolution</t>
        </is>
      </c>
      <c r="W91" s="33" t="inlineStr">
        <is>
          <t>EAO-28</t>
        </is>
      </c>
      <c r="X91"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1" s="33" t="inlineStr">
        <is>
          <t>EventWatch Ops - Nitin Rindhe</t>
        </is>
      </c>
      <c r="Z91" s="37" t="n">
        <v>46259</v>
      </c>
    </row>
    <row r="92">
      <c r="A92" s="35" t="n">
        <v>46235</v>
      </c>
      <c r="B92" s="37" t="n">
        <v>46252</v>
      </c>
      <c r="C92" s="33" t="inlineStr">
        <is>
          <t>Factory Fire</t>
        </is>
      </c>
      <c r="D92" s="33" t="inlineStr">
        <is>
          <t>Ford</t>
        </is>
      </c>
      <c r="E92" s="39" t="n">
        <v>1</v>
      </c>
      <c r="F92" s="33" t="inlineStr">
        <is>
          <t>Sasol Polyethylene Plant Fire / Shutdown</t>
        </is>
      </c>
      <c r="G92" s="33" t="inlineStr">
        <is>
          <t>Inquiry</t>
        </is>
      </c>
      <c r="H92" s="33" t="inlineStr">
        <is>
          <t>Supplier Impact Mapping Clarification</t>
        </is>
      </c>
      <c r="I92" s="33" t="inlineStr">
        <is>
          <t>Process</t>
        </is>
      </c>
      <c r="J92" s="33" t="inlineStr">
        <is>
          <t>Supplier / Site Not Shared</t>
        </is>
      </c>
      <c r="K92" s="33" t="inlineStr">
        <is>
          <t>Improvement</t>
        </is>
      </c>
      <c r="L92" s="33" t="inlineStr">
        <is>
          <t>RCA Shared</t>
        </is>
      </c>
      <c r="M92" s="33" t="inlineStr">
        <is>
          <t>A site-data completeness review with the customer, so a facility of a named supplier that is absent from the customer-provided data is identified before an event tests it</t>
        </is>
      </c>
      <c r="N92" s="33" t="inlineStr">
        <is>
          <t>Yes</t>
        </is>
      </c>
      <c r="O92" s="33" t="inlineStr">
        <is>
          <t>EAO-26: Customer reported a missed EventWatch alert for the Sasol polyethylene plant fire and shutdown. Investigation and RCA were requested; RCA shared.</t>
        </is>
      </c>
      <c r="P92" s="33" t="n"/>
      <c r="Q92" s="33" t="inlineStr">
        <is>
          <t>No</t>
        </is>
      </c>
      <c r="R92" s="39" t="n">
        <v>8</v>
      </c>
      <c r="S92" s="39" t="n"/>
      <c r="T92" s="35" t="n">
        <v>46235</v>
      </c>
      <c r="U92" s="33" t="inlineStr">
        <is>
          <t>Low</t>
        </is>
      </c>
      <c r="V92" s="33" t="inlineStr">
        <is>
          <t>Entity &amp; Supplier Resolution</t>
        </is>
      </c>
      <c r="W92" s="33" t="inlineStr">
        <is>
          <t>EAO-26</t>
        </is>
      </c>
      <c r="X92" s="33" t="inlineStr">
        <is>
          <t>The affected Sasol facility was never in the customer-provided data, so no notification was owed. No independent public reporting was identified before 24-Jul-2026 and the 24-Jul article was successfully captured when it became available; the facility was not mapped in the Resilinc database, no mapped supplier sites were in the immediate vicinity, and the first available article reported an incident three days old, which together led to the event being classified Not Impactful. Settled by the owner on 22-Oct-2026 under the NVR Kinston rule: where the site was never shared with Resilinc, nothing in the platform and nothing an analyst did failed, and the remedy is how site data is gathered from the customer rather than a platform change. Issue Type is Inquiry, Root Cause Process, and Missed_Flag No. This supersedes both the original Source Coverage filing and the Product / Mapping reading of 22-Oct-2026.</t>
        </is>
      </c>
      <c r="Y92" s="33" t="inlineStr">
        <is>
          <t>EventWatch Ops - Nitin Rindhe</t>
        </is>
      </c>
      <c r="Z92" s="37" t="n">
        <v>46259</v>
      </c>
    </row>
    <row r="93">
      <c r="A93" s="35" t="n">
        <v>46235</v>
      </c>
      <c r="B93" s="37" t="n">
        <v>46254</v>
      </c>
      <c r="C93" s="33" t="inlineStr">
        <is>
          <t>Hurricane/Typhoon</t>
        </is>
      </c>
      <c r="D93" s="33" t="inlineStr">
        <is>
          <t>Ford</t>
        </is>
      </c>
      <c r="E93" s="39" t="n">
        <v>1</v>
      </c>
      <c r="F93" s="33" t="inlineStr">
        <is>
          <t>Typhoon Dolphin Bulletins Distributed Across Two WarRooms</t>
        </is>
      </c>
      <c r="G93" s="33" t="inlineStr">
        <is>
          <t>Inquiry</t>
        </is>
      </c>
      <c r="H93" s="33" t="inlineStr">
        <is>
          <t>Coverage Verification Request</t>
        </is>
      </c>
      <c r="I93" s="33" t="inlineStr">
        <is>
          <t>Product</t>
        </is>
      </c>
      <c r="J93" s="33" t="inlineStr">
        <is>
          <t>Clustering / Duplication Defect</t>
        </is>
      </c>
      <c r="K93" s="33" t="inlineStr">
        <is>
          <t>Improvement</t>
        </is>
      </c>
      <c r="L93" s="33" t="inlineStr">
        <is>
          <t>RCA Shared</t>
        </is>
      </c>
      <c r="M93" s="33" t="inlineStr">
        <is>
          <t>Make the shared update sequence legible on the bulletin itself, so a jump from Update 2 to Update 5 in one country's WarRoom shows which storm-lifecycle updates ran under the other WarRooms instead of reading as missing bulletins</t>
        </is>
      </c>
      <c r="N93" s="33" t="inlineStr">
        <is>
          <t>No</t>
        </is>
      </c>
      <c r="O93" s="33" t="inlineStr">
        <is>
          <t>EAO-29: Bulletins were distributed across two WarRooms, resulting in gaps in the update sequence. Customer requested RCA; RCA shared.</t>
        </is>
      </c>
      <c r="P93" s="33" t="n"/>
      <c r="Q93" s="33" t="inlineStr">
        <is>
          <t>No</t>
        </is>
      </c>
      <c r="R93" s="39" t="n">
        <v>8</v>
      </c>
      <c r="S93" s="39" t="n"/>
      <c r="T93" s="35" t="n">
        <v>46235</v>
      </c>
      <c r="U93" s="33" t="inlineStr">
        <is>
          <t>Low</t>
        </is>
      </c>
      <c r="V93" s="33" t="inlineStr">
        <is>
          <t>Other Control Automation</t>
        </is>
      </c>
      <c r="W93" s="33" t="inlineStr">
        <is>
          <t>EAO-29</t>
        </is>
      </c>
      <c r="X93"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3" s="33" t="inlineStr">
        <is>
          <t>Product &amp; Platform</t>
        </is>
      </c>
      <c r="Z93" s="37" t="n">
        <v>46272</v>
      </c>
    </row>
    <row r="94">
      <c r="A94" s="35" t="n">
        <v>46235</v>
      </c>
      <c r="B94" s="37" t="n">
        <v>46255</v>
      </c>
      <c r="C94" s="33" t="inlineStr">
        <is>
          <t>Port Disruption</t>
        </is>
      </c>
      <c r="D94" s="33" t="inlineStr">
        <is>
          <t>Ford/GM</t>
        </is>
      </c>
      <c r="E94" s="39" t="n">
        <v>2</v>
      </c>
      <c r="F94" s="33" t="inlineStr">
        <is>
          <t>World Trade Bridge Closed in Laredo, Texas</t>
        </is>
      </c>
      <c r="G94" s="33" t="inlineStr">
        <is>
          <t>Complaint</t>
        </is>
      </c>
      <c r="H94" s="33" t="inlineStr">
        <is>
          <t>Missed Event</t>
        </is>
      </c>
      <c r="I94" s="33" t="inlineStr">
        <is>
          <t>Product</t>
        </is>
      </c>
      <c r="J94" s="33" t="inlineStr">
        <is>
          <t>Keyword Update</t>
        </is>
      </c>
      <c r="K94" s="33" t="inlineStr">
        <is>
          <t>Improvement</t>
        </is>
      </c>
      <c r="L94" s="33" t="inlineStr">
        <is>
          <t>Fixed</t>
        </is>
      </c>
      <c r="M94" s="33" t="inlineStr">
        <is>
          <t>Keyword coverage review on the feed harvesting algorithm for border and crossing closures, so a closure reported in the public domain is captured without a customer inquiry prompting it</t>
        </is>
      </c>
      <c r="N94" s="33" t="inlineStr">
        <is>
          <t>Yes</t>
        </is>
      </c>
      <c r="O94" s="33" t="inlineStr">
        <is>
          <t>EAO-25: Event was missed due to a keyword gap. Keyword was added and the article is now being captured.</t>
        </is>
      </c>
      <c r="P94" s="33" t="n"/>
      <c r="Q94" s="33" t="inlineStr">
        <is>
          <t>Yes</t>
        </is>
      </c>
      <c r="R94" s="39" t="n">
        <v>8</v>
      </c>
      <c r="S94" s="39" t="n"/>
      <c r="T94" s="35" t="n">
        <v>46235</v>
      </c>
      <c r="U94" s="33" t="inlineStr">
        <is>
          <t>Medium</t>
        </is>
      </c>
      <c r="V94" s="33" t="inlineStr">
        <is>
          <t>Dynamic Source Discovery</t>
        </is>
      </c>
      <c r="W94" s="33" t="inlineStr">
        <is>
          <t>EAO-25</t>
        </is>
      </c>
      <c r="X94" s="33" t="inlineStr">
        <is>
          <t>A keyword gap in the feed harvesting algorithm. Product Management's investigation identified the gap, which stopped the relevant articles about the bridge closure being captured and processed by EventWatch, so the event never entered the AI classification or human-in-the-loop review workflow. Corrective actions: the event was assessed against the EventWatch reporting criteria after the customer inquiry and a bulletin was published; Product Management investigated the feed capture failure and identified the keyword gap; and the missing keyword was added to the feed harvesting algorithm. Taken from the RCA shared with the customer.</t>
        </is>
      </c>
      <c r="Y94" s="33" t="inlineStr">
        <is>
          <t>Product &amp; Platform</t>
        </is>
      </c>
      <c r="Z94" s="37" t="n"/>
    </row>
    <row r="95">
      <c r="A95" s="35" t="n">
        <v>46235</v>
      </c>
      <c r="B95" s="37" t="n">
        <v>46255</v>
      </c>
      <c r="C95" s="33" t="inlineStr">
        <is>
          <t>Factory Fire</t>
        </is>
      </c>
      <c r="D95" s="33" t="inlineStr">
        <is>
          <t>Ford/GM</t>
        </is>
      </c>
      <c r="E95" s="39" t="n">
        <v>2</v>
      </c>
      <c r="F95" s="33" t="inlineStr">
        <is>
          <t>Fire at FXI de Cuautitlán, S.A. de C.V.</t>
        </is>
      </c>
      <c r="G95" s="33" t="inlineStr">
        <is>
          <t>Complaint</t>
        </is>
      </c>
      <c r="H95" s="33" t="inlineStr">
        <is>
          <t>Missed Event</t>
        </is>
      </c>
      <c r="I95" s="33" t="inlineStr">
        <is>
          <t>Product</t>
        </is>
      </c>
      <c r="J95" s="33" t="inlineStr">
        <is>
          <t>Source Coverage</t>
        </is>
      </c>
      <c r="K95" s="33" t="inlineStr">
        <is>
          <t>Improvement</t>
        </is>
      </c>
      <c r="L95" s="33" t="inlineStr">
        <is>
          <t>RCA Shared</t>
        </is>
      </c>
      <c r="M95" s="33" t="inlineStr">
        <is>
          <t>Vendor source network gap tracking, so an outlet found to be carrying an incident outside the monitoring network is submitted for inclusion and the submission tracked to confirmation</t>
        </is>
      </c>
      <c r="N95" s="33" t="inlineStr">
        <is>
          <t>Yes</t>
        </is>
      </c>
      <c r="O95" s="33" t="inlineStr">
        <is>
          <t>EAO-25: Event was not captured by the vendor due to a source coverage gap. Vendor was asked to add the sources to its network. RCA shared based on the investigation trail. Unresolved: EAO-13 records the same Cuautitlan FXI fire of 28-Jun-2026 as captured and then classified Not Impactful by the model, which is the opposite finding. Both tickets are Ford-facing and the contradiction has not been resolved.</t>
        </is>
      </c>
      <c r="P95" s="33" t="n"/>
      <c r="Q95" s="33" t="inlineStr">
        <is>
          <t>Yes</t>
        </is>
      </c>
      <c r="R95" s="39" t="n">
        <v>8</v>
      </c>
      <c r="S95" s="39" t="n"/>
      <c r="T95" s="35" t="n">
        <v>46235</v>
      </c>
      <c r="U95" s="33" t="inlineStr">
        <is>
          <t>Medium</t>
        </is>
      </c>
      <c r="V95" s="33" t="inlineStr">
        <is>
          <t>Dynamic Source Discovery</t>
        </is>
      </c>
      <c r="W95" s="33" t="inlineStr">
        <is>
          <t>EAO-25</t>
        </is>
      </c>
      <c r="X95" s="33" t="inlineStr">
        <is>
          <t>An upstream source coverage gap, not an AI classification or human review error. Product Management confirmed that the sources reporting the incident were not part of the news vendor's monitoring network, so the relevant articles were never captured by EventWatch and never proceeded to AI classification or human-in-the-loop review. Corrective actions: the incident was reassessed against the reporting criteria after the customer inquiry and a bulletin was published; Product Management investigated the capture failure with the vendor; and the relevant sources were submitted to the vendor with a request to include them in its monitoring network. Taken from the RCA shared with the customer. Settled on 22-Oct-2026: the owner ruled this finding over EAO-13's, which described the same fire as captured and then misjudged by the models, and EAO-13's row moved to Source Coverage to match.</t>
        </is>
      </c>
      <c r="Y95" s="33" t="inlineStr">
        <is>
          <t>Product &amp; Platform</t>
        </is>
      </c>
      <c r="Z95" s="37" t="n"/>
    </row>
    <row r="96">
      <c r="A96" s="35" t="n">
        <v>46235</v>
      </c>
      <c r="B96" s="37" t="n">
        <v>46258</v>
      </c>
      <c r="C96" s="33" t="inlineStr">
        <is>
          <t>Factory Fire</t>
        </is>
      </c>
      <c r="D96" s="33" t="inlineStr">
        <is>
          <t>Ford/GM</t>
        </is>
      </c>
      <c r="E96" s="39" t="n">
        <v>2</v>
      </c>
      <c r="F96" s="33" t="inlineStr">
        <is>
          <t>Fire at Nemak Factory in Monterrey, Mexico</t>
        </is>
      </c>
      <c r="G96" s="33" t="inlineStr">
        <is>
          <t>Complaint</t>
        </is>
      </c>
      <c r="H96" s="33" t="inlineStr">
        <is>
          <t>Missed Event</t>
        </is>
      </c>
      <c r="I96" s="33" t="inlineStr">
        <is>
          <t>Product</t>
        </is>
      </c>
      <c r="J96" s="33" t="inlineStr">
        <is>
          <t>Clustering / Duplication Defect</t>
        </is>
      </c>
      <c r="K96" s="33" t="inlineStr">
        <is>
          <t>Improvement</t>
        </is>
      </c>
      <c r="L96" s="33" t="inlineStr">
        <is>
          <t>RCA Shared</t>
        </is>
      </c>
      <c r="M96" s="33" t="inlineStr">
        <is>
          <t>Cluster separation validation for distinct industrial incidents, so a new fire at a different facility is not absorbed as an update to an existing cluster</t>
        </is>
      </c>
      <c r="N96" s="33" t="inlineStr">
        <is>
          <t>Yes</t>
        </is>
      </c>
      <c r="O96" s="33" t="inlineStr">
        <is>
          <t>EAO-25: News processing captured the article and attached it to an updated factory-fire cluster. The event was later marked Not Impactful by the analyst. RCA shared based on the investigation trail.</t>
        </is>
      </c>
      <c r="P96" s="33" t="n"/>
      <c r="Q96" s="33" t="inlineStr">
        <is>
          <t>Yes</t>
        </is>
      </c>
      <c r="R96" s="39" t="n">
        <v>8</v>
      </c>
      <c r="S96" s="39" t="n"/>
      <c r="T96" s="35" t="n">
        <v>46235</v>
      </c>
      <c r="U96" s="33" t="inlineStr">
        <is>
          <t>Medium</t>
        </is>
      </c>
      <c r="V96" s="33" t="inlineStr">
        <is>
          <t>Cluster Integrity &amp; Duplicate Prevention</t>
        </is>
      </c>
      <c r="W96" s="33" t="inlineStr">
        <is>
          <t>EAO-25</t>
        </is>
      </c>
      <c r="X96" s="33" t="inlineStr">
        <is>
          <t>Incorrect AI event clustering, not corrected at human review. The news processing pipeline captured the articles about the 30-Jul-2026 fire at Nemak's Santa Catarina plant, so there was no feed harvesting or source coverage issue. The AI classification models associated the articles with an existing event cluster instead of identifying the fire as a distinct industrial incident requiring independent assessment, and the reporting team accepted that classification at human-in-the-loop review and marked the feeds Not Impactful without recognising they were a separate fire. The RCA states the root cause as a combination of incorrect AI event clustering and insufficient validation during human review. A bulletin was published after the customer inquiry. Taken from the RCA shared with the customer, which supersedes the earlier filing of this row as People / Review: the failure originated in the clustering, and the Caterpillar Isselguss row (EAO-9) is the owner's precedent for filing that shape as a Product clustering defect rather than an analyst failure.</t>
        </is>
      </c>
      <c r="Y96" s="33" t="inlineStr">
        <is>
          <t>Product &amp; Platform</t>
        </is>
      </c>
      <c r="Z96" s="37" t="n"/>
    </row>
    <row r="97">
      <c r="A97" s="35" t="n">
        <v>46235</v>
      </c>
      <c r="B97" s="37" t="n">
        <v>46258</v>
      </c>
      <c r="C97" s="33" t="inlineStr">
        <is>
          <t>Cyber Attack</t>
        </is>
      </c>
      <c r="D97" s="33" t="inlineStr">
        <is>
          <t>The American National Red Cross</t>
        </is>
      </c>
      <c r="E97" s="39" t="n">
        <v>1</v>
      </c>
      <c r="F97" s="33" t="inlineStr">
        <is>
          <t>Uber Freight Investigates Reported Cyberattack After Hackers Claim Data Breach</t>
        </is>
      </c>
      <c r="G97" s="33" t="inlineStr">
        <is>
          <t>Complaint</t>
        </is>
      </c>
      <c r="H97" s="33" t="inlineStr">
        <is>
          <t>WarRoom not visible in customer profile</t>
        </is>
      </c>
      <c r="I97" s="33" t="inlineStr">
        <is>
          <t>People</t>
        </is>
      </c>
      <c r="J97" s="33" t="inlineStr">
        <is>
          <t>Industry selection</t>
        </is>
      </c>
      <c r="K97" s="33" t="inlineStr">
        <is>
          <t>Improvement</t>
        </is>
      </c>
      <c r="L97" s="33" t="inlineStr">
        <is>
          <t>RCA Shared</t>
        </is>
      </c>
      <c r="M97" s="33" t="inlineStr">
        <is>
          <t>Notification Visibility Monitoring</t>
        </is>
      </c>
      <c r="N97" s="33" t="inlineStr">
        <is>
          <t>No</t>
        </is>
      </c>
      <c r="O97" s="33" t="inlineStr">
        <is>
          <t>EAO-30: EventWatch news was published on August 13 but was not visible on the customer portal. Portal visibility investigation completed and clarification provided. Settled by the owner: the bulletin was published, but the analyst selected incomplete industries and review did not correct the selection. Superseded on 15-Oct-2026 under the delivery test: published is not delivered. Nothing reached the Red Cross portal, so Missed_Flag is Yes.</t>
        </is>
      </c>
      <c r="P97" s="33" t="n"/>
      <c r="Q97" s="33" t="inlineStr">
        <is>
          <t>Yes</t>
        </is>
      </c>
      <c r="R97" s="39" t="n">
        <v>8</v>
      </c>
      <c r="S97" s="39" t="n"/>
      <c r="T97" s="35" t="n">
        <v>46235</v>
      </c>
      <c r="U97" s="33" t="inlineStr">
        <is>
          <t>Medium</t>
        </is>
      </c>
      <c r="V97" s="33" t="inlineStr">
        <is>
          <t>Notification Visibility Monitoring</t>
        </is>
      </c>
      <c r="W97" s="33" t="inlineStr">
        <is>
          <t>TS-22695</t>
        </is>
      </c>
      <c r="X97" s="33" t="inlineStr">
        <is>
          <t>The bulletin was published on 13-Aug-2026 and incorrect industry selection kept it off the Red Cross portal. The analyst selected incomplete industries and review did not correct the selection, so a customer-specific treatment existed only after the Red Cross chased it.</t>
        </is>
      </c>
      <c r="Y97" s="33" t="inlineStr">
        <is>
          <t>EventWatch Ops - Nitin Rindhe</t>
        </is>
      </c>
      <c r="Z97" s="37" t="n"/>
    </row>
    <row r="98">
      <c r="A98" s="35" t="n">
        <v>46235</v>
      </c>
      <c r="B98" s="37" t="n">
        <v>46265</v>
      </c>
      <c r="C98" s="33" t="inlineStr">
        <is>
          <t>Cyber Attack</t>
        </is>
      </c>
      <c r="D98" s="33" t="inlineStr">
        <is>
          <t>Schneider Electric</t>
        </is>
      </c>
      <c r="E98" s="39" t="n">
        <v>1</v>
      </c>
      <c r="F98" s="33" t="inlineStr">
        <is>
          <t>Gindre India Data Breach – EventWatch Alert/WarRoom Missing</t>
        </is>
      </c>
      <c r="G98" s="33" t="inlineStr">
        <is>
          <t>Complaint</t>
        </is>
      </c>
      <c r="H98" s="33" t="inlineStr">
        <is>
          <t>Missed Event</t>
        </is>
      </c>
      <c r="I98" s="33" t="inlineStr">
        <is>
          <t>Product</t>
        </is>
      </c>
      <c r="J98" s="33" t="inlineStr">
        <is>
          <t>Source Coverage</t>
        </is>
      </c>
      <c r="K98" s="33" t="inlineStr">
        <is>
          <t>Improvement</t>
        </is>
      </c>
      <c r="L98" s="33" t="inlineStr">
        <is>
          <t>RCA Shared</t>
        </is>
      </c>
      <c r="M98" s="33" t="inlineStr">
        <is>
          <t>Dynamic Source Discovery</t>
        </is>
      </c>
      <c r="N98" s="33" t="inlineStr">
        <is>
          <t>Yes</t>
        </is>
      </c>
      <c r="O98" s="33" t="inlineStr">
        <is>
          <t>EAO-31: No corresponding EventWatch event or WarRoom was found for the reported data breach. Source coverage review completed and RCA shared.</t>
        </is>
      </c>
      <c r="P98" s="33" t="n"/>
      <c r="Q98" s="33" t="inlineStr">
        <is>
          <t>Yes</t>
        </is>
      </c>
      <c r="R98" s="39" t="n">
        <v>8</v>
      </c>
      <c r="S98" s="39" t="n"/>
      <c r="T98" s="35" t="n">
        <v>46235</v>
      </c>
      <c r="U98" s="33" t="inlineStr">
        <is>
          <t>Medium</t>
        </is>
      </c>
      <c r="V98" s="33" t="inlineStr">
        <is>
          <t>Dynamic Source Discovery</t>
        </is>
      </c>
      <c r="W98" s="33" t="inlineStr">
        <is>
          <t>EAO-31</t>
        </is>
      </c>
      <c r="X98" s="33" t="inlineStr">
        <is>
          <t>Feeds reporting the Qilin ransomware breach at Gindre India were not captured on the EventWatch portal; Engineering investigation requested 31-Aug-2026. RCA reviewed and shared with the customer 03-Sep-2026.</t>
        </is>
      </c>
      <c r="Y98" s="33" t="inlineStr">
        <is>
          <t>Product &amp; Platform</t>
        </is>
      </c>
      <c r="Z98" s="37" t="n">
        <v>46272</v>
      </c>
    </row>
    <row r="99">
      <c r="A99" s="35" t="n">
        <v>46235</v>
      </c>
      <c r="B99" s="37" t="n">
        <v>46265</v>
      </c>
      <c r="C99" s="33" t="inlineStr">
        <is>
          <t>Cyber Attack</t>
        </is>
      </c>
      <c r="D99" s="33" t="inlineStr">
        <is>
          <t>Merck</t>
        </is>
      </c>
      <c r="E99" s="39" t="n">
        <v>1</v>
      </c>
      <c r="F99" s="33" t="inlineStr">
        <is>
          <t>Baxter International Reports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Not Impactful Decision Validation</t>
        </is>
      </c>
      <c r="N99" s="33" t="inlineStr">
        <is>
          <t>Yes</t>
        </is>
      </c>
      <c r="O99" s="33" t="inlineStr">
        <is>
          <t>Customer reported the missed Baxter ransomware incident. EventWatch captured the report on August 14, but human review incorrectly marked it Not Impactful;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Cyber Attack</t>
        </is>
      </c>
      <c r="D100" s="33" t="inlineStr">
        <is>
          <t>Merck</t>
        </is>
      </c>
      <c r="E100" s="39" t="n">
        <v>1</v>
      </c>
      <c r="F100" s="33" t="inlineStr">
        <is>
          <t>McKesson Corporation Confirms Data Breach Following a Cybersecurity Incident</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Entity &amp; Duplicate Decision Validation</t>
        </is>
      </c>
      <c r="N100" s="33" t="inlineStr">
        <is>
          <t>Yes</t>
        </is>
      </c>
      <c r="O100" s="33" t="inlineStr">
        <is>
          <t>Customer reported the missed McKesson data-breach incident. EventWatch captured the report on August 28, but human review assumed it was already covered; the event was re-evaluated, a WarRoom was created, and an NC was raised.</t>
        </is>
      </c>
      <c r="P100" s="33" t="n"/>
      <c r="Q100" s="33" t="inlineStr">
        <is>
          <t>Yes</t>
        </is>
      </c>
      <c r="R100" s="39" t="n">
        <v>8</v>
      </c>
      <c r="S100" s="39" t="n"/>
      <c r="T100" s="35" t="n">
        <v>46235</v>
      </c>
      <c r="U100" s="33" t="inlineStr">
        <is>
          <t>Medium</t>
        </is>
      </c>
      <c r="V100" s="33" t="inlineStr">
        <is>
          <t>WarRoom &amp; Decision Validation</t>
        </is>
      </c>
      <c r="X100" s="33" t="n"/>
      <c r="Y100" s="33" t="inlineStr">
        <is>
          <t>EventWatch Ops - Nitin Rindhe</t>
        </is>
      </c>
      <c r="Z100" s="37" t="n"/>
    </row>
    <row r="101">
      <c r="A101" s="35" t="n">
        <v>46235</v>
      </c>
      <c r="B101" s="37" t="n">
        <v>46265</v>
      </c>
      <c r="C101" s="33" t="inlineStr">
        <is>
          <t>Counterfeit</t>
        </is>
      </c>
      <c r="D101" s="33" t="inlineStr">
        <is>
          <t>Liberty Blume</t>
        </is>
      </c>
      <c r="E101" s="39" t="n">
        <v>1</v>
      </c>
      <c r="F101" s="33" t="inlineStr">
        <is>
          <t>Ciena 400G Optics Counterfeit Risk Intelligence Request (Liberty Blume)</t>
        </is>
      </c>
      <c r="G101" s="33" t="inlineStr">
        <is>
          <t>Inquiry</t>
        </is>
      </c>
      <c r="H101" s="33" t="inlineStr">
        <is>
          <t>Intelligence/Advisory Request</t>
        </is>
      </c>
      <c r="I101" s="33" t="inlineStr">
        <is>
          <t>Process</t>
        </is>
      </c>
      <c r="J101" s="33" t="inlineStr">
        <is>
          <t>Process Clarification</t>
        </is>
      </c>
      <c r="K101" s="33" t="inlineStr">
        <is>
          <t>Improvement</t>
        </is>
      </c>
      <c r="L101" s="33" t="inlineStr">
        <is>
          <t>Clarification Provided</t>
        </is>
      </c>
      <c r="M101" s="33" t="inlineStr">
        <is>
          <t>Counterfeit/grey-market component intelligence briefing capability</t>
        </is>
      </c>
      <c r="N101" s="33" t="inlineStr">
        <is>
          <t>No</t>
        </is>
      </c>
      <c r="O101" s="33" t="inlineStr">
        <is>
          <t>Liberty Blume requested industry intelligence on counterfeit/grey-market Ciena 400G optical transceivers beyond the supplier scanning report already provided.</t>
        </is>
      </c>
      <c r="Q101" s="33" t="inlineStr">
        <is>
          <t>No</t>
        </is>
      </c>
      <c r="R101" s="39" t="n">
        <v>8</v>
      </c>
      <c r="T101" s="35" t="n">
        <v>46235</v>
      </c>
      <c r="U101" s="33" t="inlineStr">
        <is>
          <t>Low</t>
        </is>
      </c>
      <c r="V101" s="33" t="inlineStr">
        <is>
          <t>Other Control Automation</t>
        </is>
      </c>
      <c r="W101" s="33" t="inlineStr">
        <is>
          <t>EAO-32</t>
        </is>
      </c>
      <c r="X101"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1" s="33" t="inlineStr">
        <is>
          <t>EventWatch Ops - Nitin Rindhe</t>
        </is>
      </c>
      <c r="Z101" s="37" t="n"/>
    </row>
    <row r="102">
      <c r="A102" s="35" t="n">
        <v>46266</v>
      </c>
      <c r="B102" s="37" t="n">
        <v>46267</v>
      </c>
      <c r="C102" s="33" t="inlineStr">
        <is>
          <t>Geopolitical</t>
        </is>
      </c>
      <c r="D102" s="33" t="inlineStr">
        <is>
          <t>Caterpillar</t>
        </is>
      </c>
      <c r="E102" s="39" t="n">
        <v>1</v>
      </c>
      <c r="F102" s="33" t="inlineStr">
        <is>
          <t>Taiwan Strait Conflict Risk Assessment – Missed EventWatch Notification</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Geopolitical conflict risk-assessment scenario monitoring and escalation</t>
        </is>
      </c>
      <c r="N102" s="33" t="inlineStr">
        <is>
          <t>Yes</t>
        </is>
      </c>
      <c r="O102" s="33" t="inlineStr">
        <is>
          <t>Caterpillar reported no notification for “Taiwan Strait Conflict Risk Assessment and Potential Global Supply Chain Impact”; CS found no matching event in the backend.</t>
        </is>
      </c>
      <c r="Q102" s="33" t="inlineStr">
        <is>
          <t>Yes</t>
        </is>
      </c>
      <c r="R102" s="39" t="n">
        <v>9</v>
      </c>
      <c r="T102" s="35" t="n">
        <v>46266</v>
      </c>
      <c r="U102" s="33" t="inlineStr">
        <is>
          <t>Medium</t>
        </is>
      </c>
      <c r="V102" s="33" t="inlineStr">
        <is>
          <t>WarRoom &amp; Decision Validation</t>
        </is>
      </c>
      <c r="W102" s="33" t="inlineStr">
        <is>
          <t>EAO-33</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v>46286</v>
      </c>
    </row>
    <row r="103">
      <c r="A103" s="35" t="n">
        <v>46266</v>
      </c>
      <c r="B103" s="37" t="n">
        <v>46268</v>
      </c>
      <c r="C103" s="33" t="inlineStr">
        <is>
          <t>Protest/Riot</t>
        </is>
      </c>
      <c r="D103" s="33" t="inlineStr">
        <is>
          <t>Ford</t>
        </is>
      </c>
      <c r="E103" s="39" t="n">
        <v>1</v>
      </c>
      <c r="F103" s="33" t="inlineStr">
        <is>
          <t>Western Balkans Truck Driver/EU Border Blockade – August 31 Update Missed Alert (Ford)</t>
        </is>
      </c>
      <c r="G103" s="33" t="inlineStr">
        <is>
          <t>Complaint</t>
        </is>
      </c>
      <c r="H103" s="33" t="inlineStr">
        <is>
          <t>Missed Event</t>
        </is>
      </c>
      <c r="I103" s="33" t="inlineStr">
        <is>
          <t>People</t>
        </is>
      </c>
      <c r="J103" s="33" t="inlineStr">
        <is>
          <t>Review</t>
        </is>
      </c>
      <c r="K103" s="33" t="inlineStr">
        <is>
          <t>Improvement</t>
        </is>
      </c>
      <c r="L103" s="33" t="inlineStr">
        <is>
          <t>RCA Shared</t>
        </is>
      </c>
      <c r="M103" s="33" t="inlineStr">
        <is>
          <t>Recurring/evolving-event WarRoom update monitoring and re-escalation detection</t>
        </is>
      </c>
      <c r="N103" s="33" t="inlineStr">
        <is>
          <t>Yes</t>
        </is>
      </c>
      <c r="O103" s="33" t="inlineStr">
        <is>
          <t>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3" s="33" t="inlineStr">
        <is>
          <t>Yes</t>
        </is>
      </c>
      <c r="R103" s="39" t="n">
        <v>9</v>
      </c>
      <c r="T103" s="35" t="n">
        <v>46266</v>
      </c>
      <c r="U103" s="33" t="inlineStr">
        <is>
          <t>Medium</t>
        </is>
      </c>
      <c r="V103" s="33" t="inlineStr">
        <is>
          <t>WarRoom &amp; Decision Validation</t>
        </is>
      </c>
      <c r="W103" s="33" t="inlineStr">
        <is>
          <t>EAO-34</t>
        </is>
      </c>
      <c r="X103" s="33" t="inlineStr">
        <is>
          <t>Human error. The analyst marked the event Not Impactful while clearing stories at pace, so it was never escalated for WarRoom consideration. The event was captured and available for review; ingestion, source coverage and mapping did not contribute.</t>
        </is>
      </c>
      <c r="Y103" s="33" t="inlineStr">
        <is>
          <t>EventWatch Ops - Nitin Rindhe</t>
        </is>
      </c>
      <c r="Z103" s="37" t="n">
        <v>46290</v>
      </c>
    </row>
    <row r="104">
      <c r="A104" s="35" t="n">
        <v>46266</v>
      </c>
      <c r="B104" s="37" t="n">
        <v>46272</v>
      </c>
      <c r="C104" s="33" t="inlineStr">
        <is>
          <t>Power Outage</t>
        </is>
      </c>
      <c r="D104" s="33" t="inlineStr">
        <is>
          <t>Eaton/Ford</t>
        </is>
      </c>
      <c r="E104" s="39" t="n">
        <v>2</v>
      </c>
      <c r="F104" s="33" t="inlineStr">
        <is>
          <t>Punjab Region Risk Event – Supplier Sites Outside the Impact Area Mapped for Impact Confirmation (Eaton/Ford)</t>
        </is>
      </c>
      <c r="G104" s="33" t="inlineStr">
        <is>
          <t>Complaint</t>
        </is>
      </c>
      <c r="H104" s="33" t="inlineStr">
        <is>
          <t>Geographic Misclassification</t>
        </is>
      </c>
      <c r="I104" s="33" t="inlineStr">
        <is>
          <t>Product</t>
        </is>
      </c>
      <c r="J104" s="33" t="inlineStr">
        <is>
          <t>Incorrect Geocode</t>
        </is>
      </c>
      <c r="K104" s="33" t="inlineStr">
        <is>
          <t>Improvement</t>
        </is>
      </c>
      <c r="L104" s="33" t="inlineStr">
        <is>
          <t>RCA Shared</t>
        </is>
      </c>
      <c r="M104" s="33" t="inlineStr">
        <is>
          <t>Geographic validation of supplier site geocodes against the event impact polygon before impact-confirmation requests are issued, so sites outside the affected region cannot be attached to an event</t>
        </is>
      </c>
      <c r="N104" s="33" t="inlineStr">
        <is>
          <t>Yes</t>
        </is>
      </c>
      <c r="O104" s="33" t="inlineStr">
        <is>
          <t>One incident reported by two customers on consecutive days, merged from Jira EAO-35 (Eaton, 07-Sep, In Progress) and EAO-36 (Ford, 08-Sep, closed 22-Oct-2026).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cause is incorrect geocoding of supplier site coordinates rather than an operator or polygon error. Ford requested RCA, immediate corrective action and preventive corrective action. Number of Customers is 2; see the customer exposure table for the per-customer split. Confirmed on 08-Oct-2026 as a geocode mismatch, not a probable one: the SMI AMTEK site carried two sets of coordinates and one of them pinned it near Chandigarh. The impact polygon and the automated selection operated correctly on the coordinates available in the system. Sub-type moved from Mapping / Routing Defect to Incorrect Geocode on 22-Oct-2026, that value having been added for this failure. Closed by the owner on 22-Oct-2026: the Data team acknowledged the geocode issue and nothing further is coming back on the source of the Pune site's coordinates, so the row is settled on the finding above rather than held open for an answer. EAO-36 resolved 22-Oct-2026 and EAO-35 was still at In Progress when the owner closed it. One thing is recorded as unconfirmed rather than chased: the DO team's correction of the SMI AMTEK coordinates. The proximity explanation given to the customer on 11-Sep-2026 is superseded by the finding above.</t>
        </is>
      </c>
      <c r="P104" s="33" t="n"/>
      <c r="Q104" s="33" t="inlineStr">
        <is>
          <t>No</t>
        </is>
      </c>
      <c r="R104" s="39" t="n">
        <v>9</v>
      </c>
      <c r="S104" s="39" t="n"/>
      <c r="T104" s="35" t="inlineStr">
        <is>
          <t>Sep 2026</t>
        </is>
      </c>
      <c r="U104" s="33" t="inlineStr">
        <is>
          <t>Medium</t>
        </is>
      </c>
      <c r="V104" s="33" t="inlineStr">
        <is>
          <t>Entity &amp; Supplier Resolution</t>
        </is>
      </c>
      <c r="W104" s="33" t="inlineStr">
        <is>
          <t>EAO-35/EAO-36</t>
        </is>
      </c>
      <c r="X104" s="33" t="inlineStr">
        <is>
          <t>Supplier selection for this event was system-driven: a polygon was drawn around the affected region in Punjab, so no analyst chose the sites by hand and an incorrect manual selection is not possible. Customer Support confirmed on 08-Oct-2026 that SMI AMTEK CRANKSHAFT held two sets of geographic coordinates, one of which pinned the site near Chandigarh rather than at its actual location in Dharuhera, Rewari, Haryana. The incorrectly pinned location fell inside the geofence, so the site was associated with the WarRoom automatically. No proximity rule and no buffer zone were applied: inclusion was decided by the coordinates on the site record intersecting the polygon. A ticket was raised with the DO team to correct the coordinates. The source of the coordinates on Eaton's Pune site sits with the Data team and is still unanswered. This supersedes the earlier explanation that the site was included on its proximity to the affected region, which was read off the location the platform displayed and was itself the wrong pin.</t>
        </is>
      </c>
      <c r="Y104" s="33" t="inlineStr">
        <is>
          <t>Product &amp; Platform</t>
        </is>
      </c>
      <c r="Z104" s="37" t="n">
        <v>46317</v>
      </c>
    </row>
    <row r="105">
      <c r="A105" s="35" t="n">
        <v>46266</v>
      </c>
      <c r="B105" s="37" t="n">
        <v>46273</v>
      </c>
      <c r="C105" s="33" t="inlineStr">
        <is>
          <t>Extreme Weather</t>
        </is>
      </c>
      <c r="D105" s="33" t="inlineStr">
        <is>
          <t>Sandisk</t>
        </is>
      </c>
      <c r="E105" s="39" t="n">
        <v>1</v>
      </c>
      <c r="F105" s="33" t="inlineStr">
        <is>
          <t>Record Heavy Rain in Yokkaichi City, Japan – No EventWatch Notification (Sandisk)</t>
        </is>
      </c>
      <c r="G105" s="33" t="inlineStr">
        <is>
          <t>Complaint</t>
        </is>
      </c>
      <c r="H105" s="33" t="inlineStr">
        <is>
          <t>Delayed Event</t>
        </is>
      </c>
      <c r="I105" s="33" t="inlineStr">
        <is>
          <t>People</t>
        </is>
      </c>
      <c r="J105" s="33" t="inlineStr">
        <is>
          <t>Review</t>
        </is>
      </c>
      <c r="K105" s="33" t="inlineStr">
        <is>
          <t>Improvement</t>
        </is>
      </c>
      <c r="L105" s="33" t="inlineStr">
        <is>
          <t>RCA Shared</t>
        </is>
      </c>
      <c r="M105" s="33" t="inlineStr">
        <is>
          <t>Timeliness monitoring that flags a region already producing captured stories where a related event has not been published within the reporting window</t>
        </is>
      </c>
      <c r="N105" s="33" t="inlineStr">
        <is>
          <t>Yes</t>
        </is>
      </c>
      <c r="O105" s="33" t="inlineStr">
        <is>
          <t>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5" s="33" t="inlineStr">
        <is>
          <t>~1 day (customer query 08-Sep-2026 -&gt; EventWatch report 09-Sep-2026)</t>
        </is>
      </c>
      <c r="Q105" s="33" t="inlineStr">
        <is>
          <t>Yes</t>
        </is>
      </c>
      <c r="R105" s="39" t="n">
        <v>9</v>
      </c>
      <c r="S105" s="39" t="n"/>
      <c r="T105" s="35" t="inlineStr">
        <is>
          <t>Sep 2026</t>
        </is>
      </c>
      <c r="U105" s="33" t="inlineStr">
        <is>
          <t>Medium</t>
        </is>
      </c>
      <c r="V105" s="33" t="inlineStr">
        <is>
          <t>WarRoom &amp; Decision Validation</t>
        </is>
      </c>
      <c r="W105" s="33" t="inlineStr">
        <is>
          <t>EAO-37</t>
        </is>
      </c>
      <c r="X105"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5" s="33" t="inlineStr">
        <is>
          <t>EventWatch Ops - Nitin Rindhe</t>
        </is>
      </c>
      <c r="Z105" s="37" t="n">
        <v>46303</v>
      </c>
    </row>
    <row r="106">
      <c r="A106" s="35" t="n">
        <v>46266</v>
      </c>
      <c r="B106" s="37" t="n">
        <v>46273</v>
      </c>
      <c r="C106" s="33" t="inlineStr">
        <is>
          <t>Merger &amp; Acquisition</t>
        </is>
      </c>
      <c r="D106" s="33" t="inlineStr">
        <is>
          <t>Eaton</t>
        </is>
      </c>
      <c r="E106" s="39" t="n">
        <v>1</v>
      </c>
      <c r="F106" s="33" t="inlineStr">
        <is>
          <t>Vertiv Acquires UtilityInnovation Group – Supplier Notification and Medium Risk Classification Queried (Eaton)</t>
        </is>
      </c>
      <c r="G106" s="33" t="inlineStr">
        <is>
          <t>Inquiry</t>
        </is>
      </c>
      <c r="H106" s="33" t="inlineStr">
        <is>
          <t>Severity / consolidation handling concern</t>
        </is>
      </c>
      <c r="I106" s="33" t="inlineStr">
        <is>
          <t>Process</t>
        </is>
      </c>
      <c r="J106" s="33" t="inlineStr">
        <is>
          <t>Deliberate Rule</t>
        </is>
      </c>
      <c r="K106" s="33" t="inlineStr">
        <is>
          <t>Improvement</t>
        </is>
      </c>
      <c r="L106" s="33" t="inlineStr">
        <is>
          <t>Clarification Provided</t>
        </is>
      </c>
      <c r="M106" s="33" t="inlineStr">
        <is>
          <t>Automated enforcement of the M&amp;A notification threshold so acquiring-side suppliers are excluded from impact-confirmation requests, plus a documented basis for the risk classification</t>
        </is>
      </c>
      <c r="N106" s="33" t="inlineStr">
        <is>
          <t>No</t>
        </is>
      </c>
      <c r="O106" s="33" t="inlineStr">
        <is>
          <t>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6" s="33" t="n"/>
      <c r="Q106" s="33" t="inlineStr">
        <is>
          <t>No</t>
        </is>
      </c>
      <c r="R106" s="39" t="n">
        <v>9</v>
      </c>
      <c r="S106" s="39" t="n"/>
      <c r="T106" s="35" t="inlineStr">
        <is>
          <t>Sep 2026</t>
        </is>
      </c>
      <c r="U106" s="33" t="inlineStr">
        <is>
          <t>Low</t>
        </is>
      </c>
      <c r="V106" s="33" t="inlineStr">
        <is>
          <t>WarRoom &amp; Decision Validation</t>
        </is>
      </c>
      <c r="W106" s="33" t="inlineStr">
        <is>
          <t>EAO-38</t>
        </is>
      </c>
      <c r="X106"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6" s="33" t="inlineStr">
        <is>
          <t>EventWatch Ops - Nitin Rindhe</t>
        </is>
      </c>
      <c r="Z106" s="37" t="n">
        <v>46308</v>
      </c>
    </row>
    <row r="107">
      <c r="A107" s="35" t="n">
        <v>46266</v>
      </c>
      <c r="B107" s="37" t="n">
        <v>46276</v>
      </c>
      <c r="C107" s="33" t="inlineStr">
        <is>
          <t>Supply Shortage</t>
        </is>
      </c>
      <c r="D107" s="33" t="inlineStr">
        <is>
          <t>Belden Inc</t>
        </is>
      </c>
      <c r="E107" s="39" t="n">
        <v>1</v>
      </c>
      <c r="F107" s="33" t="inlineStr">
        <is>
          <t>TSMC 28nm Production Capacity Reduction – No EventWatch Notification (Belden)</t>
        </is>
      </c>
      <c r="G107" s="33" t="inlineStr">
        <is>
          <t>Inquiry</t>
        </is>
      </c>
      <c r="H107" s="33" t="inlineStr">
        <is>
          <t>Coverage Verification Request</t>
        </is>
      </c>
      <c r="I107" s="33" t="inlineStr">
        <is>
          <t>Product</t>
        </is>
      </c>
      <c r="J107" s="33" t="inlineStr">
        <is>
          <t>Alerting Gap</t>
        </is>
      </c>
      <c r="K107" s="33" t="inlineStr">
        <is>
          <t>Improvement</t>
        </is>
      </c>
      <c r="L107" s="33" t="inlineStr">
        <is>
          <t>RCA Shared</t>
        </is>
      </c>
      <c r="M107"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7" s="33" t="inlineStr">
        <is>
          <t>Yes</t>
        </is>
      </c>
      <c r="O107" s="33" t="inlineStr">
        <is>
          <t>The relevant TSMC article was captured by the feed-harvesting flow but did not appear on the analyst portal for review. The case was confirmed and closed as an Alerting Gap. Alerting Gap Type: Feed/Application-to-Analyst Handoff Gap. Evidence Status: Confirmed and Closed.</t>
        </is>
      </c>
      <c r="P107" s="33" t="n"/>
      <c r="Q107" s="33" t="inlineStr">
        <is>
          <t>No</t>
        </is>
      </c>
      <c r="R107" s="39" t="n">
        <v>9</v>
      </c>
      <c r="S107" s="39" t="n"/>
      <c r="T107" s="35" t="inlineStr">
        <is>
          <t>Sep 2026</t>
        </is>
      </c>
      <c r="U107" s="33" t="inlineStr">
        <is>
          <t>Medium</t>
        </is>
      </c>
      <c r="V107" s="33" t="inlineStr">
        <is>
          <t>Notification Visibility Monitoring</t>
        </is>
      </c>
      <c r="W107" s="33" t="inlineStr">
        <is>
          <t>EAO-39</t>
        </is>
      </c>
      <c r="X107"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7" s="33" t="inlineStr">
        <is>
          <t>Product &amp; Platform</t>
        </is>
      </c>
      <c r="Z107" s="37" t="n">
        <v>46301</v>
      </c>
    </row>
    <row r="108">
      <c r="A108" s="35" t="n">
        <v>46266</v>
      </c>
      <c r="B108" s="37" t="n">
        <v>46276</v>
      </c>
      <c r="C108" s="33" t="inlineStr">
        <is>
          <t>Supply Shortage</t>
        </is>
      </c>
      <c r="D108" s="33" t="inlineStr">
        <is>
          <t>Belden Inc</t>
        </is>
      </c>
      <c r="E108" s="39" t="n">
        <v>1</v>
      </c>
      <c r="F108" s="33" t="inlineStr">
        <is>
          <t>Murata MLCC Product Line Discontinuation – No EventWatch Notification (Belden)</t>
        </is>
      </c>
      <c r="G108" s="33" t="inlineStr">
        <is>
          <t>Complaint</t>
        </is>
      </c>
      <c r="H108" s="33" t="inlineStr">
        <is>
          <t>Missed Event</t>
        </is>
      </c>
      <c r="I108" s="33" t="inlineStr">
        <is>
          <t>People</t>
        </is>
      </c>
      <c r="J108" s="33" t="inlineStr">
        <is>
          <t>Review</t>
        </is>
      </c>
      <c r="K108" s="33" t="inlineStr">
        <is>
          <t>Improvement</t>
        </is>
      </c>
      <c r="L108" s="33" t="inlineStr">
        <is>
          <t>RCA Shared</t>
        </is>
      </c>
      <c r="M108" s="33" t="inlineStr">
        <is>
          <t>Validation step on high-impact component end-of-life and discontinuation notices before an analyst can clear them, so a major supplier's EOL announcement cannot be dismissed at review</t>
        </is>
      </c>
      <c r="N108" s="33" t="inlineStr">
        <is>
          <t>Yes</t>
        </is>
      </c>
      <c r="O108" s="33" t="inlineStr">
        <is>
          <t>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8" s="33" t="n"/>
      <c r="Q108" s="33" t="inlineStr">
        <is>
          <t>Yes</t>
        </is>
      </c>
      <c r="R108" s="39" t="n">
        <v>9</v>
      </c>
      <c r="S108" s="39" t="n"/>
      <c r="T108" s="35" t="inlineStr">
        <is>
          <t>Sep 2026</t>
        </is>
      </c>
      <c r="U108" s="33" t="inlineStr">
        <is>
          <t>Medium</t>
        </is>
      </c>
      <c r="V108" s="33" t="inlineStr">
        <is>
          <t>WarRoom &amp; Decision Validation</t>
        </is>
      </c>
      <c r="W108" s="33" t="inlineStr">
        <is>
          <t>EAO-39</t>
        </is>
      </c>
      <c r="X108" s="33" t="inlineStr">
        <is>
          <t>Analyst miss. The event was available for review and was not escalated into EventWatch coverage. Ingestion and source coverage did not contribute.</t>
        </is>
      </c>
      <c r="Y108" s="33" t="inlineStr">
        <is>
          <t>EventWatch Ops - Nitin Rindhe</t>
        </is>
      </c>
      <c r="Z108" s="37" t="n">
        <v>46301</v>
      </c>
    </row>
    <row r="109">
      <c r="A109" s="35" t="n">
        <v>46266</v>
      </c>
      <c r="B109" s="37" t="n">
        <v>46276</v>
      </c>
      <c r="C109" s="33" t="inlineStr">
        <is>
          <t>Factory Fire</t>
        </is>
      </c>
      <c r="D109" s="33" t="inlineStr">
        <is>
          <t>Ford</t>
        </is>
      </c>
      <c r="E109" s="39" t="n">
        <v>1</v>
      </c>
      <c r="F109" s="33" t="inlineStr">
        <is>
          <t>Precision Resource Facility Fire, Mt. Sterling, Kentucky – Deep-Tier Supplier Event Not Captured (Ford)</t>
        </is>
      </c>
      <c r="G109" s="33" t="inlineStr">
        <is>
          <t>Complaint</t>
        </is>
      </c>
      <c r="H109" s="33" t="inlineStr">
        <is>
          <t>Missed Event</t>
        </is>
      </c>
      <c r="I109" s="33" t="inlineStr">
        <is>
          <t>Product</t>
        </is>
      </c>
      <c r="J109" s="33" t="inlineStr">
        <is>
          <t>Source Coverage</t>
        </is>
      </c>
      <c r="K109" s="33" t="inlineStr">
        <is>
          <t>Improvement</t>
        </is>
      </c>
      <c r="L109" s="33" t="inlineStr">
        <is>
          <t>RCA Shared</t>
        </is>
      </c>
      <c r="M109" s="33" t="inlineStr">
        <is>
          <t>Monitoring of local and regional outlets covering industrial incidents at deep-tier supplier sites, with event-to-supply-chain correlation so a sub-tier fire is linked to the OEMs exposed through it</t>
        </is>
      </c>
      <c r="N109" s="33" t="inlineStr">
        <is>
          <t>Yes</t>
        </is>
      </c>
      <c r="O109" s="33" t="inlineStr">
        <is>
          <t>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9" s="33" t="n"/>
      <c r="Q109" s="33" t="inlineStr">
        <is>
          <t>Yes</t>
        </is>
      </c>
      <c r="R109" s="39" t="n">
        <v>9</v>
      </c>
      <c r="S109" s="39" t="n"/>
      <c r="T109" s="35" t="inlineStr">
        <is>
          <t>Sep 2026</t>
        </is>
      </c>
      <c r="U109" s="33" t="inlineStr">
        <is>
          <t>High</t>
        </is>
      </c>
      <c r="V109" s="33" t="inlineStr">
        <is>
          <t>Dynamic Source Discovery</t>
        </is>
      </c>
      <c r="W109" s="33" t="inlineStr">
        <is>
          <t>EAO-40</t>
        </is>
      </c>
      <c r="X109"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posted on 24-Sep-2026 and shared with the customer; the ticket closed on 05-Oct-2026.</t>
        </is>
      </c>
      <c r="Y109" s="33" t="inlineStr">
        <is>
          <t>Product &amp; Platform</t>
        </is>
      </c>
      <c r="Z109" s="37" t="n">
        <v>46300</v>
      </c>
    </row>
    <row r="110">
      <c r="A110" s="35" t="n">
        <v>46266</v>
      </c>
      <c r="B110" s="37" t="n">
        <v>46279</v>
      </c>
      <c r="C110" s="33" t="inlineStr">
        <is>
          <t>Bankruptcy</t>
        </is>
      </c>
      <c r="D110" s="33" t="inlineStr">
        <is>
          <t>Irving Oil</t>
        </is>
      </c>
      <c r="E110" s="39" t="n">
        <v>1</v>
      </c>
      <c r="F110" s="33" t="inlineStr">
        <is>
          <t>Paystone CCAA Filing – No EventWatch Notification (Irving Oil)</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such as CCAA is added, so the same class of filing is not missed twice</t>
        </is>
      </c>
      <c r="N110" s="33" t="inlineStr">
        <is>
          <t>Yes</t>
        </is>
      </c>
      <c r="O110"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10" s="33" t="n"/>
      <c r="Q110" s="33" t="inlineStr">
        <is>
          <t>Yes</t>
        </is>
      </c>
      <c r="R110" s="39" t="n">
        <v>9</v>
      </c>
      <c r="S110" s="39" t="n"/>
      <c r="T110" s="35" t="inlineStr">
        <is>
          <t>Sep 2026</t>
        </is>
      </c>
      <c r="U110" s="33" t="inlineStr">
        <is>
          <t>Medium</t>
        </is>
      </c>
      <c r="V110" s="33" t="inlineStr">
        <is>
          <t>Dynamic Source Discovery</t>
        </is>
      </c>
      <c r="W110" s="33" t="inlineStr">
        <is>
          <t>EAO-41</t>
        </is>
      </c>
      <c r="X110"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10" s="33" t="inlineStr">
        <is>
          <t>Product &amp; Platform</t>
        </is>
      </c>
      <c r="Z110" s="37" t="n">
        <v>46288</v>
      </c>
    </row>
    <row r="111">
      <c r="A111" s="35" t="n">
        <v>46266</v>
      </c>
      <c r="B111" s="37" t="n">
        <v>46281</v>
      </c>
      <c r="C111" s="33" t="inlineStr">
        <is>
          <t>Bankruptcy</t>
        </is>
      </c>
      <c r="D111" s="33" t="inlineStr">
        <is>
          <t>Eaton</t>
        </is>
      </c>
      <c r="E111" s="39" t="n">
        <v>1</v>
      </c>
      <c r="F111" s="33" t="inlineStr">
        <is>
          <t>Pollmann Austria GmbH Insolvency – No EventWatch Notification (Eaton)</t>
        </is>
      </c>
      <c r="G111" s="33" t="inlineStr">
        <is>
          <t>Complaint</t>
        </is>
      </c>
      <c r="H111" s="33" t="inlineStr">
        <is>
          <t>Missed insolvency alert</t>
        </is>
      </c>
      <c r="I111" s="33" t="inlineStr">
        <is>
          <t>Product</t>
        </is>
      </c>
      <c r="J111" s="33" t="inlineStr">
        <is>
          <t>Keyword Update</t>
        </is>
      </c>
      <c r="K111" s="33" t="inlineStr">
        <is>
          <t>Improvement</t>
        </is>
      </c>
      <c r="L111" s="33" t="inlineStr">
        <is>
          <t>RCA Shared</t>
        </is>
      </c>
      <c r="M111" s="33" t="inlineStr">
        <is>
          <t>Keyword coverage for insolvency and restructuring terminology in the bankruptcy algorithm, with a regression check when a filing type is added, so the same class of filing is not missed twice</t>
        </is>
      </c>
      <c r="N111" s="33" t="inlineStr">
        <is>
          <t>Yes</t>
        </is>
      </c>
      <c r="O111"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1" s="33" t="inlineStr">
        <is>
          <t>15 days (01-Sep proceedings - 15-Sep escalation, never published)</t>
        </is>
      </c>
      <c r="Q111" s="33" t="inlineStr">
        <is>
          <t>Yes</t>
        </is>
      </c>
      <c r="R111" s="39" t="n">
        <v>9</v>
      </c>
      <c r="S111" s="39" t="n"/>
      <c r="T111" s="35" t="inlineStr">
        <is>
          <t>Sep 2026</t>
        </is>
      </c>
      <c r="U111" s="33" t="inlineStr">
        <is>
          <t>Medium</t>
        </is>
      </c>
      <c r="V111" s="33" t="inlineStr">
        <is>
          <t>Dynamic Source Discovery</t>
        </is>
      </c>
      <c r="W111" s="33" t="inlineStr">
        <is>
          <t>EAO-42</t>
        </is>
      </c>
      <c r="X111"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1" s="33" t="inlineStr">
        <is>
          <t>Product &amp; Platform</t>
        </is>
      </c>
      <c r="Z111" s="37" t="n">
        <v>46288</v>
      </c>
    </row>
    <row r="112">
      <c r="A112" s="35" t="n">
        <v>46266</v>
      </c>
      <c r="B112" s="37" t="n">
        <v>46281</v>
      </c>
      <c r="C112" s="33" t="inlineStr">
        <is>
          <t>Cyber Attack</t>
        </is>
      </c>
      <c r="D112" s="33" t="inlineStr">
        <is>
          <t>General Mills</t>
        </is>
      </c>
      <c r="E112" s="39" t="n">
        <v>1</v>
      </c>
      <c r="F112" s="33" t="inlineStr">
        <is>
          <t>ADM Data Breach Exposes Personal Data - No WarRoom Created (General Mills)</t>
        </is>
      </c>
      <c r="G112" s="33" t="inlineStr">
        <is>
          <t>Complaint</t>
        </is>
      </c>
      <c r="H112" s="33" t="inlineStr">
        <is>
          <t>Missed Event</t>
        </is>
      </c>
      <c r="I112" s="33" t="inlineStr">
        <is>
          <t>Product</t>
        </is>
      </c>
      <c r="J112" s="33" t="inlineStr">
        <is>
          <t>Model Classification Defect</t>
        </is>
      </c>
      <c r="K112" s="33" t="inlineStr">
        <is>
          <t>Improvement</t>
        </is>
      </c>
      <c r="L112" s="33" t="inlineStr">
        <is>
          <t>RCA Shared</t>
        </is>
      </c>
      <c r="M112"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2" s="33" t="inlineStr">
        <is>
          <t>Yes</t>
        </is>
      </c>
      <c r="O112"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Internal RCA completed. EventWatch captured the relevant articles, but the AI classification models incorrectly categorized them as Not Impactful, and the subsequent human-in-the-loop review did not correct the misclassification. The event was re-evaluated and published following the customer inquiry. Current investigation loop closed; reopen only if additional customer questions require further review.</t>
        </is>
      </c>
      <c r="P112" s="33" t="n"/>
      <c r="Q112" s="33" t="inlineStr">
        <is>
          <t>Yes</t>
        </is>
      </c>
      <c r="R112" s="39" t="n">
        <v>9</v>
      </c>
      <c r="S112" s="39" t="n"/>
      <c r="T112" s="35" t="inlineStr">
        <is>
          <t>Sep 2026</t>
        </is>
      </c>
      <c r="U112" s="33" t="inlineStr">
        <is>
          <t>Medium</t>
        </is>
      </c>
      <c r="V112" s="33" t="inlineStr">
        <is>
          <t>Classification &amp; Impact Validation</t>
        </is>
      </c>
      <c r="W112" s="33" t="inlineStr">
        <is>
          <t>EAO-51</t>
        </is>
      </c>
      <c r="X112" s="33" t="inlineStr">
        <is>
          <t>EventWatch successfully captured the relevant articles. The AI classification models incorrectly categorized the feeds as Not Impactful. The subsequent human-in-the-loop review did not identify or correct the misclassification, so the event was excluded from publication despite meeting the applicable cybersecurity reporting criteria. Following the customer inquiry the event was re-evaluated and published. The internal RCA is complete and attached to EAO-51, and was reviewed for corrective and preventive measures. Four articles were raised with monitoring; engineering traced one of them (undercodenews) to cluster cyber_attack_dt_20260915155539357_not.impactful., and the other three remain open with PM.</t>
        </is>
      </c>
      <c r="Y112" s="33" t="inlineStr">
        <is>
          <t>Product &amp; Platform</t>
        </is>
      </c>
      <c r="Z112" s="37" t="n"/>
    </row>
    <row r="113">
      <c r="A113" s="35" t="n">
        <v>46266</v>
      </c>
      <c r="B113" s="37" t="n">
        <v>46283</v>
      </c>
      <c r="C113" s="33" t="inlineStr">
        <is>
          <t>Merger &amp; Acquisition</t>
        </is>
      </c>
      <c r="D113" s="33" t="inlineStr">
        <is>
          <t>Eaton</t>
        </is>
      </c>
      <c r="E113" s="39" t="n">
        <v>1</v>
      </c>
      <c r="F113" s="33" t="inlineStr">
        <is>
          <t>Clarification on Impact Confirmation Requests for Supplier Acquisitions (Eaton)</t>
        </is>
      </c>
      <c r="G113" s="33" t="inlineStr">
        <is>
          <t>Inquiry</t>
        </is>
      </c>
      <c r="H113" s="33" t="inlineStr">
        <is>
          <t>Monitoring Strategy RFI</t>
        </is>
      </c>
      <c r="I113" s="33" t="inlineStr">
        <is>
          <t>Process</t>
        </is>
      </c>
      <c r="J113" s="33" t="inlineStr">
        <is>
          <t>Process Clarification</t>
        </is>
      </c>
      <c r="K113" s="33" t="inlineStr">
        <is>
          <t>Improvement</t>
        </is>
      </c>
      <c r="L113" s="33" t="inlineStr">
        <is>
          <t>Clarification Provided</t>
        </is>
      </c>
      <c r="M113" s="33" t="inlineStr">
        <is>
          <t>Publish the M&amp;A impact-confirmation trigger criteria in-product, so the rationale for an acquiring-side outreach is visible on the request itself instead of being explained per account after the fact</t>
        </is>
      </c>
      <c r="N113" s="33" t="inlineStr">
        <is>
          <t>No</t>
        </is>
      </c>
      <c r="O113" s="33" t="inlineStr">
        <is>
          <t>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3" s="33" t="n"/>
      <c r="Q113" s="33" t="inlineStr">
        <is>
          <t>No</t>
        </is>
      </c>
      <c r="R113" s="39" t="n">
        <v>9</v>
      </c>
      <c r="S113" s="39" t="n"/>
      <c r="T113" s="35" t="inlineStr">
        <is>
          <t>Sep 2026</t>
        </is>
      </c>
      <c r="U113" s="33" t="inlineStr">
        <is>
          <t>Low</t>
        </is>
      </c>
      <c r="V113" s="33" t="inlineStr">
        <is>
          <t>WarRoom &amp; Decision Validation</t>
        </is>
      </c>
      <c r="W113" s="33" t="inlineStr">
        <is>
          <t>EAO-43</t>
        </is>
      </c>
      <c r="X113"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3" s="33" t="inlineStr">
        <is>
          <t>EventWatch Ops - Nitin Rindhe</t>
        </is>
      </c>
      <c r="Z113" s="37" t="n">
        <v>46302</v>
      </c>
    </row>
    <row r="114">
      <c r="A114" s="35" t="n">
        <v>46266</v>
      </c>
      <c r="B114" s="37" t="n">
        <v>46289</v>
      </c>
      <c r="C114" s="33" t="inlineStr">
        <is>
          <t>Bankruptcy</t>
        </is>
      </c>
      <c r="D114" s="33" t="inlineStr">
        <is>
          <t>Eaton</t>
        </is>
      </c>
      <c r="E114" s="39" t="n">
        <v>1</v>
      </c>
      <c r="F114" s="33" t="inlineStr">
        <is>
          <t>UPG Enterprises Chapter 11 Mapped to Mapes &amp; Sprowl - Mapping and Severity Queried (Eaton)</t>
        </is>
      </c>
      <c r="G114" s="33" t="inlineStr">
        <is>
          <t>Inquiry</t>
        </is>
      </c>
      <c r="H114" s="33" t="inlineStr">
        <is>
          <t>Wrong Relevancy</t>
        </is>
      </c>
      <c r="I114" s="33" t="inlineStr">
        <is>
          <t>Process</t>
        </is>
      </c>
      <c r="J114" s="33" t="inlineStr">
        <is>
          <t>Deliberate Rule</t>
        </is>
      </c>
      <c r="K114" s="33" t="inlineStr">
        <is>
          <t>Improvement</t>
        </is>
      </c>
      <c r="L114" s="33" t="inlineStr">
        <is>
          <t>Clarification Provided</t>
        </is>
      </c>
      <c r="M114" s="33" t="inlineStr">
        <is>
          <t>Scope check on parent-subsidiary linkage for insolvency filings, so a WarRoom is not raised against a subsidiary the filing text explicitly excludes, plus a recorded basis for the severity grade</t>
        </is>
      </c>
      <c r="N114" s="33" t="inlineStr">
        <is>
          <t>No</t>
        </is>
      </c>
      <c r="O114" s="33" t="inlineStr">
        <is>
          <t>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4" s="33" t="n"/>
      <c r="Q114" s="33" t="inlineStr">
        <is>
          <t>No</t>
        </is>
      </c>
      <c r="R114" s="39" t="n">
        <v>9</v>
      </c>
      <c r="S114" s="39" t="n"/>
      <c r="T114" s="35" t="inlineStr">
        <is>
          <t>Sep 2026</t>
        </is>
      </c>
      <c r="U114" s="33" t="inlineStr">
        <is>
          <t>Medium</t>
        </is>
      </c>
      <c r="V114" s="33" t="inlineStr">
        <is>
          <t>Entity &amp; Supplier Resolution</t>
        </is>
      </c>
      <c r="W114" s="33" t="inlineStr">
        <is>
          <t>EAO-44</t>
        </is>
      </c>
      <c r="X114"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4" s="33" t="inlineStr">
        <is>
          <t>EventWatch Ops - Nitin Rindhe</t>
        </is>
      </c>
      <c r="Z114" s="37" t="n">
        <v>46300</v>
      </c>
    </row>
    <row r="115">
      <c r="A115" s="35" t="n">
        <v>46266</v>
      </c>
      <c r="B115" s="37" t="n">
        <v>46289</v>
      </c>
      <c r="C115" s="33" t="inlineStr">
        <is>
          <t>Factory Fire</t>
        </is>
      </c>
      <c r="D115" s="33" t="inlineStr">
        <is>
          <t>Ford</t>
        </is>
      </c>
      <c r="E115" s="39" t="n">
        <v>1</v>
      </c>
      <c r="F115" s="33" t="inlineStr">
        <is>
          <t>Purflux Group Filter Systems Maroc Facility Fire - 10-11 Day Alert Delay (Ford)</t>
        </is>
      </c>
      <c r="G115" s="33" t="inlineStr">
        <is>
          <t>Complaint</t>
        </is>
      </c>
      <c r="H115" s="33" t="inlineStr">
        <is>
          <t>Delayed Event</t>
        </is>
      </c>
      <c r="I115" s="33" t="inlineStr">
        <is>
          <t>Product</t>
        </is>
      </c>
      <c r="J115" s="33" t="inlineStr">
        <is>
          <t>Source Coverage</t>
        </is>
      </c>
      <c r="K115" s="33" t="inlineStr">
        <is>
          <t>Improvement</t>
        </is>
      </c>
      <c r="L115" s="33" t="inlineStr">
        <is>
          <t>RCA Shared</t>
        </is>
      </c>
      <c r="M115" s="33" t="inlineStr">
        <is>
          <t>Latency monitoring on the gap between an incident's first public report and EventWatch publication, so a multi-day lag on a Tier-1 manufacturing site raises an internal alarm instead of waiting for the customer to notice</t>
        </is>
      </c>
      <c r="N115" s="33" t="inlineStr">
        <is>
          <t>Yes</t>
        </is>
      </c>
      <c r="O115"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5" s="33" t="inlineStr">
        <is>
          <t>~10-11 days (event 11/12-Sep-2026 -&gt; published 22-Sep-2026)</t>
        </is>
      </c>
      <c r="Q115" s="33" t="inlineStr">
        <is>
          <t>Yes</t>
        </is>
      </c>
      <c r="R115" s="39" t="n">
        <v>9</v>
      </c>
      <c r="S115" s="39" t="n">
        <v>252</v>
      </c>
      <c r="T115" s="35" t="inlineStr">
        <is>
          <t>Sep 2026</t>
        </is>
      </c>
      <c r="U115" s="33" t="inlineStr">
        <is>
          <t>High</t>
        </is>
      </c>
      <c r="V115" s="33" t="inlineStr">
        <is>
          <t>Dynamic Source Discovery</t>
        </is>
      </c>
      <c r="W115" s="33" t="inlineStr">
        <is>
          <t>EAO-45</t>
        </is>
      </c>
      <c r="X115"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5" s="33" t="inlineStr">
        <is>
          <t>Product &amp; Platform</t>
        </is>
      </c>
      <c r="Z115" s="37" t="n">
        <v>46304</v>
      </c>
    </row>
    <row r="116">
      <c r="A116" s="35" t="n">
        <v>46266</v>
      </c>
      <c r="B116" s="37" t="n">
        <v>46293</v>
      </c>
      <c r="C116" s="33" t="inlineStr">
        <is>
          <t>Legal Action</t>
        </is>
      </c>
      <c r="D116" s="33" t="inlineStr">
        <is>
          <t>Eaton</t>
        </is>
      </c>
      <c r="E116" s="39" t="n">
        <v>1</v>
      </c>
      <c r="F116" s="33" t="inlineStr">
        <is>
          <t>USITC DRAM Patent Investigation - Duplicate WarRooms Published for One Event (Eaton)</t>
        </is>
      </c>
      <c r="G116" s="33" t="inlineStr">
        <is>
          <t>Complaint</t>
        </is>
      </c>
      <c r="H116" s="33" t="inlineStr">
        <is>
          <t>Duplicate WarRooms</t>
        </is>
      </c>
      <c r="I116" s="33" t="inlineStr">
        <is>
          <t>People</t>
        </is>
      </c>
      <c r="J116" s="33" t="inlineStr">
        <is>
          <t>Duplication</t>
        </is>
      </c>
      <c r="K116" s="33" t="inlineStr">
        <is>
          <t>Improvement</t>
        </is>
      </c>
      <c r="L116" s="33" t="inlineStr">
        <is>
          <t>Fixed</t>
        </is>
      </c>
      <c r="M116"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6" s="33" t="inlineStr">
        <is>
          <t>Yes</t>
        </is>
      </c>
      <c r="O116"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6" s="33" t="n"/>
      <c r="Q116" s="33" t="inlineStr">
        <is>
          <t>No</t>
        </is>
      </c>
      <c r="R116" s="39" t="n">
        <v>9</v>
      </c>
      <c r="S116" s="39" t="n"/>
      <c r="T116" s="35" t="inlineStr">
        <is>
          <t>Sep 2026</t>
        </is>
      </c>
      <c r="U116" s="33" t="inlineStr">
        <is>
          <t>Medium</t>
        </is>
      </c>
      <c r="V116" s="33" t="inlineStr">
        <is>
          <t>Cluster Integrity &amp; Duplicate Prevention</t>
        </is>
      </c>
      <c r="W116" s="33" t="inlineStr">
        <is>
          <t>EAO-46</t>
        </is>
      </c>
      <c r="X116"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6" s="33" t="inlineStr">
        <is>
          <t>EventWatch Ops - Nitin Rindhe</t>
        </is>
      </c>
      <c r="Z116" s="37" t="n">
        <v>46303</v>
      </c>
    </row>
    <row r="117">
      <c r="A117" s="35" t="n">
        <v>46266</v>
      </c>
      <c r="B117" s="37" t="n">
        <v>46293</v>
      </c>
      <c r="C117" s="33" t="inlineStr">
        <is>
          <t>Financial Distress</t>
        </is>
      </c>
      <c r="D117" s="33" t="inlineStr">
        <is>
          <t>Western Digital</t>
        </is>
      </c>
      <c r="E117" s="39" t="n">
        <v>1</v>
      </c>
      <c r="F117" s="33" t="inlineStr">
        <is>
          <t>Nidec Reported 1tn Yen Impairment and CEO Dismissal - No EventWatch Event Created (Western Digital)</t>
        </is>
      </c>
      <c r="G117" s="33" t="inlineStr">
        <is>
          <t>Complaint</t>
        </is>
      </c>
      <c r="H117" s="33" t="inlineStr">
        <is>
          <t>Wrong Relevancy</t>
        </is>
      </c>
      <c r="I117" s="33" t="inlineStr">
        <is>
          <t>People</t>
        </is>
      </c>
      <c r="J117" s="33" t="inlineStr">
        <is>
          <t>Review</t>
        </is>
      </c>
      <c r="K117" s="33" t="inlineStr">
        <is>
          <t>Improvement</t>
        </is>
      </c>
      <c r="L117" s="33" t="inlineStr">
        <is>
          <t>Clarification Provided</t>
        </is>
      </c>
      <c r="M117" s="33" t="inlineStr">
        <is>
          <t>A mapped-partner check at the point an analyst marks an event Not Impactful, so an event touching a customer's own mapped supplier cannot be closed out of their feed without that being surfaced to the reviewer</t>
        </is>
      </c>
      <c r="N117" s="33" t="inlineStr">
        <is>
          <t>Yes</t>
        </is>
      </c>
      <c r="O117"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7" s="33" t="n"/>
      <c r="Q117" s="33" t="inlineStr">
        <is>
          <t>Yes</t>
        </is>
      </c>
      <c r="R117" s="39" t="n">
        <v>9</v>
      </c>
      <c r="S117" s="39" t="n"/>
      <c r="T117" s="35" t="inlineStr">
        <is>
          <t>Sep 2026</t>
        </is>
      </c>
      <c r="U117" s="33" t="inlineStr">
        <is>
          <t>Medium</t>
        </is>
      </c>
      <c r="V117" s="33" t="inlineStr">
        <is>
          <t>WarRoom &amp; Decision Validation</t>
        </is>
      </c>
      <c r="W117" s="33" t="inlineStr">
        <is>
          <t>EAO-47</t>
        </is>
      </c>
      <c r="X117"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7" s="33" t="inlineStr">
        <is>
          <t>EventWatch Ops - Nitin Rindhe</t>
        </is>
      </c>
      <c r="Z117" s="37" t="n"/>
    </row>
    <row r="118">
      <c r="A118" s="35" t="n">
        <v>46266</v>
      </c>
      <c r="B118" s="37" t="n">
        <v>46293</v>
      </c>
      <c r="C118" s="33" t="inlineStr">
        <is>
          <t>Port Disruption</t>
        </is>
      </c>
      <c r="D118" s="33" t="inlineStr">
        <is>
          <t>Ford</t>
        </is>
      </c>
      <c r="E118" s="39" t="n">
        <v>1</v>
      </c>
      <c r="F118" s="33" t="inlineStr">
        <is>
          <t>South Africa Port and Corridor Congestion - EWC Cargo Movement Update Not Flagged (Ford)</t>
        </is>
      </c>
      <c r="G118" s="33" t="inlineStr">
        <is>
          <t>Complaint</t>
        </is>
      </c>
      <c r="H118" s="33" t="inlineStr">
        <is>
          <t>Missed Event</t>
        </is>
      </c>
      <c r="I118" s="33" t="inlineStr">
        <is>
          <t>People</t>
        </is>
      </c>
      <c r="J118" s="33" t="inlineStr">
        <is>
          <t>Review</t>
        </is>
      </c>
      <c r="K118" s="33" t="inlineStr">
        <is>
          <t>Improvement</t>
        </is>
      </c>
      <c r="L118" s="33" t="inlineStr">
        <is>
          <t>RCA Shared</t>
        </is>
      </c>
      <c r="M118" s="33" t="inlineStr">
        <is>
          <t>Not Impactful decision validation for port and corridor congestion, so a multi-day vessel waiting or berthing delay reported by a regional logistics body is escalated for a second review rather than closed at editorial review</t>
        </is>
      </c>
      <c r="N118" s="33" t="inlineStr">
        <is>
          <t>Yes</t>
        </is>
      </c>
      <c r="O118" s="33" t="inlineStr">
        <is>
          <t>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8" s="33" t="n"/>
      <c r="Q118" s="33" t="inlineStr">
        <is>
          <t>Yes</t>
        </is>
      </c>
      <c r="R118" s="39" t="n">
        <v>9</v>
      </c>
      <c r="S118" s="39" t="n"/>
      <c r="T118" s="35" t="inlineStr">
        <is>
          <t>Sep 2026</t>
        </is>
      </c>
      <c r="U118" s="33" t="inlineStr">
        <is>
          <t>High</t>
        </is>
      </c>
      <c r="V118" s="33" t="inlineStr">
        <is>
          <t>WarRoom &amp; Decision Validation</t>
        </is>
      </c>
      <c r="W118" s="33" t="inlineStr">
        <is>
          <t>EAO-48</t>
        </is>
      </c>
      <c r="X118" s="33" t="inlineStr">
        <is>
          <t>The analyst missed it. The gap occurred during the human-in-the-loop review of the 24-Sep and 25-Sep feeds: because an existing WarRoom already covered congestion at the Durban Gateway Terminal, the subsequent feeds were treated as information relating to an already-reported event and were marked Not Impactful. Taken from the RCA shared with Ford on 05-Oct-2026, which supersedes the earlier note that the document text was unreadable from the ticket.</t>
        </is>
      </c>
      <c r="Y118" s="33" t="inlineStr">
        <is>
          <t>EventWatch Ops - Nitin Rindhe</t>
        </is>
      </c>
      <c r="Z118" s="37" t="n">
        <v>46302</v>
      </c>
    </row>
    <row r="119">
      <c r="A119" s="35" t="n">
        <v>46266</v>
      </c>
      <c r="B119" s="37" t="n">
        <v>46295</v>
      </c>
      <c r="C119" s="33" t="inlineStr">
        <is>
          <t>Extreme Weather</t>
        </is>
      </c>
      <c r="D119" s="33" t="inlineStr">
        <is>
          <t>META</t>
        </is>
      </c>
      <c r="E119" s="39" t="n">
        <v>1</v>
      </c>
      <c r="F119" s="33" t="inlineStr">
        <is>
          <t>Disaster Zone Declared in Bangkok, Thailand, Following Widespread Flooding</t>
        </is>
      </c>
      <c r="G119" s="33" t="inlineStr">
        <is>
          <t>Complaint</t>
        </is>
      </c>
      <c r="H119" s="33" t="inlineStr">
        <is>
          <t>Impacted Supplier Missing</t>
        </is>
      </c>
      <c r="I119" s="33" t="inlineStr">
        <is>
          <t>People</t>
        </is>
      </c>
      <c r="J119" s="33" t="inlineStr">
        <is>
          <t>Supplier Selection Miss</t>
        </is>
      </c>
      <c r="K119" s="33" t="inlineStr">
        <is>
          <t>Improvement</t>
        </is>
      </c>
      <c r="L119" s="33" t="inlineStr">
        <is>
          <t>Clarification Provided</t>
        </is>
      </c>
      <c r="M119"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9" s="33" t="inlineStr">
        <is>
          <t>Yes</t>
        </is>
      </c>
      <c r="O119" s="33" t="inlineStr">
        <is>
          <t>META reported that supplier DELTA ELECTRONICS and its Samut Prakan / Bangpoo site were not in the WarRoom at initial creation. TS confirmed the site is present now, added through a later WarRoom update, with the Activity Grid showing the subsequent addition. Analyst research and site-selection issue. Available reporting described flooding beyond Bangkok, but the initial assessment focused only on Bangkok and did not evaluate the other affected regions. The relevant Delta Electronics site was consequently omitted from the initial WarRoom. Ticket remains open with no formal RCA; status retained as Clarification Provided.</t>
        </is>
      </c>
      <c r="P119" s="33" t="n"/>
      <c r="Q119" s="33" t="inlineStr">
        <is>
          <t>No</t>
        </is>
      </c>
      <c r="R119" s="39" t="n">
        <v>9</v>
      </c>
      <c r="S119" s="39" t="n"/>
      <c r="T119" s="35" t="inlineStr">
        <is>
          <t>Sep 2026</t>
        </is>
      </c>
      <c r="U119" s="33" t="inlineStr">
        <is>
          <t>Medium</t>
        </is>
      </c>
      <c r="V119" s="33" t="inlineStr">
        <is>
          <t>Entity &amp; Supplier Resolution</t>
        </is>
      </c>
      <c r="W119" s="33" t="inlineStr">
        <is>
          <t>EAO-49</t>
        </is>
      </c>
      <c r="X119" s="33" t="inlineStr">
        <is>
          <t>The initial EventWatch assessment focused on Bangkok and did not sufficiently evaluate the broader affected geography identified in the available reporting. The articles indicated that flooding extended beyond Bangkok into other affected regions. However, the analyst did not complete the additional regional research required to assess those locations and identify the relevant Delta Electronics site for inclusion in the initial WarRoom. The relevant site was omitted because the initial assessment remained limited to Bangkok, rather than because of a Product mapping, geocoding, portal-visibility, or source-detection failure. The issue originated in incomplete analyst research and impacted-site selection.</t>
        </is>
      </c>
      <c r="Y119" s="33" t="inlineStr">
        <is>
          <t>EventWatch Ops - Nitin Rindhe</t>
        </is>
      </c>
      <c r="Z119" s="37" t="n">
        <v>46316</v>
      </c>
    </row>
    <row r="120">
      <c r="A120" s="35" t="n">
        <v>46296</v>
      </c>
      <c r="B120" s="37" t="n">
        <v>46296</v>
      </c>
      <c r="C120" s="33" t="inlineStr">
        <is>
          <t>Labor Disruption</t>
        </is>
      </c>
      <c r="D120" s="33" t="inlineStr">
        <is>
          <t>Ford</t>
        </is>
      </c>
      <c r="E120" s="39" t="n">
        <v>1</v>
      </c>
      <c r="F120" s="33" t="inlineStr">
        <is>
          <t>Planned Strike at AGC Display Glass, Yunlin County, Taiwan (5 Oct 2026) Not Reported (Ford)</t>
        </is>
      </c>
      <c r="G120" s="33" t="inlineStr">
        <is>
          <t>Complaint</t>
        </is>
      </c>
      <c r="H120" s="33" t="inlineStr">
        <is>
          <t>Missed Event</t>
        </is>
      </c>
      <c r="I120" s="33" t="inlineStr">
        <is>
          <t>People</t>
        </is>
      </c>
      <c r="J120" s="33" t="inlineStr">
        <is>
          <t>Review</t>
        </is>
      </c>
      <c r="K120" s="33" t="inlineStr">
        <is>
          <t>Improvement</t>
        </is>
      </c>
      <c r="L120" s="33" t="inlineStr">
        <is>
          <t>RCA Shared</t>
        </is>
      </c>
      <c r="M120" s="33" t="inlineStr">
        <is>
          <t>Not Impactful decision validation for planned labour actions, so a strike carrying a published start date is escalated for a second review rather than closed at editorial review</t>
        </is>
      </c>
      <c r="N120" s="33" t="inlineStr">
        <is>
          <t>Yes</t>
        </is>
      </c>
      <c r="O120" s="33" t="inlineStr">
        <is>
          <t>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20" s="33" t="n"/>
      <c r="Q120" s="33" t="inlineStr">
        <is>
          <t>Yes</t>
        </is>
      </c>
      <c r="R120" s="39" t="n">
        <v>10</v>
      </c>
      <c r="S120" s="39" t="n"/>
      <c r="T120" s="35" t="inlineStr">
        <is>
          <t>Oct 2026</t>
        </is>
      </c>
      <c r="U120" s="33" t="inlineStr">
        <is>
          <t>Medium</t>
        </is>
      </c>
      <c r="V120" s="33" t="inlineStr">
        <is>
          <t>WarRoom &amp; Decision Validation</t>
        </is>
      </c>
      <c r="W120" s="33" t="inlineStr">
        <is>
          <t>EAO-50</t>
        </is>
      </c>
      <c r="X120"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closed on 14-Oct-2026 and the document text is not in the ticket.</t>
        </is>
      </c>
      <c r="Y120" s="33" t="inlineStr">
        <is>
          <t>EventWatch Ops - Nitin Rindhe</t>
        </is>
      </c>
      <c r="Z120" s="37" t="n">
        <v>46309</v>
      </c>
    </row>
    <row r="121">
      <c r="A121" s="35" t="n">
        <v>46296</v>
      </c>
      <c r="B121" s="37" t="n">
        <v>46303</v>
      </c>
      <c r="C121" s="33" t="inlineStr">
        <is>
          <t>Power Outage</t>
        </is>
      </c>
      <c r="D121" s="33" t="inlineStr">
        <is>
          <t>General Mills</t>
        </is>
      </c>
      <c r="E121" s="39" t="n">
        <v>1</v>
      </c>
      <c r="F121" s="33" t="inlineStr">
        <is>
          <t>Carlisle, Iowa Municipal Water Disruption – No WarRoom Created (General Mills)</t>
        </is>
      </c>
      <c r="G121" s="33" t="inlineStr">
        <is>
          <t>Complaint</t>
        </is>
      </c>
      <c r="H121" s="33" t="inlineStr">
        <is>
          <t>Missed WarRoom</t>
        </is>
      </c>
      <c r="I121" s="33" t="inlineStr">
        <is>
          <t>Product</t>
        </is>
      </c>
      <c r="J121" s="33" t="inlineStr">
        <is>
          <t>Keyword Update</t>
        </is>
      </c>
      <c r="K121" s="33" t="inlineStr">
        <is>
          <t>Improvement</t>
        </is>
      </c>
      <c r="L121" s="33" t="inlineStr">
        <is>
          <t>Fixed</t>
        </is>
      </c>
      <c r="M121" s="33" t="inlineStr">
        <is>
          <t>Keyword coverage for municipal utility disruptions and do-not-use-water orders, so a named-locality utility failure is matched against mapped customer sites rather than passing the algorithm unrecognised</t>
        </is>
      </c>
      <c r="N121" s="33" t="inlineStr">
        <is>
          <t>Yes</t>
        </is>
      </c>
      <c r="O121" s="33" t="inlineStr">
        <is>
          <t>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added the keywords to two RSS feeds on 14-Oct-2026, so the corrective action is complete and the row leaves Pending. STILL OPEN, and nothing automatic will look at this row again: the written RCA was attached on 14-Oct-2026 and is in internal approval with PM, not yet shared with General Mills, so there is no Resolution Date; the geofencing and WarRoom-creation questions the customer raised have not been answered separately. The Sub-type reads Keyword Update on engineering's own wording and awaits the owner's confirmation.</t>
        </is>
      </c>
      <c r="P121" s="33" t="n"/>
      <c r="Q121" s="33" t="inlineStr">
        <is>
          <t>Yes</t>
        </is>
      </c>
      <c r="R121" s="39" t="n">
        <v>10</v>
      </c>
      <c r="S121" s="39" t="n"/>
      <c r="T121" s="35" t="inlineStr">
        <is>
          <t>Oct 2026</t>
        </is>
      </c>
      <c r="U121" s="33" t="inlineStr">
        <is>
          <t>Medium</t>
        </is>
      </c>
      <c r="V121" s="33" t="inlineStr">
        <is>
          <t>Dynamic Source Discovery</t>
        </is>
      </c>
      <c r="W121" s="33" t="inlineStr">
        <is>
          <t>EAO-52</t>
        </is>
      </c>
      <c r="X121" s="33" t="inlineStr">
        <is>
          <t>Monitoring checked the Not Impacted tab and found no relevant article, then established the cause as a keyword miss: the Carlisle coverage was not matched by the algorithm's keyword set. Engineering added the keywords to two RSS feeds on 14-Oct-2026. Not a source-coverage gap - the row was staged as one before the investigation reported, and is corrected here. A written RCA was attached to the ticket on 14-Oct-2026 and its text is not readable from Jira.</t>
        </is>
      </c>
      <c r="Y121" s="33" t="inlineStr">
        <is>
          <t>Product &amp; Platform</t>
        </is>
      </c>
      <c r="Z121" s="37" t="n"/>
    </row>
    <row r="122">
      <c r="A122" s="35" t="n">
        <v>46296</v>
      </c>
      <c r="B122" s="37" t="n">
        <v>46304</v>
      </c>
      <c r="C122" s="33" t="inlineStr">
        <is>
          <t>Price Fluctuation</t>
        </is>
      </c>
      <c r="D122" s="33" t="inlineStr">
        <is>
          <t>META</t>
        </is>
      </c>
      <c r="E122" s="39" t="n">
        <v>1</v>
      </c>
      <c r="F122" s="33" t="inlineStr">
        <is>
          <t>Nvidia Shield TV Pro Price Increase WarRoom Trigger Clarification (META)</t>
        </is>
      </c>
      <c r="G122" s="33" t="inlineStr">
        <is>
          <t>Inquiry</t>
        </is>
      </c>
      <c r="H122" s="33" t="inlineStr">
        <is>
          <t>WarRoom Timing/Trigger Criteria Clarification</t>
        </is>
      </c>
      <c r="I122" s="33" t="inlineStr">
        <is>
          <t>Process</t>
        </is>
      </c>
      <c r="J122" s="33" t="inlineStr">
        <is>
          <t>Process Clarification</t>
        </is>
      </c>
      <c r="K122" s="33" t="inlineStr">
        <is>
          <t>Improvement</t>
        </is>
      </c>
      <c r="L122" s="33" t="inlineStr">
        <is>
          <t>Clarification Provided</t>
        </is>
      </c>
      <c r="M122" s="33" t="inlineStr">
        <is>
          <t>Product-level relevance check before WarRoom creation on a price fluctuation event, so a mapped supplier's price move raises a WarRoom only where the affected product is one the customer procures</t>
        </is>
      </c>
      <c r="N122" s="33" t="inlineStr">
        <is>
          <t>No</t>
        </is>
      </c>
      <c r="O122"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2" s="33" t="n"/>
      <c r="Q122" s="33" t="inlineStr">
        <is>
          <t>No</t>
        </is>
      </c>
      <c r="R122" s="39" t="n">
        <v>10</v>
      </c>
      <c r="S122" s="39" t="n"/>
      <c r="T122" s="35" t="inlineStr">
        <is>
          <t>Oct 2026</t>
        </is>
      </c>
      <c r="U122" s="33" t="inlineStr">
        <is>
          <t>Medium</t>
        </is>
      </c>
      <c r="V122" s="33" t="inlineStr">
        <is>
          <t>WarRoom &amp; Decision Validation</t>
        </is>
      </c>
      <c r="W122" s="33" t="n"/>
      <c r="X122"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2" s="33" t="inlineStr">
        <is>
          <t>EventWatch Ops - Nitin Rindhe</t>
        </is>
      </c>
      <c r="Z122" s="37" t="n"/>
    </row>
    <row r="123">
      <c r="A123" s="35" t="n">
        <v>46296</v>
      </c>
      <c r="B123" s="37" t="n">
        <v>46304</v>
      </c>
      <c r="C123" s="33" t="inlineStr">
        <is>
          <t>Labor Disruption</t>
        </is>
      </c>
      <c r="D123" s="33" t="inlineStr">
        <is>
          <t>NVR</t>
        </is>
      </c>
      <c r="E123" s="39" t="n">
        <v>1</v>
      </c>
      <c r="F123" s="33" t="inlineStr">
        <is>
          <t>MasterBrand Cabinets to Lay Off Employees at Its Facility in Kinston, North Carolina, USA</t>
        </is>
      </c>
      <c r="G123" s="33" t="inlineStr">
        <is>
          <t>Inquiry</t>
        </is>
      </c>
      <c r="H123" s="33" t="inlineStr">
        <is>
          <t>Supplier Impact Mapping Clarification</t>
        </is>
      </c>
      <c r="I123" s="33" t="inlineStr">
        <is>
          <t>Process</t>
        </is>
      </c>
      <c r="J123" s="33" t="inlineStr">
        <is>
          <t>Supplier / Site Not Shared</t>
        </is>
      </c>
      <c r="K123" s="33" t="inlineStr">
        <is>
          <t>Improvement</t>
        </is>
      </c>
      <c r="L123" s="33" t="inlineStr">
        <is>
          <t>Clarification Provided</t>
        </is>
      </c>
      <c r="M123" s="33" t="inlineStr">
        <is>
          <t>A site-data completeness review with the customer, so facilities of an already-mapped supplier are shared and on file before an event names one, rather than the gap surfacing when a WarRoom does not appear</t>
        </is>
      </c>
      <c r="N123" s="33" t="inlineStr">
        <is>
          <t>No</t>
        </is>
      </c>
      <c r="O123"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3" s="33" t="n"/>
      <c r="Q123" s="33" t="inlineStr">
        <is>
          <t>No</t>
        </is>
      </c>
      <c r="R123" s="39" t="n">
        <v>10</v>
      </c>
      <c r="S123" s="39" t="n"/>
      <c r="T123" s="35" t="inlineStr">
        <is>
          <t>Oct 2026</t>
        </is>
      </c>
      <c r="U123" s="33" t="inlineStr">
        <is>
          <t>Low</t>
        </is>
      </c>
      <c r="V123" s="33" t="inlineStr">
        <is>
          <t>Entity &amp; Supplier Resolution</t>
        </is>
      </c>
      <c r="W123" s="33" t="n"/>
      <c r="X123"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3" s="33" t="inlineStr">
        <is>
          <t>EventWatch Ops - Nitin Rindhe</t>
        </is>
      </c>
      <c r="Z123" s="37" t="n"/>
    </row>
    <row r="124">
      <c r="A124" s="35" t="n">
        <v>46296</v>
      </c>
      <c r="B124" s="37" t="n">
        <v>46304</v>
      </c>
      <c r="C124" s="33" t="inlineStr">
        <is>
          <t>FDA/EMA/OSHA Action</t>
        </is>
      </c>
      <c r="D124" s="33" t="inlineStr">
        <is>
          <t>Suntory Spirits</t>
        </is>
      </c>
      <c r="E124" s="39" t="n">
        <v>1</v>
      </c>
      <c r="F124" s="33" t="inlineStr">
        <is>
          <t>Antitrust Raids at Suntory Spirits, Asahi Breweries, Kirin Brewery, and Sapporo Breweries in Japan</t>
        </is>
      </c>
      <c r="G124" s="33" t="inlineStr">
        <is>
          <t>Complaint</t>
        </is>
      </c>
      <c r="H124" s="33" t="inlineStr">
        <is>
          <t>Missing EventWatch coverage / feeds not captured</t>
        </is>
      </c>
      <c r="I124" s="33" t="inlineStr">
        <is>
          <t>People</t>
        </is>
      </c>
      <c r="J124" s="33" t="inlineStr">
        <is>
          <t>Analyst Review Miss</t>
        </is>
      </c>
      <c r="K124" s="33" t="inlineStr">
        <is>
          <t>Improvement</t>
        </is>
      </c>
      <c r="L124" s="33" t="inlineStr">
        <is>
          <t>RCA Shared</t>
        </is>
      </c>
      <c r="M124" s="33" t="inlineStr">
        <is>
          <t>Timeliness monitoring for regulator and competition-authority actions against mapped suppliers, so a publicly reported raid or probe is matched and published before a customer asks where the coverage is</t>
        </is>
      </c>
      <c r="N124" s="33" t="inlineStr">
        <is>
          <t>Yes</t>
        </is>
      </c>
      <c r="O124" s="33" t="inlineStr">
        <is>
          <t>Suntory Spirits raised two asks by email on 09-Oct-2026 about the Japanese antitrust investigation into four major brewers. ASK 1, why there was no EventWatch coverage. The customer saw news of the investigation naming Suntory Spirits and could not find corresponding coverage in EventWatch, and questioned whether this event type is monitored at all. ASK 2, whether the sources reporting the investigation are inside the monitoring ecosystem, and whether monitoring can be expanded so future developments are captured earlier. The timeline is what makes this a miss rather than a coverage question. Authorities conducted searches on 07-Oct-2026 and the investigation was publicly reported before any EventWatch bulletin existed. The customer wrote in on 09-Oct. The bulletin, titled Antitrust Raids at Suntory Spirits, Asahi Breweries, Kirin Brewery, and Sapporo Breweries in Japan, published at 12:07 AM IST on 10-Oct-2026 - after the escalation. So ask 2 is not a generic source-coverage question: the customer is asking whether sources that already carried the story were being monitored, which makes it a monitoring-gap inquiry. Under investigation and deliberately left open; the Sub-type is a staging guess. Captured Late is the one reading the timeline supports on its own, since a bulletin did publish, and it does not prejudge whether the delay came from a source gap, a keyword gap or pipeline lag - which is exactly what is still being established. Raised by email; no Jira ticket has been opened, so the daily Pending re-check has no ticket to pull and this row needs a human to carry it.</t>
        </is>
      </c>
      <c r="P124" s="33" t="n"/>
      <c r="Q124" s="33" t="inlineStr">
        <is>
          <t>Yes</t>
        </is>
      </c>
      <c r="R124" s="39" t="n">
        <v>10</v>
      </c>
      <c r="S124" s="39" t="n"/>
      <c r="T124" s="35" t="inlineStr">
        <is>
          <t>Oct 2026</t>
        </is>
      </c>
      <c r="U124" s="33" t="inlineStr">
        <is>
          <t>Medium</t>
        </is>
      </c>
      <c r="V124" s="33" t="inlineStr">
        <is>
          <t>WarRoom &amp; Decision Validation</t>
        </is>
      </c>
      <c r="W124" s="33" t="n"/>
      <c r="X124" s="33" t="inlineStr">
        <is>
          <t>EventWatch captured the relevant articles on 07-Oct-2026 and 08-Oct-2026. The event was classified Not Impactful during human-in-the-loop review. The customer inquiry was received on 09-Oct-2026, the event was re-evaluated and a WarRoom was created, and the bulletin published on 10-Oct-2026. The RCA identifies incorrect human assessment as the root cause.</t>
        </is>
      </c>
      <c r="Y124" s="33" t="inlineStr">
        <is>
          <t>EventWatch Ops - Nitin Rindhe</t>
        </is>
      </c>
      <c r="Z124" s="37" t="n"/>
    </row>
    <row r="125">
      <c r="A125" s="35" t="n">
        <v>46296</v>
      </c>
      <c r="B125" s="37" t="n">
        <v>46307</v>
      </c>
      <c r="C125" s="33" t="inlineStr">
        <is>
          <t>Bankruptcy</t>
        </is>
      </c>
      <c r="D125" s="33" t="inlineStr">
        <is>
          <t>Ford</t>
        </is>
      </c>
      <c r="E125" s="39" t="n">
        <v>1</v>
      </c>
      <c r="F125" s="33" t="inlineStr">
        <is>
          <t>BER Automotive Bankruptcy, Bursa Türkiye – No EventWatch Alert (Ford)</t>
        </is>
      </c>
      <c r="G125" s="33" t="inlineStr">
        <is>
          <t>Complaint</t>
        </is>
      </c>
      <c r="H125" s="33" t="inlineStr">
        <is>
          <t>Missed insolvency alert</t>
        </is>
      </c>
      <c r="I125" s="33" t="inlineStr">
        <is>
          <t>Product</t>
        </is>
      </c>
      <c r="J125" s="33" t="inlineStr">
        <is>
          <t>Source Coverage</t>
        </is>
      </c>
      <c r="K125" s="33" t="inlineStr">
        <is>
          <t>Improvement</t>
        </is>
      </c>
      <c r="L125" s="33" t="inlineStr">
        <is>
          <t>RCA Shared</t>
        </is>
      </c>
      <c r="M125" s="33" t="inlineStr">
        <is>
          <t>Source onboarding and feed-receipt verification for Turkish-language business and regional news covering the Bursa automotive cluster, so a filing at a sub-tier supplier is carried when it is published rather than found when the customer raises it</t>
        </is>
      </c>
      <c r="N125" s="33" t="inlineStr">
        <is>
          <t>Yes</t>
        </is>
      </c>
      <c r="O125" s="33" t="inlineStr">
        <is>
          <t>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cited sources are Turkish-language reports of alleged billion-lira fraud in the Bursa automotive sector, offered as customer evidence rather than verified fact. Settled as a source coverage gap: none of the three outlets is in the vendor's monitoring network and no similar source was captured, so there was no keyword possibility. This is the distinction against EAO-54, where the vendor did monitor the outlets and the matching terms missed the stories. Closed on the owner's call on 18-Oct-2026: the source-coverage finding is the response going back to Ford, so the row moves off Pending to RCA Shared. Resolution Date is left blank because the Jira ticket is still open at Approval Requested with no resolutiondate, and a guessed date is worse than none. A human carries the two loose ends from here, because a row off Pending is no longer picked up by the daily re-check: the vendor has not confirmed the sources are added, and the ticket has no closing date.</t>
        </is>
      </c>
      <c r="P125" s="33" t="n"/>
      <c r="Q125" s="33" t="inlineStr">
        <is>
          <t>Yes</t>
        </is>
      </c>
      <c r="R125" s="39" t="n">
        <v>10</v>
      </c>
      <c r="S125" s="39" t="n"/>
      <c r="T125" s="35" t="inlineStr">
        <is>
          <t>Oct 2026</t>
        </is>
      </c>
      <c r="U125" s="33" t="inlineStr">
        <is>
          <t>High</t>
        </is>
      </c>
      <c r="V125" s="33" t="inlineStr">
        <is>
          <t>Dynamic Source Discovery</t>
        </is>
      </c>
      <c r="W125" s="33" t="inlineStr">
        <is>
          <t>EAO-53</t>
        </is>
      </c>
      <c r="X125" s="33" t="inlineStr">
        <is>
          <t>Source coverage gap, confirmed by Product Management. None of the three outlets carrying the Bursa fraud allegations is in the vendor's monitoring network: ekonomistar.com.tr, which Ford cited, and sondakihaber.com and ifinnapp.com, which were checked on the ticket. No similar source reporting the news was captured either, so the story never reached the application and no keyword could have matched it. The vendor has been asked to add the sources and is working on it. Established by Ankit Gupta on 16-Oct-2026 and confirmed by Product Management.</t>
        </is>
      </c>
      <c r="Y125" s="33" t="inlineStr">
        <is>
          <t>Product &amp; Platform</t>
        </is>
      </c>
      <c r="Z125" s="37" t="n"/>
    </row>
    <row r="126">
      <c r="A126" s="35" t="n">
        <v>46296</v>
      </c>
      <c r="B126" s="37" t="n">
        <v>46310</v>
      </c>
      <c r="C126" s="33" t="inlineStr">
        <is>
          <t>Supply Shortage</t>
        </is>
      </c>
      <c r="D126" s="33" t="inlineStr">
        <is>
          <t>Belden Inc</t>
        </is>
      </c>
      <c r="E126" s="39" t="n">
        <v>1</v>
      </c>
      <c r="F126" s="33" t="inlineStr">
        <is>
          <t>Gallium and Germanium Supply Risk Under Chinese Export Curbs - No EventWatch Notification (Belden)</t>
        </is>
      </c>
      <c r="G126" s="33" t="inlineStr">
        <is>
          <t>Complaint</t>
        </is>
      </c>
      <c r="H126" s="33" t="inlineStr">
        <is>
          <t>Missed Event</t>
        </is>
      </c>
      <c r="I126" s="33" t="inlineStr">
        <is>
          <t>Product</t>
        </is>
      </c>
      <c r="J126" s="33" t="inlineStr">
        <is>
          <t>Keyword Update</t>
        </is>
      </c>
      <c r="K126" s="33" t="inlineStr">
        <is>
          <t>Improvement</t>
        </is>
      </c>
      <c r="L126" s="33" t="inlineStr">
        <is>
          <t>Pending</t>
        </is>
      </c>
      <c r="M126" s="33" t="inlineStr">
        <is>
          <t>Keyword coverage for critical-minerals export controls and compound-semiconductor feedstock risk, so a story worded around export curbs and niche metals is matched rather than passing through an ingested feed unrecognised</t>
        </is>
      </c>
      <c r="N126" s="33" t="inlineStr">
        <is>
          <t>Yes</t>
        </is>
      </c>
      <c r="O126" s="33" t="inlineStr">
        <is>
          <t>One of two events Belden raised in a single ticket about gallium arsenide, indium phosphide and semiconductor supply-chain risk; see the companion row for the epiwafer price increases. This row covers the Reuters report of 18-Sep-2026 on continued high prices and supply shortages for gallium and germanium under Chinese export curbs, with AI, fibre-optic and infrared-imaging demand adding pressure.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Reuters is in the monitoring network, which rules out a source gap and establishes the Sub-type as a keyword gap rather than leaving it a staging guess.</t>
        </is>
      </c>
      <c r="P126" s="33" t="n"/>
      <c r="Q126" s="33" t="inlineStr">
        <is>
          <t>Yes</t>
        </is>
      </c>
      <c r="R126" s="39" t="n">
        <v>10</v>
      </c>
      <c r="S126" s="39" t="n"/>
      <c r="T126" s="35" t="inlineStr">
        <is>
          <t>Oct 2026</t>
        </is>
      </c>
      <c r="U126" s="33" t="inlineStr">
        <is>
          <t>Medium</t>
        </is>
      </c>
      <c r="V126" s="33" t="inlineStr">
        <is>
          <t>Dynamic Source Discovery</t>
        </is>
      </c>
      <c r="W126" s="33" t="inlineStr">
        <is>
          <t>EAO-54</t>
        </is>
      </c>
      <c r="X126" s="33" t="inlineStr">
        <is>
          <t>Keyword gap, not a source gap. Reuters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6" s="33" t="inlineStr">
        <is>
          <t>Product &amp; Platform</t>
        </is>
      </c>
      <c r="Z126" s="37" t="n"/>
    </row>
    <row r="127">
      <c r="A127" s="35" t="n">
        <v>46296</v>
      </c>
      <c r="B127" s="37" t="n">
        <v>46310</v>
      </c>
      <c r="C127" s="33" t="inlineStr">
        <is>
          <t>Supply Shortage</t>
        </is>
      </c>
      <c r="D127" s="33" t="inlineStr">
        <is>
          <t>Belden Inc</t>
        </is>
      </c>
      <c r="E127" s="39" t="n">
        <v>1</v>
      </c>
      <c r="F127" s="33" t="inlineStr">
        <is>
          <t>GaAs and InP Epiwafer Price Increases in the Taiwan Supply Chain - No EventWatch Notification (Belden)</t>
        </is>
      </c>
      <c r="G127" s="33" t="inlineStr">
        <is>
          <t>Complaint</t>
        </is>
      </c>
      <c r="H127" s="33" t="inlineStr">
        <is>
          <t>Missed Event</t>
        </is>
      </c>
      <c r="I127" s="33" t="inlineStr">
        <is>
          <t>Product</t>
        </is>
      </c>
      <c r="J127" s="33" t="inlineStr">
        <is>
          <t>Keyword Update</t>
        </is>
      </c>
      <c r="K127" s="33" t="inlineStr">
        <is>
          <t>Improvement</t>
        </is>
      </c>
      <c r="L127" s="33" t="inlineStr">
        <is>
          <t>Pending</t>
        </is>
      </c>
      <c r="M127" s="33" t="inlineStr">
        <is>
          <t>Keyword coverage for compound-semiconductor epiwafer and substrate pricing terminology, so a trade-press story on GaAs and InP price increases is matched rather than passing through an ingested feed unrecognised</t>
        </is>
      </c>
      <c r="N127" s="33" t="inlineStr">
        <is>
          <t>Yes</t>
        </is>
      </c>
      <c r="O127" s="33" t="inlineStr">
        <is>
          <t>The second of two events Belden raised in a single ticket; see the companion row for the gallium and germanium export-curb risk. This row covers the DigiTimes report of 02-Jul-2026 that compound-semiconductor epitaxy makers are raising GaAs and InP epiwafer prices amid rising input costs, supply-chain shortages and inflation.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DigiTimes is in the monitoring network, which rules out a source gap and establishes the Sub-type as a keyword gap. Recorded as a counterpoint on the same subject: DigiTimes of 04-May-2026 carried WIN Semiconductors stating that GaAs and InP supply still meets production demand despite higher substrate costs. That statement is not itself a reportable disruption, so it takes no row of its own.</t>
        </is>
      </c>
      <c r="P127" s="33" t="n"/>
      <c r="Q127" s="33" t="inlineStr">
        <is>
          <t>Yes</t>
        </is>
      </c>
      <c r="R127" s="39" t="n">
        <v>10</v>
      </c>
      <c r="S127" s="39" t="n"/>
      <c r="T127" s="35" t="inlineStr">
        <is>
          <t>Oct 2026</t>
        </is>
      </c>
      <c r="U127" s="33" t="inlineStr">
        <is>
          <t>Medium</t>
        </is>
      </c>
      <c r="V127" s="33" t="inlineStr">
        <is>
          <t>Dynamic Source Discovery</t>
        </is>
      </c>
      <c r="W127" s="33" t="inlineStr">
        <is>
          <t>EAO-54</t>
        </is>
      </c>
      <c r="X127" s="33" t="inlineStr">
        <is>
          <t>Keyword gap, not a source gap. DigiTimes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7" s="33" t="inlineStr">
        <is>
          <t>Product &amp; Platform</t>
        </is>
      </c>
      <c r="Z127" s="37" t="n"/>
    </row>
    <row r="128">
      <c r="A128" s="35" t="n">
        <v>46296</v>
      </c>
      <c r="B128" s="37" t="n">
        <v>46310</v>
      </c>
      <c r="C128" s="33" t="inlineStr">
        <is>
          <t>Supply Shortage</t>
        </is>
      </c>
      <c r="D128" s="33" t="inlineStr">
        <is>
          <t>Belden Inc</t>
        </is>
      </c>
      <c r="E128" s="39" t="n">
        <v>1</v>
      </c>
      <c r="F128" s="33" t="inlineStr">
        <is>
          <t>WIN Semiconductors GaAs and InP Supply Adequacy Report - No EventWatch Notification (Belden)</t>
        </is>
      </c>
      <c r="G128" s="33" t="inlineStr">
        <is>
          <t>Complaint</t>
        </is>
      </c>
      <c r="H128" s="33" t="inlineStr">
        <is>
          <t>Missed Event</t>
        </is>
      </c>
      <c r="I128" s="33" t="inlineStr">
        <is>
          <t>Product</t>
        </is>
      </c>
      <c r="J128" s="33" t="inlineStr">
        <is>
          <t>Keyword Update</t>
        </is>
      </c>
      <c r="K128" s="33" t="inlineStr">
        <is>
          <t>Improvement</t>
        </is>
      </c>
      <c r="L128" s="33" t="inlineStr">
        <is>
          <t>Pending</t>
        </is>
      </c>
      <c r="M128" s="33" t="inlineStr">
        <is>
          <t>Keyword coverage for compound-semiconductor substrate supply and production-demand reporting, so a DigiTimes assessment of GaAs and InP availability is captured whether it reports a shortage or adequate supply</t>
        </is>
      </c>
      <c r="N128" s="33" t="inlineStr">
        <is>
          <t>Yes</t>
        </is>
      </c>
      <c r="O128" s="33" t="inlineStr">
        <is>
          <t>The third of three events Belden raised in a single ticket about gallium arsenide, indium phosphide and semiconductor supply-chain risk; the companion rows cover the gallium and germanium export-curb risk and the GaAs and InP epiwafer price increases. This row covers the DigiTimes report of 04-May-2026 that WIN Semiconductors said GaAs and InP supply still meets production demand despite higher GaAs substrate costs, which is the supply-adequacy counterpoint in the same thread and one of the five article URLs Nitin Rindhe put to Engineering on 21-Oct-2026. Split onto its own row on the owner's instruction of 22-Oct-2026 that the ticket carries three reportable events. Not captured, per the owner. The owner confirmed on 22-Oct-2026 that all three articles were owed to Belden, which settles this row as a miss rather than an article we had no obligation to surface: the supply-adequacy report is part of the picture Belden was owed on GaAs and InP availability, not a counterpoint outside scope. DigiTimes is in the monitoring network, which is what rules out a source gap and leaves a keyword gap, the same reading the two companion rows carry. STILL OPEN: EAO-54 is at Sent to PM with one comment and no engineering reply, so this row stays Pending and nothing automatic will settle it.</t>
        </is>
      </c>
      <c r="P128" s="33" t="n"/>
      <c r="Q128" s="33" t="inlineStr">
        <is>
          <t>Yes</t>
        </is>
      </c>
      <c r="R128" s="39" t="n">
        <v>10</v>
      </c>
      <c r="S128" s="39" t="n"/>
      <c r="T128" s="35" t="inlineStr">
        <is>
          <t>Oct 2026</t>
        </is>
      </c>
      <c r="U128" s="33" t="inlineStr">
        <is>
          <t>Medium</t>
        </is>
      </c>
      <c r="V128" s="33" t="inlineStr">
        <is>
          <t>Dynamic Source Discovery</t>
        </is>
      </c>
      <c r="W128" s="33" t="inlineStr">
        <is>
          <t>EAO-54</t>
        </is>
      </c>
      <c r="X128" s="33" t="n"/>
      <c r="Y128" s="33" t="inlineStr">
        <is>
          <t>Product &amp; Platform</t>
        </is>
      </c>
      <c r="Z128" s="37" t="n"/>
    </row>
    <row r="129">
      <c r="A129" s="35" t="n">
        <v>46296</v>
      </c>
      <c r="B129" s="37" t="n">
        <v>46311</v>
      </c>
      <c r="C129" s="33" t="inlineStr">
        <is>
          <t>Merger &amp; Acquisition</t>
        </is>
      </c>
      <c r="D129" s="33" t="inlineStr">
        <is>
          <t>Irving Oil</t>
        </is>
      </c>
      <c r="E129" s="39" t="n">
        <v>1</v>
      </c>
      <c r="F129" s="33" t="inlineStr">
        <is>
          <t>WSP Acquisition of GCM Corpo - No EventWatch Notification (Irving Oil)</t>
        </is>
      </c>
      <c r="G129" s="33" t="inlineStr">
        <is>
          <t>Complaint</t>
        </is>
      </c>
      <c r="H129" s="33" t="inlineStr">
        <is>
          <t>Missed Event</t>
        </is>
      </c>
      <c r="I129" s="33" t="inlineStr">
        <is>
          <t>People</t>
        </is>
      </c>
      <c r="J129" s="33" t="inlineStr">
        <is>
          <t>Review</t>
        </is>
      </c>
      <c r="K129" s="33" t="inlineStr">
        <is>
          <t>Improvement</t>
        </is>
      </c>
      <c r="L129" s="33" t="inlineStr">
        <is>
          <t>RCA Shared</t>
        </is>
      </c>
      <c r="M129" s="33" t="inlineStr">
        <is>
          <t>M&amp;A reportability validation at review, so an industry-relevant transaction is assessed for industry and product relevance before a Not Impactful call is made on the absence of customer-specific supplier mapping</t>
        </is>
      </c>
      <c r="N129" s="33" t="inlineStr">
        <is>
          <t>Yes</t>
        </is>
      </c>
      <c r="O129" s="33" t="inlineStr">
        <is>
          <t>Irving Oil reported that no event was published for WSP's acquisition of GCM Corpo. Customer Support checked the backend and found no event matching that title in the database. The supporting article is a French-language release in Le Devoir. RCA - WSP Global to Acquire GCM Corpo.docx was attached to the ticket by Nitin Rindhe on 21-Oct-2026 and sent to Prithviraj Bajpai. On the owner's rule that attaching the RCA completes the record, this row is RCA Shared. The ticket itself carries no resolution date, so Resolution Date stays blank. The RCA is an attachment and its text is not readable from the ticket, so RCA Details stays blank rather than carrying a paraphrase of a document nobody here can open. The cause named in that document is not known, so the Sub-type below is still the staging guess it was. The Sub-type is a staging guess: the ticket does not say the feed was not received, so Source Coverage is not supported on the evidence available. If the investigation names language as the cause, the Standard Automation Focus becomes Multilingual Keyword Expansion.</t>
        </is>
      </c>
      <c r="P129" s="33" t="n"/>
      <c r="Q129" s="33" t="inlineStr">
        <is>
          <t>Yes</t>
        </is>
      </c>
      <c r="R129" s="39" t="n">
        <v>10</v>
      </c>
      <c r="S129" s="39" t="n"/>
      <c r="T129" s="35" t="inlineStr">
        <is>
          <t>Oct 2026</t>
        </is>
      </c>
      <c r="U129" s="33" t="inlineStr">
        <is>
          <t>Medium</t>
        </is>
      </c>
      <c r="V129" s="33" t="inlineStr">
        <is>
          <t>WarRoom &amp; Decision Validation</t>
        </is>
      </c>
      <c r="W129" s="33" t="inlineStr">
        <is>
          <t>EAO-55</t>
        </is>
      </c>
      <c r="X129" s="33" t="inlineStr">
        <is>
          <t>An incorrect application of the M&amp;A reporting criteria during human-in-the-loop review. The feed harvesting algorithms captured the relevant articles on 01-Oct-2026 and the AI classification models correctly identified the feeds as an Event and routed them for review; the reporting team then treated the absence of customer-specific supplier mapping as sufficient grounds to classify the acquisition Not Impactful. Under the EventWatch Merger and Acquisition reporting guidelines, industry-relevant transactions involving unmapped companies may still qualify for publication as informational news alerts even where no customer-specific WarRoom is required. Corrective actions: the event was reassessed after the customer inquiry and a bulletin was published; the original Not Impactful classification was reviewed to identify the gap; and the incident was reviewed with the reporting team, emphasising the distinction between event reportability and customer-specific supplier mapping. Preventive measures: the M&amp;A reporting guidelines were reinforced, the reporting team will assess M&amp;A events for relevance to EventWatch-covered industries before a final Not Impactful determination based on supplier mapping, and this incident becomes a reference scenario for distinguishing informational M&amp;A events from those needing a customer-specific WarRoom. Taken from the RCA shared with Irving Oil, which supersedes the earlier filing of this row as Product / Keyword Update: the articles were captured and the models routed them correctly, so what failed was the review.</t>
        </is>
      </c>
      <c r="Y129" s="33" t="inlineStr">
        <is>
          <t>EventWatch Ops - Nitin Rindhe</t>
        </is>
      </c>
      <c r="Z129"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34</v>
      </c>
      <c r="C67" s="23" t="n" cm="1">
        <f t="array" ref="C67:C76">_xlfn.ANCHORARRAY(B67)/COUNTIF(ComplaintTracker[Issue Type],"Complaint")</f>
        <v>0.3300970873786408</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3">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2</v>
      </c>
      <c r="L67" s="75" t="n">
        <v>15</v>
      </c>
    </row>
    <row r="68" ht="23.25" customHeight="1">
      <c r="A68" s="20" t="inlineStr">
        <is>
          <t>Eaton</t>
        </is>
      </c>
      <c r="B68" s="22" t="n">
        <v>13</v>
      </c>
      <c r="C68" s="24" t="n">
        <v>0.1262135922330097</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0.06796116504854369</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5</v>
      </c>
      <c r="C70" s="24" t="n">
        <v>0.04854368932038835</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2</v>
      </c>
      <c r="L70" s="76" t="n">
        <v>15</v>
      </c>
    </row>
    <row r="71" ht="23.25" customHeight="1">
      <c r="A71" s="20" t="inlineStr">
        <is>
          <t>Belden Inc</t>
        </is>
      </c>
      <c r="B71" s="22" t="n">
        <v>4</v>
      </c>
      <c r="C71" s="24" t="n">
        <v>0.038834951456310676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GM</t>
        </is>
      </c>
      <c r="B72" s="22" t="n">
        <v>4</v>
      </c>
      <c r="C72" s="24" t="n">
        <v>0.038834951456310676</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Ford/GM</t>
        </is>
      </c>
      <c r="B73" s="22" t="n">
        <v>3</v>
      </c>
      <c r="C73" s="24" t="n">
        <v>0.02912621359223301</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FDA/EMA/OSHA Action</t>
        </is>
      </c>
      <c r="J73" s="76" t="n">
        <v>1</v>
      </c>
      <c r="K73" s="76" t="n">
        <v>0</v>
      </c>
      <c r="L73" s="76" t="n">
        <v>1</v>
      </c>
    </row>
    <row r="74" ht="23.25" customHeight="1">
      <c r="A74" s="20" t="inlineStr">
        <is>
          <t>General Mills</t>
        </is>
      </c>
      <c r="B74" s="22" t="n">
        <v>2</v>
      </c>
      <c r="C74" s="24" t="n">
        <v>0.019417475728155338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Closure</t>
        </is>
      </c>
      <c r="J74" s="76" t="n">
        <v>1</v>
      </c>
      <c r="K74" s="76" t="n">
        <v>0</v>
      </c>
      <c r="L74" s="76" t="n">
        <v>1</v>
      </c>
    </row>
    <row r="75" ht="18" customHeight="1">
      <c r="A75" s="20" t="inlineStr">
        <is>
          <t>Irving Oil</t>
        </is>
      </c>
      <c r="B75" s="22" t="n">
        <v>2</v>
      </c>
      <c r="C75" s="24" t="n">
        <v>0.019417475728155338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Disruption</t>
        </is>
      </c>
      <c r="J75" s="76" t="n">
        <v>1</v>
      </c>
      <c r="K75" s="76" t="n">
        <v>0</v>
      </c>
      <c r="L75" s="76" t="n">
        <v>1</v>
      </c>
    </row>
    <row r="76" ht="23.25" customHeight="1">
      <c r="A76" s="20" t="inlineStr">
        <is>
          <t>META</t>
        </is>
      </c>
      <c r="B76" s="22" t="n">
        <v>2</v>
      </c>
      <c r="C76" s="24" t="n">
        <v>0.019417475728155338</v>
      </c>
      <c r="D76" s="3" t="n"/>
      <c r="E76" s="20" t="inlineStr">
        <is>
          <t>Classification &amp; Impact Validation</t>
        </is>
      </c>
      <c r="F76" s="22">
        <f>COUNTIFS(ComplaintTracker[Issue Type],"Complaint",ComplaintTracker[Standard Automation Focus],E76)</f>
        <v/>
      </c>
      <c r="G76" s="24">
        <f>F76/COUNTIF(ComplaintTracker[Issue Type],"Complaint")</f>
        <v/>
      </c>
      <c r="H76" s="3" t="n"/>
      <c r="I76" s="20" t="inlineStr">
        <is>
          <t>Factory Fire</t>
        </is>
      </c>
      <c r="J76" s="76" t="n">
        <v>13</v>
      </c>
      <c r="K76" s="76" t="n">
        <v>3</v>
      </c>
      <c r="L76" s="76" t="n">
        <v>16</v>
      </c>
    </row>
    <row r="77" ht="23.25" customHeight="1">
      <c r="A77" s="20" t="inlineStr">
        <is>
          <t>Other customers</t>
        </is>
      </c>
      <c r="B77" s="22">
        <f>COUNTIF(ComplaintTracker[Issue Type],"Complaint")-SUM(B67:B76)</f>
        <v/>
      </c>
      <c r="C77" s="24">
        <f>B77/COUNTIF(ComplaintTracker[Issue Type],"Complaint")</f>
        <v/>
      </c>
      <c r="D77" s="3" t="n"/>
      <c r="E77" s="25" t="inlineStr">
        <is>
          <t>Total</t>
        </is>
      </c>
      <c r="F77" s="26">
        <f>SUM(F67:F76)</f>
        <v/>
      </c>
      <c r="G77" s="27">
        <f>SUM(G67:G76)</f>
        <v/>
      </c>
      <c r="H77" s="3" t="n"/>
      <c r="I77" s="20" t="inlineStr">
        <is>
          <t>Financial Distress</t>
        </is>
      </c>
      <c r="J77" s="76" t="n">
        <v>2</v>
      </c>
      <c r="K77" s="76" t="n">
        <v>0</v>
      </c>
      <c r="L77" s="76" t="n">
        <v>2</v>
      </c>
    </row>
    <row r="78" ht="18" customHeight="1">
      <c r="A78" s="25" t="inlineStr">
        <is>
          <t>Total</t>
        </is>
      </c>
      <c r="B78" s="26">
        <f>SUM(B67:B77)</f>
        <v/>
      </c>
      <c r="C78" s="27">
        <f>SUM(C67:C77)</f>
        <v/>
      </c>
      <c r="D78" s="3" t="n"/>
      <c r="E78" s="3" t="n"/>
      <c r="F78" s="3" t="n"/>
      <c r="G78" s="3" t="n"/>
      <c r="H78" s="3" t="n"/>
      <c r="I78" s="20" t="inlineStr">
        <is>
          <t>Geopolitical</t>
        </is>
      </c>
      <c r="J78" s="76" t="n">
        <v>5</v>
      </c>
      <c r="K78" s="76" t="n">
        <v>2</v>
      </c>
      <c r="L78" s="76" t="n">
        <v>7</v>
      </c>
    </row>
    <row r="79" ht="23.25" customHeight="1">
      <c r="A79" s="3" t="n"/>
      <c r="B79" s="3" t="n"/>
      <c r="C79" s="3" t="n"/>
      <c r="D79" s="3" t="n"/>
      <c r="E79" s="3" t="n"/>
      <c r="F79" s="3" t="n"/>
      <c r="G79" s="3" t="n"/>
      <c r="H79" s="3" t="n"/>
      <c r="I79" s="20" t="inlineStr">
        <is>
          <t>Hurricane/Typhoon</t>
        </is>
      </c>
      <c r="J79" s="76" t="n">
        <v>0</v>
      </c>
      <c r="K79" s="76" t="n">
        <v>2</v>
      </c>
      <c r="L79" s="76" t="n">
        <v>2</v>
      </c>
    </row>
    <row r="80" ht="23.25" customHeight="1">
      <c r="A80" s="3" t="n"/>
      <c r="B80" s="3" t="n"/>
      <c r="C80" s="3" t="n"/>
      <c r="D80" s="3" t="n"/>
      <c r="E80" s="3" t="n"/>
      <c r="F80" s="3" t="n"/>
      <c r="G80" s="3" t="n"/>
      <c r="H80" s="3" t="n"/>
      <c r="I80" s="20" t="inlineStr">
        <is>
          <t>Labor Disruption</t>
        </is>
      </c>
      <c r="J80" s="76" t="n">
        <v>7</v>
      </c>
      <c r="K80" s="76" t="n">
        <v>1</v>
      </c>
      <c r="L80" s="76" t="n">
        <v>8</v>
      </c>
    </row>
    <row r="81" ht="18" customHeight="1">
      <c r="A81" s="3" t="n"/>
      <c r="B81" s="3" t="n"/>
      <c r="C81" s="3" t="n"/>
      <c r="D81" s="3" t="n"/>
      <c r="E81" s="3" t="n"/>
      <c r="F81" s="3" t="n"/>
      <c r="G81" s="3" t="n"/>
      <c r="H81" s="3" t="n"/>
      <c r="I81" s="20" t="inlineStr">
        <is>
          <t>Leadership Transition</t>
        </is>
      </c>
      <c r="J81" s="76" t="n">
        <v>1</v>
      </c>
      <c r="K81" s="76" t="n">
        <v>0</v>
      </c>
      <c r="L81" s="76" t="n">
        <v>1</v>
      </c>
    </row>
    <row r="82" ht="23.25" customHeight="1">
      <c r="A82" s="3" t="n"/>
      <c r="B82" s="3" t="n"/>
      <c r="C82" s="3" t="n"/>
      <c r="D82" s="3" t="n"/>
      <c r="E82" s="3" t="n"/>
      <c r="F82" s="3" t="n"/>
      <c r="G82" s="3" t="n"/>
      <c r="H82" s="3" t="n"/>
      <c r="I82" s="20" t="inlineStr">
        <is>
          <t>Legal Action</t>
        </is>
      </c>
      <c r="J82" s="76" t="n">
        <v>2</v>
      </c>
      <c r="K82" s="76" t="n">
        <v>0</v>
      </c>
      <c r="L82" s="76" t="n">
        <v>2</v>
      </c>
    </row>
    <row r="83" ht="23.25" customHeight="1">
      <c r="A83" s="3" t="n"/>
      <c r="B83" s="3" t="n"/>
      <c r="C83" s="3" t="n"/>
      <c r="D83" s="3" t="n"/>
      <c r="E83" s="3" t="n"/>
      <c r="F83" s="3" t="n"/>
      <c r="G83" s="3" t="n"/>
      <c r="H83" s="3" t="n"/>
      <c r="I83" s="20" t="inlineStr">
        <is>
          <t>Merger &amp; Acquisition</t>
        </is>
      </c>
      <c r="J83" s="76" t="n">
        <v>4</v>
      </c>
      <c r="K83" s="76" t="n">
        <v>2</v>
      </c>
      <c r="L83" s="76" t="n">
        <v>6</v>
      </c>
    </row>
    <row r="84" ht="18" customHeight="1">
      <c r="A84" s="3" t="n"/>
      <c r="B84" s="3" t="n"/>
      <c r="C84" s="3" t="n"/>
      <c r="D84" s="3" t="n"/>
      <c r="E84" s="3" t="n"/>
      <c r="F84" s="3" t="n"/>
      <c r="G84" s="3" t="n"/>
      <c r="H84" s="3" t="n"/>
      <c r="I84" s="20" t="inlineStr">
        <is>
          <t>Platform/Data Quality</t>
        </is>
      </c>
      <c r="J84" s="76" t="n">
        <v>2</v>
      </c>
      <c r="K84" s="76" t="n">
        <v>0</v>
      </c>
      <c r="L84" s="76" t="n">
        <v>2</v>
      </c>
    </row>
    <row r="85" ht="23.25" customHeight="1">
      <c r="A85" s="3" t="n"/>
      <c r="B85" s="3" t="n"/>
      <c r="C85" s="3" t="n"/>
      <c r="D85" s="3" t="n"/>
      <c r="E85" s="3" t="n"/>
      <c r="F85" s="3" t="n"/>
      <c r="G85" s="3" t="n"/>
      <c r="H85" s="3" t="n"/>
      <c r="I85" s="20" t="inlineStr">
        <is>
          <t>Port Disruption</t>
        </is>
      </c>
      <c r="J85" s="76" t="n">
        <v>2</v>
      </c>
      <c r="K85" s="76" t="n">
        <v>1</v>
      </c>
      <c r="L85" s="76" t="n">
        <v>3</v>
      </c>
    </row>
    <row r="86" ht="23.25" customHeight="1">
      <c r="A86" s="3" t="n"/>
      <c r="B86" s="3" t="n"/>
      <c r="C86" s="3" t="n"/>
      <c r="D86" s="3" t="n"/>
      <c r="E86" s="3" t="n"/>
      <c r="F86" s="3" t="n"/>
      <c r="G86" s="3" t="n"/>
      <c r="H86" s="3" t="n"/>
      <c r="I86" s="20" t="inlineStr">
        <is>
          <t>Power Outage</t>
        </is>
      </c>
      <c r="J86" s="76" t="n">
        <v>2</v>
      </c>
      <c r="K86" s="76" t="n">
        <v>1</v>
      </c>
      <c r="L86" s="76" t="n">
        <v>3</v>
      </c>
    </row>
    <row r="87" ht="18" customHeight="1">
      <c r="A87" s="3" t="n"/>
      <c r="B87" s="3" t="n"/>
      <c r="C87" s="3" t="n"/>
      <c r="D87" s="3" t="n"/>
      <c r="E87" s="3" t="n"/>
      <c r="F87" s="3" t="n"/>
      <c r="G87" s="3" t="n"/>
      <c r="H87" s="3" t="n"/>
      <c r="I87" s="20" t="inlineStr">
        <is>
          <t>Price Fluctuation</t>
        </is>
      </c>
      <c r="J87" s="76" t="n">
        <v>0</v>
      </c>
      <c r="K87" s="76" t="n">
        <v>1</v>
      </c>
      <c r="L87" s="76" t="n">
        <v>1</v>
      </c>
      <c r="M87" s="3" t="n"/>
      <c r="N87" s="3" t="n"/>
      <c r="O87" s="3" t="n"/>
      <c r="P87" s="3" t="n"/>
      <c r="Q87" s="3" t="n"/>
      <c r="R87" s="3" t="n"/>
    </row>
    <row r="88" ht="18" customHeight="1">
      <c r="A88" s="3" t="n"/>
      <c r="B88" s="3" t="n"/>
      <c r="C88" s="3" t="n"/>
      <c r="D88" s="3" t="n"/>
      <c r="E88" s="3" t="n"/>
      <c r="F88" s="3" t="n"/>
      <c r="G88" s="3" t="n"/>
      <c r="H88" s="3" t="n"/>
      <c r="I88" s="20" t="inlineStr">
        <is>
          <t>Protest/Riot</t>
        </is>
      </c>
      <c r="J88" s="76" t="n">
        <v>5</v>
      </c>
      <c r="K88" s="76" t="n">
        <v>0</v>
      </c>
      <c r="L88" s="76" t="n">
        <v>5</v>
      </c>
      <c r="M88" s="3" t="n"/>
      <c r="N88" s="3" t="n"/>
      <c r="O88" s="3" t="n"/>
      <c r="P88" s="3" t="n"/>
      <c r="Q88" s="3" t="n"/>
      <c r="R88" s="3" t="n"/>
    </row>
    <row r="89" ht="18" customHeight="1">
      <c r="A89" s="3" t="n"/>
      <c r="B89" s="3" t="n"/>
      <c r="C89" s="3" t="n"/>
      <c r="D89" s="3" t="n"/>
      <c r="E89" s="3" t="n"/>
      <c r="F89" s="3" t="n"/>
      <c r="G89" s="3" t="n"/>
      <c r="H89" s="3" t="n"/>
      <c r="I89" s="20" t="inlineStr">
        <is>
          <t>Regulatory Change</t>
        </is>
      </c>
      <c r="J89" s="76" t="n">
        <v>5</v>
      </c>
      <c r="K89" s="76" t="n">
        <v>1</v>
      </c>
      <c r="L89" s="76" t="n">
        <v>6</v>
      </c>
      <c r="M89" s="3" t="n"/>
      <c r="N89" s="3" t="n"/>
      <c r="O89" s="3" t="n"/>
      <c r="P89" s="3" t="n"/>
      <c r="Q89" s="3" t="n"/>
      <c r="R89" s="3" t="n"/>
    </row>
    <row r="90" ht="18" customHeight="1">
      <c r="A90" s="3" t="n"/>
      <c r="B90" s="3" t="n"/>
      <c r="C90" s="3" t="n"/>
      <c r="D90" s="3" t="n"/>
      <c r="E90" s="3" t="n"/>
      <c r="F90" s="3" t="n"/>
      <c r="G90" s="3" t="n"/>
      <c r="H90" s="3" t="n"/>
      <c r="I90" s="20" t="inlineStr">
        <is>
          <t>Supply Shortage</t>
        </is>
      </c>
      <c r="J90" s="76" t="n">
        <v>8</v>
      </c>
      <c r="K90" s="76" t="n">
        <v>3</v>
      </c>
      <c r="L90" s="76" t="n">
        <v>11</v>
      </c>
      <c r="M90" s="3" t="n"/>
      <c r="N90" s="3" t="n"/>
      <c r="O90" s="3" t="n"/>
      <c r="P90" s="3" t="n"/>
      <c r="Q90" s="3" t="n"/>
      <c r="R90" s="3" t="n"/>
    </row>
    <row r="91" ht="18" customHeight="1">
      <c r="A91" s="3" t="n"/>
      <c r="B91" s="3" t="n"/>
      <c r="C91" s="3" t="n"/>
      <c r="D91" s="3" t="n"/>
      <c r="E91" s="3" t="n"/>
      <c r="F91" s="3" t="n"/>
      <c r="G91" s="3" t="n"/>
      <c r="H91" s="3" t="n"/>
      <c r="I91" s="20" t="inlineStr">
        <is>
          <t>Tornado</t>
        </is>
      </c>
      <c r="J91" s="76" t="n">
        <v>3</v>
      </c>
      <c r="K91" s="76" t="n">
        <v>0</v>
      </c>
      <c r="L91" s="76" t="n">
        <v>3</v>
      </c>
      <c r="M91" s="3" t="n"/>
      <c r="N91" s="3" t="n"/>
      <c r="O91" s="3" t="n"/>
      <c r="P91" s="3" t="n"/>
      <c r="Q91" s="3" t="n"/>
      <c r="R91" s="3" t="n"/>
    </row>
    <row r="92" ht="18" customHeight="1">
      <c r="A92" s="3" t="n"/>
      <c r="B92" s="3" t="n"/>
      <c r="C92" s="3" t="n"/>
      <c r="D92" s="3" t="n"/>
      <c r="E92" s="3" t="n"/>
      <c r="F92" s="3" t="n"/>
      <c r="G92" s="3" t="n"/>
      <c r="H92" s="3" t="n"/>
      <c r="I92" s="20" t="inlineStr">
        <is>
          <t>Wildfire</t>
        </is>
      </c>
      <c r="J92" s="76" t="n">
        <v>3</v>
      </c>
      <c r="K92" s="76" t="n">
        <v>1</v>
      </c>
      <c r="L92" s="76" t="n">
        <v>4</v>
      </c>
      <c r="M92" s="3" t="n"/>
      <c r="N92" s="3" t="n"/>
      <c r="O92" s="3" t="n"/>
      <c r="P92" s="3" t="n"/>
      <c r="Q92" s="3" t="n"/>
      <c r="R92" s="3" t="n"/>
    </row>
    <row r="93" ht="18" customHeight="1">
      <c r="A93" s="3" t="n"/>
      <c r="B93" s="3" t="n"/>
      <c r="C93" s="3" t="n"/>
      <c r="D93" s="3" t="n"/>
      <c r="E93" s="3" t="n"/>
      <c r="F93" s="3" t="n"/>
      <c r="G93" s="3" t="n"/>
      <c r="H93" s="3" t="n"/>
      <c r="I93" s="25" t="inlineStr">
        <is>
          <t>Total</t>
        </is>
      </c>
      <c r="J93" s="77" t="n">
        <v>103</v>
      </c>
      <c r="K93" s="77" t="n">
        <v>25</v>
      </c>
      <c r="L93" s="77" t="n">
        <v>128</v>
      </c>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67"/>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row r="154" ht="30.75" customHeight="1">
      <c r="A154" s="42" t="inlineStr">
        <is>
          <t>Event type</t>
        </is>
      </c>
      <c r="B154" s="41" t="inlineStr">
        <is>
          <t>FDA/EMA/OSHA Action</t>
        </is>
      </c>
      <c r="C154" s="41" t="inlineStr">
        <is>
          <t>Enforcement or investigative action by a regulator or competition authority against a company, such as an inspection, raid, recall order, warning letter or antitrust probe.</t>
        </is>
      </c>
      <c r="D154" s="41" t="inlineStr">
        <is>
          <t>Standard event category. Use for an authority acting against a named company; use Regulatory Change where a rule or policy itself changes, and Legal Action for private or commercial litigation.</t>
        </is>
      </c>
      <c r="E154" s="41" t="inlineStr">
        <is>
          <t>Event type</t>
        </is>
      </c>
    </row>
    <row r="155" ht="30.75" customHeight="1">
      <c r="A155" s="42" t="inlineStr">
        <is>
          <t>Sub-type</t>
        </is>
      </c>
      <c r="B155" s="41" t="inlineStr">
        <is>
          <t>Alerting Gap</t>
        </is>
      </c>
      <c r="C155" s="41" t="inlineStr">
        <is>
          <t>A relevant article or feed was captured by the Product-controlled harvesting or monitoring flow, but an ingestion, database, portal, UI or workflow failure prevented it from reaching analysts as a usable item in time for review and escalation.</t>
        </is>
      </c>
      <c r="D155" s="41" t="inlineStr">
        <is>
          <t>Detailed cause/handling category. Include: feed identified upstream but not ingested into the portal; algorithm captured the article but it did not reach the application or analyst queue; a captured feed that surfaced in the analyst workflow only after a Product-caused delay. Exclude: source or vendor never captured it, a keyword or language-detection miss, Product's first usable capture being late, wrong clustering, incorrect AI classification, an analyst marking it Not Impactful, an analyst deprioritising an available event, a published item the customer could not see, and customer configuration filtering it out.</t>
        </is>
      </c>
      <c r="E155" s="41" t="inlineStr">
        <is>
          <t>Sub-type</t>
        </is>
      </c>
    </row>
    <row r="156" ht="30.75" customHeight="1">
      <c r="A156" s="42" t="inlineStr">
        <is>
          <t>Sub-type</t>
        </is>
      </c>
      <c r="B156" s="41" t="inlineStr">
        <is>
          <t>Published Late</t>
        </is>
      </c>
      <c r="C156" s="41" t="inlineStr">
        <is>
          <t>The event was available to analysts in time for review, but publication or escalation occurred materially late because of delayed analysis, prioritization, research, or operational handling.</t>
        </is>
      </c>
      <c r="D156" s="41" t="inlineStr">
        <is>
          <t>Detailed cause/handling category. The story reached a person in time; what was late was the decision to raise it. Use Alerting Gap where the item never reached the analyst, and Captured Late where our own first usable capture came late.</t>
        </is>
      </c>
      <c r="E156" s="41" t="inlineStr">
        <is>
          <t>Sub-type</t>
        </is>
      </c>
    </row>
    <row r="157" ht="30.75" customHeight="1">
      <c r="A157" s="42" t="inlineStr">
        <is>
          <t>Sub-type</t>
        </is>
      </c>
      <c r="B157" s="41" t="inlineStr">
        <is>
          <t>Methodology Weakness</t>
        </is>
      </c>
      <c r="C157" s="41" t="inlineStr">
        <is>
          <t>The available methodology, reporting guidance, or evaluation approach was inadequate and led to the wrong outcome, even though the workflow was performed as designed.</t>
        </is>
      </c>
      <c r="D157" s="41" t="inlineStr">
        <is>
          <t>Detailed cause/handling category. Nobody departed from the guidance; the guidance itself was deficient and the deficiency was accepted. Use Deliberate Rule where the rule was adequate and the customer simply queried it.</t>
        </is>
      </c>
      <c r="E157" s="41" t="inlineStr">
        <is>
          <t>Sub-type</t>
        </is>
      </c>
    </row>
    <row r="158" ht="30.75" customHeight="1">
      <c r="A158" s="42" t="inlineStr">
        <is>
          <t>Sub-type</t>
        </is>
      </c>
      <c r="B158" s="41" t="inlineStr">
        <is>
          <t>Deliberate Rule</t>
        </is>
      </c>
      <c r="C158" s="41" t="inlineStr">
        <is>
          <t>The system or team acted according to an approved reporting rule, threshold, or internal convention. The customer questioned the rule, but no miss or defect occurred under the rule then in force.</t>
        </is>
      </c>
      <c r="D158" s="41" t="inlineStr">
        <is>
          <t>Detailed cause/handling category. A rule changed afterwards is an enhancement, not a fault, and the record stays here. Use Methodology Weakness where the rule itself was accepted as deficient.</t>
        </is>
      </c>
      <c r="E158" s="41" t="inlineStr">
        <is>
          <t>Sub-type</t>
        </is>
      </c>
    </row>
    <row r="159" ht="30.75" customHeight="1">
      <c r="A159" s="42" t="inlineStr">
        <is>
          <t>Sub-type</t>
        </is>
      </c>
      <c r="B159" s="41" t="inlineStr">
        <is>
          <t>Platform Bug</t>
        </is>
      </c>
      <c r="C159" s="41" t="inlineStr">
        <is>
          <t>A confirmed software, code, system, or data-processing defect produced incorrect Product behavior and does not fit the more specific categories of Alerting Gap, Clustering / Duplication Defect, Model Classification Defect, or Mapping / Routing Defect.</t>
        </is>
      </c>
      <c r="D159" s="41" t="inlineStr">
        <is>
          <t>Detailed cause/handling category. The residual Product defect category, used only once the four specific defect categories have been ruled out. Requires a confirmed defect, not a suspected one.</t>
        </is>
      </c>
      <c r="E159" s="41" t="inlineStr">
        <is>
          <t>Sub-type</t>
        </is>
      </c>
    </row>
    <row r="160" ht="30.75" customHeight="1">
      <c r="A160" s="42" t="inlineStr">
        <is>
          <t>Sub-type</t>
        </is>
      </c>
      <c r="B160" s="41" t="inlineStr">
        <is>
          <t>Mapping / Routing Defect</t>
        </is>
      </c>
      <c r="C160" s="41" t="inlineStr">
        <is>
          <t>Incorrect system data, association, tenant linkage, entity linkage, or routing caused the wrong customer, supplier, site, or destination to be selected or displayed.</t>
        </is>
      </c>
      <c r="D160" s="41" t="inlineStr">
        <is>
          <t>Detailed cause/handling category. The data the platform acted on was wrong, so correct logic produced a wrong selection. Covers cross-tenant leakage and entity mislinkage. Use Incorrect Geocode where a site's own stored coordinates are wrong, and Supplier / Site Not Shared where the data was never provided at all.</t>
        </is>
      </c>
      <c r="E160" s="41" t="inlineStr">
        <is>
          <t>Sub-type</t>
        </is>
      </c>
    </row>
    <row r="161" ht="30.75" customHeight="1">
      <c r="A161" s="42" t="inlineStr">
        <is>
          <t>Sub-type</t>
        </is>
      </c>
      <c r="B161" s="41" t="inlineStr">
        <is>
          <t>Supplier / Site Not Shared</t>
        </is>
      </c>
      <c r="C161" s="41" t="inlineStr">
        <is>
          <t>The affected supplier, company, or site was not present in the customer-provided or customer-maintained data available to EventWatch. The issue is an input-data dependency rather than a Product or analyst failure.</t>
        </is>
      </c>
      <c r="D161" s="41" t="inlineStr">
        <is>
          <t>Detailed cause/handling category. There was nothing for the event to match against, so neither the platform nor analyst review failed. The remedy is our process for collecting the customer's facility data.</t>
        </is>
      </c>
      <c r="E161" s="41" t="inlineStr">
        <is>
          <t>Sub-type</t>
        </is>
      </c>
    </row>
    <row r="162" ht="30.75" customHeight="1">
      <c r="A162" s="42" t="inlineStr">
        <is>
          <t>Sub-type</t>
        </is>
      </c>
      <c r="B162" s="41" t="inlineStr">
        <is>
          <t>Analyst Review Miss</t>
        </is>
      </c>
      <c r="C162" s="41" t="inlineStr">
        <is>
          <t>The relevant story was available for human review, but it was incorrectly rejected, closed, deprioritized, or insufficiently researched, resulting in a missed customer notification.</t>
        </is>
      </c>
      <c r="D162" s="41" t="inlineStr">
        <is>
          <t>Detailed cause/handling category. A person had it in front of them and the quality of that look is the failure. Use Model Classification Defect where an automated model made the call, and Published Late where the item was eventually raised but too late.</t>
        </is>
      </c>
      <c r="E162" s="41" t="inlineStr">
        <is>
          <t>Sub-type</t>
        </is>
      </c>
    </row>
    <row r="163" ht="30.75" customHeight="1">
      <c r="A163" s="42" t="inlineStr">
        <is>
          <t>Sub-type</t>
        </is>
      </c>
      <c r="B163" s="41" t="inlineStr">
        <is>
          <t>Supplier Selection Miss</t>
        </is>
      </c>
      <c r="C163" s="41" t="inlineStr">
        <is>
          <t>The relevant supplier, company, facility, location, or impact area was available during bulletin or WarRoom preparation but was omitted from the initial impacted selection.</t>
        </is>
      </c>
      <c r="D163" s="41" t="inlineStr">
        <is>
          <t>Detailed cause/handling category. The event was published and the supplier data was on file; an analyst left it out of the initial selection or geofence. Normally carries Missed_Flag No, since the customer did receive the event.</t>
        </is>
      </c>
      <c r="E163" s="41" t="inlineStr">
        <is>
          <t>Sub-type</t>
        </is>
      </c>
    </row>
    <row r="164" ht="30.75" customHeight="1">
      <c r="A164" s="42" t="inlineStr">
        <is>
          <t>Sub-type</t>
        </is>
      </c>
      <c r="B164" s="41" t="inlineStr">
        <is>
          <t>Clustering / Duplication Defect</t>
        </is>
      </c>
      <c r="C164" s="41" t="inlineStr">
        <is>
          <t>Product incorrectly grouped, split, duplicated, or associated stories or bulletins across clusters or WarRooms, resulting in incomplete, duplicate, or disrupted event handling.</t>
        </is>
      </c>
      <c r="D164" s="41" t="inlineStr">
        <is>
          <t>Detailed cause/handling category. Covers a split update sequence, a duplicated WarRoom and a cluster state that mishandles a correctly captured story.</t>
        </is>
      </c>
      <c r="E164" s="41" t="inlineStr">
        <is>
          <t>Sub-type</t>
        </is>
      </c>
    </row>
    <row r="165" ht="30.75" customHeight="1">
      <c r="A165" s="42" t="inlineStr">
        <is>
          <t>Sub-type</t>
        </is>
      </c>
      <c r="B165" s="41" t="inlineStr">
        <is>
          <t>Model Classification Defect</t>
        </is>
      </c>
      <c r="C165" s="41" t="inlineStr">
        <is>
          <t>The relevant article or event was captured and entered the Product workflow, but an automated classification model assigned an incorrect event, relevance, or impact outcome, causing the item to be excluded, misrouted, or handled incorrectly.</t>
        </is>
      </c>
      <c r="D165" s="41" t="inlineStr">
        <is>
          <t>Detailed cause/handling category. The model made the call. A human review that failed to correct the model is a contributing factor recorded in Comments, not a reason to file the record under Analyst Review Miss.</t>
        </is>
      </c>
      <c r="E165" s="41" t="inlineStr">
        <is>
          <t>Sub-type</t>
        </is>
      </c>
    </row>
    <row r="166" ht="30.75" customHeight="1">
      <c r="A166" s="42" t="inlineStr">
        <is>
          <t>Automation focus</t>
        </is>
      </c>
      <c r="B166" s="41" t="inlineStr">
        <is>
          <t>Classification &amp; Impact Validation</t>
        </is>
      </c>
      <c r="C166" s="41" t="inlineStr">
        <is>
          <t>Controls that validate automated event, relevance, and impact classifications and identify cases where model output requires correction before final disposition.</t>
        </is>
      </c>
      <c r="D166" s="41" t="inlineStr">
        <is>
          <t>Standardized dashboard category</t>
        </is>
      </c>
      <c r="E166" s="41" t="inlineStr">
        <is>
          <t>Standard Automation Focus</t>
        </is>
      </c>
    </row>
    <row r="167" ht="30.75" customHeight="1">
      <c r="A167" s="42" t="inlineStr">
        <is>
          <t>Sub-type</t>
        </is>
      </c>
      <c r="B167" s="41" t="inlineStr">
        <is>
          <t>Incorrect Geocode</t>
        </is>
      </c>
      <c r="C167" s="41" t="inlineStr">
        <is>
          <t>The supplier site's stored geographic coordinates do not match its actual address, so a correctly drawn geofence selected a site that is not in the affected area.</t>
        </is>
      </c>
      <c r="D167" s="41" t="inlineStr">
        <is>
          <t>Detailed cause/handling category. The geofence and the automated selection both behaved correctly; the coordinates on the site record did not match the address. Owned by the Data team, who maintain supplier geocoding. Use Mapping / Routing Defect for tenant or entity linkage, and Supplier / Site Not Shared where the site was never provided at all.</t>
        </is>
      </c>
      <c r="E167" s="41" t="inlineStr">
        <is>
          <t>Sub-type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