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7</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6</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27</v>
                </pt>
                <pt idx="2">
                  <v>17</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4</v>
                </pt>
                <pt idx="2">
                  <v>96</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31</v>
                </pt>
                <pt idx="1">
                  <v>12</v>
                </pt>
                <pt idx="2">
                  <v>7</v>
                </pt>
                <pt idx="3">
                  <v>4</v>
                </pt>
                <pt idx="4">
                  <v>4</v>
                </pt>
                <pt idx="5">
                  <v>3</v>
                </pt>
                <pt idx="6">
                  <v>2</v>
                </pt>
                <pt idx="7">
                  <v>2</v>
                </pt>
                <pt idx="8">
                  <v>2</v>
                </pt>
                <pt idx="9">
                  <v>2</v>
                </pt>
                <pt idx="10">
                  <v>21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31</v>
                </pt>
                <pt idx="2">
                  <v>3</v>
                </pt>
                <pt idx="3">
                  <v>7</v>
                </pt>
                <pt idx="4">
                  <v>7</v>
                </pt>
                <pt idx="5">
                  <v>4</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2"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2"/>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Inquiry</t>
        </is>
      </c>
      <c r="H112" s="33" t="inlineStr">
        <is>
          <t>Delayed Event</t>
        </is>
      </c>
      <c r="I112" s="33" t="inlineStr">
        <is>
          <t>Product</t>
        </is>
      </c>
      <c r="J112" s="33" t="inlineStr">
        <is>
          <t>Captured Late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Logged as an Inquiry on review. EventWatch review established that no article carrying the company name was captured on the portal on 11-Sep-2026; the rest of the delay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31</v>
      </c>
      <c r="C67" s="23" t="n" cm="1">
        <f t="array" ref="C67:C76">_xlfn.ANCHORARRAY(B67)/COUNTIF(ComplaintTracker[Issue Type],"Complaint")</f>
        <v>0.34444444444444444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4</v>
      </c>
      <c r="L75" s="76" t="n">
        <v>16</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4</v>
      </c>
      <c r="K87" s="76" t="n">
        <v>4</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90</v>
      </c>
      <c r="K91" s="77" t="n">
        <v>21</v>
      </c>
      <c r="L91" s="77" t="n">
        <v>111</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