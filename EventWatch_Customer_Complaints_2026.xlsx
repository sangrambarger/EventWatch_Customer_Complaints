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11</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2</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45</v>
                </pt>
                <pt idx="1">
                  <v>29</v>
                </pt>
                <pt idx="2">
                  <v>18</v>
                </pt>
                <pt idx="3">
                  <v>5</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94</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57</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Belden Inc</v>
                </pt>
                <pt idx="7">
                  <v>Hitachi</v>
                </pt>
                <pt idx="8">
                  <v>Merck</v>
                </pt>
                <pt idx="9">
                  <v>Schneider Electric</v>
                </pt>
                <pt idx="10">
                  <v>Other customers</v>
                </pt>
              </strCache>
            </strRef>
          </cat>
          <val>
            <numRef>
              <f>Dashboard!$B$67:$B$77</f>
              <numCache>
                <formatCode>General</formatCode>
                <ptCount val="11"/>
                <pt idx="0">
                  <v>34</v>
                </pt>
                <pt idx="1">
                  <v>14</v>
                </pt>
                <pt idx="2">
                  <v>7</v>
                </pt>
                <pt idx="3">
                  <v>4</v>
                </pt>
                <pt idx="4">
                  <v>4</v>
                </pt>
                <pt idx="5">
                  <v>3</v>
                </pt>
                <pt idx="6">
                  <v>2</v>
                </pt>
                <pt idx="7">
                  <v>2</v>
                </pt>
                <pt idx="8">
                  <v>2</v>
                </pt>
                <pt idx="9">
                  <v>2</v>
                </pt>
                <pt idx="10">
                  <v>23</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35</v>
                </pt>
                <pt idx="2">
                  <v>3</v>
                </pt>
                <pt idx="3">
                  <v>7</v>
                </pt>
                <pt idx="4">
                  <v>8</v>
                </pt>
                <pt idx="5">
                  <v>5</v>
                </pt>
                <pt idx="6">
                  <v>2</v>
                </pt>
                <pt idx="7">
                  <v>2</v>
                </pt>
                <pt idx="8">
                  <v>8</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Fixed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n"/>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Complaint</t>
        </is>
      </c>
      <c r="H105" s="33" t="inlineStr">
        <is>
          <t>Missed Event</t>
        </is>
      </c>
      <c r="I105" s="33" t="inlineStr">
        <is>
          <t>Product</t>
        </is>
      </c>
      <c r="J105" s="33" t="inlineStr">
        <is>
          <t>Visibility</t>
        </is>
      </c>
      <c r="K105" s="33" t="inlineStr">
        <is>
          <t>Improvement</t>
        </is>
      </c>
      <c r="L105" s="33" t="inlineStr">
        <is>
          <t>Pending</t>
        </is>
      </c>
      <c r="M105" s="33" t="inlineStr">
        <is>
          <t>Reconciliation between what the vendor feeds deliver and what actually reaches the analyst portal, so a harvested item that never surfaces for review is detected rather than discovered by a customer</t>
        </is>
      </c>
      <c r="N105" s="33" t="inlineStr">
        <is>
          <t>Yes</t>
        </is>
      </c>
      <c r="O105" s="33" t="inlineStr">
        <is>
          <t>Staged from Jira EAO-39 (Open). Belden reported receiving no EventWatch notification and seeing no related news for TSMC's 28nm production capacity reduction. The customer states the cut is directly impacting their supply chain and that visibility around June could have avoided the current allocation situation. Cause established as a portal fault: the news was captured by the vendor sources but never surfaced on the analyst portal, so no coverage was ever created.</t>
        </is>
      </c>
      <c r="P105" s="33" t="n"/>
      <c r="Q105" s="33" t="inlineStr">
        <is>
          <t>Yes</t>
        </is>
      </c>
      <c r="R105" s="39" t="n">
        <v>9</v>
      </c>
      <c r="S105" s="39" t="n"/>
      <c r="T105" s="35" t="inlineStr">
        <is>
          <t>Sep 2026</t>
        </is>
      </c>
      <c r="U105" s="33" t="inlineStr">
        <is>
          <t>High</t>
        </is>
      </c>
      <c r="V105" s="33" t="inlineStr">
        <is>
          <t>Notification Visibility Monitoring</t>
        </is>
      </c>
      <c r="W105" s="33" t="inlineStr">
        <is>
          <t>EAO-39</t>
        </is>
      </c>
      <c r="X105" s="33" t="inlineStr">
        <is>
          <t>Not a source-coverage gap. The news was captured by the vendor sources but never surfaced on the analyst portal, so it was never available for review and no coverage was created. The failure sits between ingestion and the analyst queue.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On 24-Sep-2026 Engineering further confirmed to the customer that the vendor being onboarded next quarter already carries that source, so the same event would have been captured under the incoming network. The RCA is being revised to state that and re-shared.</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Complaint</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High</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Complaint</t>
        </is>
      </c>
      <c r="H111" s="33" t="inlineStr">
        <is>
          <t>Wrong Relevancy</t>
        </is>
      </c>
      <c r="I111" s="33" t="inlineStr">
        <is>
          <t>Product</t>
        </is>
      </c>
      <c r="J111" s="33" t="inlineStr">
        <is>
          <t>Mapping</t>
        </is>
      </c>
      <c r="K111" s="33" t="inlineStr">
        <is>
          <t>Improvement</t>
        </is>
      </c>
      <c r="L111" s="33" t="inlineStr">
        <is>
          <t>Pending</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Staged from Jira EAO-44 (Open).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No investigation comments on the ticket yet.</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Complaint</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Staged from Jira EAO-45 (Open).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No investigation comments on the ticket yet, so the cause is not established and Root Cause, Sub-type and Standard Automation Focus are provisional.</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n"/>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34</v>
      </c>
      <c r="C67" s="23" t="n" cm="1">
        <f t="array" ref="C67:C76">_xlfn.ANCHORARRAY(B67)/COUNTIF(ComplaintTracker[Issue Type],"Complaint")</f>
        <v>0.35051546391752575</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0</v>
      </c>
      <c r="L67" s="75" t="n">
        <v>13</v>
      </c>
    </row>
    <row r="68" ht="23.25" customHeight="1">
      <c r="A68" s="20" t="inlineStr">
        <is>
          <t>Eaton</t>
        </is>
      </c>
      <c r="B68" s="22" t="n">
        <v>14</v>
      </c>
      <c r="C68" s="24" t="n">
        <v>0.14432989690721648</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0.07216494845360824</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0.041237113402061855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0.041237113402061855</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0.030927835051546393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Belden Inc</t>
        </is>
      </c>
      <c r="B73" s="22" t="n">
        <v>2</v>
      </c>
      <c r="C73" s="24" t="n">
        <v>0.020618556701030927</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Hitachi</t>
        </is>
      </c>
      <c r="B74" s="22" t="n">
        <v>2</v>
      </c>
      <c r="C74" s="24" t="n">
        <v>0.020618556701030927</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Merck</t>
        </is>
      </c>
      <c r="B75" s="22" t="n">
        <v>2</v>
      </c>
      <c r="C75" s="24" t="n">
        <v>0.020618556701030927</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14</v>
      </c>
      <c r="K75" s="76" t="n">
        <v>2</v>
      </c>
      <c r="L75" s="76" t="n">
        <v>16</v>
      </c>
    </row>
    <row r="76" ht="23.25" customHeight="1">
      <c r="A76" s="20" t="inlineStr">
        <is>
          <t>Schneider Electric</t>
        </is>
      </c>
      <c r="B76" s="22" t="n">
        <v>2</v>
      </c>
      <c r="C76" s="24" t="n">
        <v>0.020618556701030927</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5</v>
      </c>
      <c r="K87" s="76" t="n">
        <v>3</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97</v>
      </c>
      <c r="K91" s="77" t="n">
        <v>14</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