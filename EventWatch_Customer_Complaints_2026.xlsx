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6</v>
                </pt>
                <pt idx="7">
                  <v>13</v>
                </pt>
                <pt idx="8">
                  <v>11</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5</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44</v>
                </pt>
                <pt idx="1">
                  <v>27</v>
                </pt>
                <pt idx="2">
                  <v>17</v>
                </pt>
                <pt idx="3">
                  <v>6</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98</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54</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33</v>
                </pt>
                <pt idx="1">
                  <v>13</v>
                </pt>
                <pt idx="2">
                  <v>7</v>
                </pt>
                <pt idx="3">
                  <v>4</v>
                </pt>
                <pt idx="4">
                  <v>4</v>
                </pt>
                <pt idx="5">
                  <v>3</v>
                </pt>
                <pt idx="6">
                  <v>2</v>
                </pt>
                <pt idx="7">
                  <v>2</v>
                </pt>
                <pt idx="8">
                  <v>2</v>
                </pt>
                <pt idx="9">
                  <v>2</v>
                </pt>
                <pt idx="10">
                  <v>22</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33</v>
                </pt>
                <pt idx="2">
                  <v>3</v>
                </pt>
                <pt idx="3">
                  <v>7</v>
                </pt>
                <pt idx="4">
                  <v>7</v>
                </pt>
                <pt idx="5">
                  <v>4</v>
                </pt>
                <pt idx="6">
                  <v>4</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5"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46283</v>
      </c>
      <c r="C110" s="33" t="inlineStr">
        <is>
          <t>Merger &amp; Acquisition</t>
        </is>
      </c>
      <c r="D110" s="33" t="inlineStr">
        <is>
          <t>Eaton</t>
        </is>
      </c>
      <c r="E110" s="39" t="n">
        <v>1</v>
      </c>
      <c r="F110" s="33" t="inlineStr">
        <is>
          <t>Clarification on Impact Confirmation Requests for Supplier Acquisitions (Eaton)</t>
        </is>
      </c>
      <c r="G110" s="33" t="inlineStr">
        <is>
          <t>Inquiry</t>
        </is>
      </c>
      <c r="H110" s="33" t="inlineStr">
        <is>
          <t>Monitoring Strategy RFI</t>
        </is>
      </c>
      <c r="I110" s="33" t="inlineStr">
        <is>
          <t>Process</t>
        </is>
      </c>
      <c r="J110" s="33" t="inlineStr">
        <is>
          <t>Process Clarification</t>
        </is>
      </c>
      <c r="K110" s="33" t="inlineStr">
        <is>
          <t>Improvement</t>
        </is>
      </c>
      <c r="L110" s="33" t="inlineStr">
        <is>
          <t>Clarification Provided</t>
        </is>
      </c>
      <c r="M110" s="33" t="inlineStr">
        <is>
          <t>Publish the M&amp;A impact-confirmation trigger criteria in-product, so the rationale for an acquiring-side outreach is visible on the request itself instead of being explained per account after the fact</t>
        </is>
      </c>
      <c r="N110" s="33" t="inlineStr">
        <is>
          <t>No</t>
        </is>
      </c>
      <c r="O110"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0" s="33" t="n"/>
      <c r="Q110" s="33" t="inlineStr">
        <is>
          <t>No</t>
        </is>
      </c>
      <c r="R110" s="39" t="n">
        <v>9</v>
      </c>
      <c r="S110" s="39" t="n"/>
      <c r="T110" s="35" t="inlineStr">
        <is>
          <t>Sep 2026</t>
        </is>
      </c>
      <c r="U110" s="33" t="inlineStr">
        <is>
          <t>Low</t>
        </is>
      </c>
      <c r="V110" s="33" t="inlineStr">
        <is>
          <t>WarRoom &amp; Decision Validation</t>
        </is>
      </c>
      <c r="W110" s="33" t="inlineStr">
        <is>
          <t>EAO-43</t>
        </is>
      </c>
      <c r="X110"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0" s="33" t="inlineStr">
        <is>
          <t>EventWatch Ops - Nitin Rindhe</t>
        </is>
      </c>
      <c r="Z110" s="37" t="n"/>
    </row>
    <row r="111">
      <c r="A111" s="35" t="n">
        <v>46266</v>
      </c>
      <c r="B111" s="37" t="n">
        <v>46289</v>
      </c>
      <c r="C111" s="33" t="inlineStr">
        <is>
          <t>Bankruptcy</t>
        </is>
      </c>
      <c r="D111" s="33" t="inlineStr">
        <is>
          <t>Eaton</t>
        </is>
      </c>
      <c r="E111" s="39" t="n">
        <v>1</v>
      </c>
      <c r="F111" s="33" t="inlineStr">
        <is>
          <t>UPG Enterprises Chapter 11 Mapped to Mapes &amp; Sprowl - Mapping and Severity Queried (Eaton)</t>
        </is>
      </c>
      <c r="G111" s="33" t="inlineStr">
        <is>
          <t>Inquiry</t>
        </is>
      </c>
      <c r="H111" s="33" t="inlineStr">
        <is>
          <t>Wrong Relevancy</t>
        </is>
      </c>
      <c r="I111" s="33" t="inlineStr">
        <is>
          <t>Product</t>
        </is>
      </c>
      <c r="J111" s="33" t="inlineStr">
        <is>
          <t>Mapping</t>
        </is>
      </c>
      <c r="K111" s="33" t="inlineStr">
        <is>
          <t>Improvement</t>
        </is>
      </c>
      <c r="L111" s="33" t="inlineStr">
        <is>
          <t>Clarification Provided</t>
        </is>
      </c>
      <c r="M111" s="33" t="inlineStr">
        <is>
          <t>Scope check on parent-subsidiary linkage for insolvency filings, so a WarRoom is not raised against a subsidiary the filing text explicitly excludes, plus a recorded basis for the severity grade</t>
        </is>
      </c>
      <c r="N111" s="33" t="inlineStr">
        <is>
          <t>No</t>
        </is>
      </c>
      <c r="O111"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1" s="33" t="n"/>
      <c r="Q111" s="33" t="inlineStr">
        <is>
          <t>No</t>
        </is>
      </c>
      <c r="R111" s="39" t="n">
        <v>9</v>
      </c>
      <c r="S111" s="39" t="n"/>
      <c r="T111" s="35" t="inlineStr">
        <is>
          <t>Sep 2026</t>
        </is>
      </c>
      <c r="U111" s="33" t="inlineStr">
        <is>
          <t>Medium</t>
        </is>
      </c>
      <c r="V111" s="33" t="inlineStr">
        <is>
          <t>Entity &amp; Supplier Resolution</t>
        </is>
      </c>
      <c r="W111" s="33" t="inlineStr">
        <is>
          <t>EAO-44</t>
        </is>
      </c>
      <c r="X111"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1" s="33" t="inlineStr">
        <is>
          <t>Product &amp; Platform</t>
        </is>
      </c>
      <c r="Z111" s="37" t="n"/>
    </row>
    <row r="112">
      <c r="A112" s="35" t="n">
        <v>46266</v>
      </c>
      <c r="B112" s="37" t="n">
        <v>46289</v>
      </c>
      <c r="C112" s="33" t="inlineStr">
        <is>
          <t>Factory Fire</t>
        </is>
      </c>
      <c r="D112" s="33" t="inlineStr">
        <is>
          <t>Ford</t>
        </is>
      </c>
      <c r="E112" s="39" t="n">
        <v>1</v>
      </c>
      <c r="F112" s="33" t="inlineStr">
        <is>
          <t>Purflux Group Filter Systems Maroc Facility Fire - 10-11 Day Alert Delay (Ford)</t>
        </is>
      </c>
      <c r="G112" s="33" t="inlineStr">
        <is>
          <t>Complaint</t>
        </is>
      </c>
      <c r="H112" s="33" t="inlineStr">
        <is>
          <t>Delayed Event</t>
        </is>
      </c>
      <c r="I112" s="33" t="inlineStr">
        <is>
          <t>Product</t>
        </is>
      </c>
      <c r="J112" s="33" t="inlineStr">
        <is>
          <t>Source Coverage</t>
        </is>
      </c>
      <c r="K112" s="33" t="inlineStr">
        <is>
          <t>Improvement</t>
        </is>
      </c>
      <c r="L112" s="33" t="inlineStr">
        <is>
          <t>Pending</t>
        </is>
      </c>
      <c r="M112" s="33" t="inlineStr">
        <is>
          <t>Latency monitoring on the gap between an incident's first public report and EventWatch publication, so a multi-day lag on a Tier-1 manufacturing site raises an internal alarm instead of waiting for the customer to notice</t>
        </is>
      </c>
      <c r="N112" s="33" t="inlineStr">
        <is>
          <t>Yes</t>
        </is>
      </c>
      <c r="O112"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2" s="33" t="inlineStr">
        <is>
          <t>~10-11 days (event 11/12-Sep-2026 -&gt; published 22-Sep-2026)</t>
        </is>
      </c>
      <c r="Q112" s="33" t="inlineStr">
        <is>
          <t>Yes</t>
        </is>
      </c>
      <c r="R112" s="39" t="n">
        <v>9</v>
      </c>
      <c r="S112" s="39" t="n">
        <v>252</v>
      </c>
      <c r="T112" s="35" t="inlineStr">
        <is>
          <t>Sep 2026</t>
        </is>
      </c>
      <c r="U112" s="33" t="inlineStr">
        <is>
          <t>High</t>
        </is>
      </c>
      <c r="V112" s="33" t="inlineStr">
        <is>
          <t>Dynamic Source Discovery</t>
        </is>
      </c>
      <c r="W112" s="33" t="inlineStr">
        <is>
          <t>EAO-45</t>
        </is>
      </c>
      <c r="X112"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2" s="33" t="inlineStr">
        <is>
          <t>Product &amp; Platform</t>
        </is>
      </c>
      <c r="Z112" s="37" t="n"/>
    </row>
    <row r="113">
      <c r="A113" s="35" t="n">
        <v>46266</v>
      </c>
      <c r="B113" s="37" t="n">
        <v>46293</v>
      </c>
      <c r="C113" s="33" t="inlineStr">
        <is>
          <t>Litigation/Legal</t>
        </is>
      </c>
      <c r="D113" s="33" t="inlineStr">
        <is>
          <t>Eaton</t>
        </is>
      </c>
      <c r="E113" s="39" t="n">
        <v>1</v>
      </c>
      <c r="F113" s="33" t="inlineStr">
        <is>
          <t>USITC DRAM Patent Investigation - Duplicate WarRooms Published for One Event (Eaton)</t>
        </is>
      </c>
      <c r="G113" s="33" t="inlineStr">
        <is>
          <t>Complaint</t>
        </is>
      </c>
      <c r="H113" s="33" t="inlineStr">
        <is>
          <t>Duplicate WarRooms</t>
        </is>
      </c>
      <c r="I113" s="33" t="inlineStr">
        <is>
          <t>People</t>
        </is>
      </c>
      <c r="J113" s="33" t="inlineStr">
        <is>
          <t>Duplication</t>
        </is>
      </c>
      <c r="K113" s="33" t="inlineStr">
        <is>
          <t>Improvement</t>
        </is>
      </c>
      <c r="L113" s="33" t="inlineStr">
        <is>
          <t>Pending</t>
        </is>
      </c>
      <c r="M113"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3" s="33" t="inlineStr">
        <is>
          <t>Yes</t>
        </is>
      </c>
      <c r="O113"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3" s="33" t="n"/>
      <c r="Q113" s="33" t="inlineStr">
        <is>
          <t>No</t>
        </is>
      </c>
      <c r="R113" s="39" t="n">
        <v>9</v>
      </c>
      <c r="S113" s="39" t="n"/>
      <c r="T113" s="35" t="inlineStr">
        <is>
          <t>Sep 2026</t>
        </is>
      </c>
      <c r="U113" s="33" t="inlineStr">
        <is>
          <t>Medium</t>
        </is>
      </c>
      <c r="V113" s="33" t="inlineStr">
        <is>
          <t>Cluster Integrity &amp; Duplicate Prevention</t>
        </is>
      </c>
      <c r="W113" s="33" t="inlineStr">
        <is>
          <t>EAO-46</t>
        </is>
      </c>
      <c r="X113"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3" s="33" t="inlineStr">
        <is>
          <t>EventWatch Ops - Nitin Rindhe</t>
        </is>
      </c>
      <c r="Z113" s="37" t="n"/>
    </row>
    <row r="114">
      <c r="A114" s="35" t="n">
        <v>46266</v>
      </c>
      <c r="B114" s="37" t="n">
        <v>46293</v>
      </c>
      <c r="C114" s="33" t="inlineStr">
        <is>
          <t>Financial Distress</t>
        </is>
      </c>
      <c r="D114" s="33" t="inlineStr">
        <is>
          <t>Western Digital</t>
        </is>
      </c>
      <c r="E114" s="39" t="n">
        <v>1</v>
      </c>
      <c r="F114" s="33" t="inlineStr">
        <is>
          <t>Nidec Reported 1tn Yen Impairment and CEO Dismissal - No EventWatch Event Created (Western Digital)</t>
        </is>
      </c>
      <c r="G114" s="33" t="inlineStr">
        <is>
          <t>Complaint</t>
        </is>
      </c>
      <c r="H114" s="33" t="inlineStr">
        <is>
          <t>Missed Event</t>
        </is>
      </c>
      <c r="I114" s="33" t="inlineStr">
        <is>
          <t>Product</t>
        </is>
      </c>
      <c r="J114" s="33" t="inlineStr">
        <is>
          <t>Source Coverage</t>
        </is>
      </c>
      <c r="K114" s="33" t="inlineStr">
        <is>
          <t>Improvement</t>
        </is>
      </c>
      <c r="L114" s="33" t="inlineStr">
        <is>
          <t>Pending</t>
        </is>
      </c>
      <c r="M114" s="33" t="inlineStr">
        <is>
          <t>Coverage of Japanese-language business and financial press for listed suppliers, with a path for a credible but company-unconfirmed report to be staged as a monitoring story the customer can see rather than being absent entirely</t>
        </is>
      </c>
      <c r="N114" s="33" t="inlineStr">
        <is>
          <t>Yes</t>
        </is>
      </c>
      <c r="O114" s="33" t="inlineStr">
        <is>
          <t>Staged from Jira EAO-47 (Open).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the owners' equity ratio expected to fall to the 20% level; an extraordinary board meeting on 25-Sep-2026 reportedly dismissed CEO Mitsuya Kishida over the impairments. Goldman Sachs takes no view on the accuracy of the article and the company had not confirmed it, with the yuho securities report expected 30-Sep-2026. A backend check found no corresponding EventWatch event. The customer asked for a root-cause explanation and a customer-ready response. Currently under investigation, so Root Cause, Sub-type and Standard Automation Focus remain provisional.</t>
        </is>
      </c>
      <c r="P114" s="33" t="n"/>
      <c r="Q114" s="33" t="inlineStr">
        <is>
          <t>Yes</t>
        </is>
      </c>
      <c r="R114" s="39" t="n">
        <v>9</v>
      </c>
      <c r="S114" s="39" t="n"/>
      <c r="T114" s="35" t="inlineStr">
        <is>
          <t>Sep 2026</t>
        </is>
      </c>
      <c r="U114" s="33" t="inlineStr">
        <is>
          <t>Medium</t>
        </is>
      </c>
      <c r="V114" s="33" t="inlineStr">
        <is>
          <t>Dynamic Source Discovery</t>
        </is>
      </c>
      <c r="W114" s="33" t="inlineStr">
        <is>
          <t>EAO-47</t>
        </is>
      </c>
      <c r="X114" s="33" t="n"/>
      <c r="Y114" s="33" t="inlineStr">
        <is>
          <t>Product &amp; Platform</t>
        </is>
      </c>
      <c r="Z114" s="37" t="n"/>
    </row>
    <row r="115">
      <c r="A115" s="35" t="n">
        <v>46266</v>
      </c>
      <c r="B115" s="37" t="n">
        <v>46293</v>
      </c>
      <c r="C115" s="33" t="inlineStr">
        <is>
          <t>Port Disruption</t>
        </is>
      </c>
      <c r="D115" s="33" t="inlineStr">
        <is>
          <t>Ford</t>
        </is>
      </c>
      <c r="E115" s="39" t="n">
        <v>1</v>
      </c>
      <c r="F115" s="33" t="inlineStr">
        <is>
          <t>South Africa Port and Corridor Congestion - EWC Cargo Movement Update Not Flagged (Ford)</t>
        </is>
      </c>
      <c r="G115" s="33" t="inlineStr">
        <is>
          <t>Complaint</t>
        </is>
      </c>
      <c r="H115" s="33" t="inlineStr">
        <is>
          <t>Missed Event</t>
        </is>
      </c>
      <c r="I115" s="33" t="inlineStr">
        <is>
          <t>Product</t>
        </is>
      </c>
      <c r="J115" s="33" t="inlineStr">
        <is>
          <t>Source Coverage</t>
        </is>
      </c>
      <c r="K115" s="33" t="inlineStr">
        <is>
          <t>Improvement</t>
        </is>
      </c>
      <c r="L115" s="33" t="inlineStr">
        <is>
          <t>Pending</t>
        </is>
      </c>
      <c r="M115"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5" s="33" t="inlineStr">
        <is>
          <t>Yes</t>
        </is>
      </c>
      <c r="O115"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Currently under investigation, so Root Cause, Sub-type and Standard Automation Focus remain provisional.</t>
        </is>
      </c>
      <c r="P115" s="33" t="n"/>
      <c r="Q115" s="33" t="inlineStr">
        <is>
          <t>Yes</t>
        </is>
      </c>
      <c r="R115" s="39" t="n">
        <v>9</v>
      </c>
      <c r="S115" s="39" t="n"/>
      <c r="T115" s="35" t="inlineStr">
        <is>
          <t>Sep 2026</t>
        </is>
      </c>
      <c r="U115" s="33" t="inlineStr">
        <is>
          <t>High</t>
        </is>
      </c>
      <c r="V115" s="33" t="inlineStr">
        <is>
          <t>Dynamic Source Discovery</t>
        </is>
      </c>
      <c r="W115" s="33" t="inlineStr">
        <is>
          <t>EAO-48</t>
        </is>
      </c>
      <c r="X115" s="33" t="n"/>
      <c r="Y115" s="33" t="inlineStr">
        <is>
          <t>Product &amp; Platform</t>
        </is>
      </c>
      <c r="Z115"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33</v>
      </c>
      <c r="C67" s="23" t="n" cm="1">
        <f t="array" ref="C67:C76">_xlfn.ANCHORARRAY(B67)/COUNTIF(ComplaintTracker[Issue Type],"Complaint")</f>
        <v>0.35106382978723405</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2">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13</v>
      </c>
      <c r="C68" s="24" t="n">
        <v>0.13829787234042554</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0.07446808510638298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0.0425531914893617</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1</v>
      </c>
      <c r="L70" s="76" t="n">
        <v>14</v>
      </c>
    </row>
    <row r="71" ht="23.25" customHeight="1">
      <c r="A71" s="20" t="inlineStr">
        <is>
          <t>GM</t>
        </is>
      </c>
      <c r="B71" s="22" t="n">
        <v>4</v>
      </c>
      <c r="C71" s="24" t="n">
        <v>0.0425531914893617</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0.031914893617021274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0.02127659574468085</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0.02127659574468085</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0.02127659574468085</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13</v>
      </c>
      <c r="K75" s="76" t="n">
        <v>3</v>
      </c>
      <c r="L75" s="76" t="n">
        <v>16</v>
      </c>
    </row>
    <row r="76" ht="23.25" customHeight="1">
      <c r="A76" s="20" t="inlineStr">
        <is>
          <t>UVM Health Network</t>
        </is>
      </c>
      <c r="B76" s="22" t="n">
        <v>2</v>
      </c>
      <c r="C76" s="24" t="n">
        <v>0.02127659574468085</v>
      </c>
      <c r="D76" s="3" t="n"/>
      <c r="E76" s="25" t="inlineStr">
        <is>
          <t>Total</t>
        </is>
      </c>
      <c r="F76" s="26">
        <f>SUM(F67:F75)</f>
        <v/>
      </c>
      <c r="G76" s="27">
        <f>SUM(G67:G75)</f>
        <v/>
      </c>
      <c r="H76" s="3" t="n"/>
      <c r="I76" s="20" t="inlineStr">
        <is>
          <t>Financial Distress</t>
        </is>
      </c>
      <c r="J76" s="76" t="n">
        <v>2</v>
      </c>
      <c r="K76" s="76" t="n">
        <v>0</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1</v>
      </c>
      <c r="K84" s="76" t="n">
        <v>0</v>
      </c>
      <c r="L84" s="76" t="n">
        <v>1</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4</v>
      </c>
      <c r="K88" s="76" t="n">
        <v>4</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Transport Disruption</t>
        </is>
      </c>
      <c r="J90" s="76" t="n">
        <v>1</v>
      </c>
      <c r="K90" s="76" t="n">
        <v>1</v>
      </c>
      <c r="L90" s="76" t="n">
        <v>2</v>
      </c>
      <c r="M90" s="3" t="n"/>
      <c r="N90" s="3" t="n"/>
      <c r="O90" s="3" t="n"/>
      <c r="P90" s="3" t="n"/>
      <c r="Q90" s="3" t="n"/>
      <c r="R90" s="3" t="n"/>
    </row>
    <row r="91" ht="18" customHeight="1">
      <c r="A91" s="3" t="n"/>
      <c r="B91" s="3" t="n"/>
      <c r="C91" s="3" t="n"/>
      <c r="D91" s="3" t="n"/>
      <c r="E91" s="3" t="n"/>
      <c r="F91" s="3" t="n"/>
      <c r="G91" s="3" t="n"/>
      <c r="H91" s="3" t="n"/>
      <c r="I91" s="20" t="inlineStr">
        <is>
          <t>Wildfire</t>
        </is>
      </c>
      <c r="J91" s="76" t="n">
        <v>3</v>
      </c>
      <c r="K91" s="76" t="n">
        <v>1</v>
      </c>
      <c r="L91" s="76" t="n">
        <v>4</v>
      </c>
      <c r="M91" s="3" t="n"/>
      <c r="N91" s="3" t="n"/>
      <c r="O91" s="3" t="n"/>
      <c r="P91" s="3" t="n"/>
      <c r="Q91" s="3" t="n"/>
      <c r="R91" s="3" t="n"/>
    </row>
    <row r="92" ht="18" customHeight="1">
      <c r="A92" s="3" t="n"/>
      <c r="B92" s="3" t="n"/>
      <c r="C92" s="3" t="n"/>
      <c r="D92" s="3" t="n"/>
      <c r="E92" s="3" t="n"/>
      <c r="F92" s="3" t="n"/>
      <c r="G92" s="3" t="n"/>
      <c r="H92" s="3" t="n"/>
      <c r="I92" s="25" t="inlineStr">
        <is>
          <t>Total</t>
        </is>
      </c>
      <c r="J92" s="77" t="n">
        <v>94</v>
      </c>
      <c r="K92" s="77" t="n">
        <v>20</v>
      </c>
      <c r="L92" s="77" t="n">
        <v>114</v>
      </c>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