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5</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6</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5</v>
                </pt>
                <pt idx="2">
                  <v>98</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54</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22</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34</v>
                </pt>
                <pt idx="2">
                  <v>3</v>
                </pt>
                <pt idx="3">
                  <v>7</v>
                </pt>
                <pt idx="4">
                  <v>7</v>
                </pt>
                <pt idx="5">
                  <v>4</v>
                </pt>
                <pt idx="6">
                  <v>3</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5"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2"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5"/>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Source Coverage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row r="113">
      <c r="A113" s="35" t="n">
        <v>46266</v>
      </c>
      <c r="B113" s="37" t="n">
        <v>46293</v>
      </c>
      <c r="C113" s="33" t="inlineStr">
        <is>
          <t>Litigation/Legal</t>
        </is>
      </c>
      <c r="D113" s="33" t="inlineStr">
        <is>
          <t>Eaton</t>
        </is>
      </c>
      <c r="E113" s="39" t="n">
        <v>1</v>
      </c>
      <c r="F113" s="33" t="inlineStr">
        <is>
          <t>USITC DRAM Patent Investigation - Duplicate WarRooms Published for One Event (Eaton)</t>
        </is>
      </c>
      <c r="G113" s="33" t="inlineStr">
        <is>
          <t>Complaint</t>
        </is>
      </c>
      <c r="H113" s="33" t="inlineStr">
        <is>
          <t>Duplicate WarRooms</t>
        </is>
      </c>
      <c r="I113" s="33" t="inlineStr">
        <is>
          <t>People</t>
        </is>
      </c>
      <c r="J113" s="33" t="inlineStr">
        <is>
          <t>Duplication</t>
        </is>
      </c>
      <c r="K113" s="33" t="inlineStr">
        <is>
          <t>Improvement</t>
        </is>
      </c>
      <c r="L113" s="33" t="inlineStr">
        <is>
          <t>Pending</t>
        </is>
      </c>
      <c r="M113"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3" s="33" t="inlineStr">
        <is>
          <t>Yes</t>
        </is>
      </c>
      <c r="O113"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3" s="33" t="n"/>
      <c r="Q113" s="33" t="inlineStr">
        <is>
          <t>No</t>
        </is>
      </c>
      <c r="R113" s="39" t="n">
        <v>9</v>
      </c>
      <c r="S113" s="39" t="n"/>
      <c r="T113" s="35" t="inlineStr">
        <is>
          <t>Sep 2026</t>
        </is>
      </c>
      <c r="U113" s="33" t="inlineStr">
        <is>
          <t>Medium</t>
        </is>
      </c>
      <c r="V113" s="33" t="inlineStr">
        <is>
          <t>Cluster Integrity &amp; Duplicate Prevention</t>
        </is>
      </c>
      <c r="W113" s="33" t="inlineStr">
        <is>
          <t>EAO-46</t>
        </is>
      </c>
      <c r="X113"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3" s="33" t="inlineStr">
        <is>
          <t>EventWatch Ops - Nitin Rindhe</t>
        </is>
      </c>
      <c r="Z113" s="37" t="n"/>
    </row>
    <row r="114">
      <c r="A114" s="35" t="n">
        <v>46266</v>
      </c>
      <c r="B114" s="37" t="n">
        <v>46293</v>
      </c>
      <c r="C114" s="33" t="inlineStr">
        <is>
          <t>Financial Distress</t>
        </is>
      </c>
      <c r="D114" s="33" t="inlineStr">
        <is>
          <t>Western Digital</t>
        </is>
      </c>
      <c r="E114" s="39" t="n">
        <v>1</v>
      </c>
      <c r="F114" s="33" t="inlineStr">
        <is>
          <t>Nidec Reported 1tn Yen Impairment and CEO Dismissal - No EventWatch Event Created (Western Digital)</t>
        </is>
      </c>
      <c r="G114" s="33" t="inlineStr">
        <is>
          <t>Complaint</t>
        </is>
      </c>
      <c r="H114" s="33" t="inlineStr">
        <is>
          <t>Missed Event</t>
        </is>
      </c>
      <c r="I114" s="33" t="inlineStr">
        <is>
          <t>Product</t>
        </is>
      </c>
      <c r="J114" s="33" t="inlineStr">
        <is>
          <t>Source Coverage</t>
        </is>
      </c>
      <c r="K114" s="33" t="inlineStr">
        <is>
          <t>Improvement</t>
        </is>
      </c>
      <c r="L114" s="33" t="inlineStr">
        <is>
          <t>Pending</t>
        </is>
      </c>
      <c r="M114" s="33" t="inlineStr">
        <is>
          <t>Coverage of Japanese-language business and financial press for listed suppliers, with a path for a credible but company-unconfirmed report to be staged as a monitoring story the customer can see rather than being absent entirely</t>
        </is>
      </c>
      <c r="N114" s="33" t="inlineStr">
        <is>
          <t>Yes</t>
        </is>
      </c>
      <c r="O114" s="33" t="inlineStr">
        <is>
          <t>Staged from Jira EAO-47 (Open).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the owners' equity ratio expected to fall to the 20% level; an extraordinary board meeting on 25-Sep-2026 reportedly dismissed CEO Mitsuya Kishida over the impairments. Goldman Sachs takes no view on the accuracy of the article and the company had not confirmed it, with the yuho securities report expected 30-Sep-2026. A backend check found no corresponding EventWatch event. The customer asked for a root-cause explanation and a customer-ready response. Currently under investigation, so Root Cause, Sub-type and Standard Automation Focus remain provisional.</t>
        </is>
      </c>
      <c r="P114" s="33" t="n"/>
      <c r="Q114" s="33" t="inlineStr">
        <is>
          <t>Yes</t>
        </is>
      </c>
      <c r="R114" s="39" t="n">
        <v>9</v>
      </c>
      <c r="S114" s="39" t="n"/>
      <c r="T114" s="35" t="inlineStr">
        <is>
          <t>Sep 2026</t>
        </is>
      </c>
      <c r="U114" s="33" t="inlineStr">
        <is>
          <t>Medium</t>
        </is>
      </c>
      <c r="V114" s="33" t="inlineStr">
        <is>
          <t>Dynamic Source Discovery</t>
        </is>
      </c>
      <c r="W114" s="33" t="inlineStr">
        <is>
          <t>EAO-47</t>
        </is>
      </c>
      <c r="X114" s="33" t="n"/>
      <c r="Y114" s="33" t="inlineStr">
        <is>
          <t>Product &amp; Platform</t>
        </is>
      </c>
      <c r="Z114" s="37" t="n"/>
    </row>
    <row r="115">
      <c r="A115" s="35" t="n">
        <v>46266</v>
      </c>
      <c r="B115" s="37" t="n">
        <v>46293</v>
      </c>
      <c r="C115" s="33" t="inlineStr">
        <is>
          <t>Port Disruption</t>
        </is>
      </c>
      <c r="D115" s="33" t="inlineStr">
        <is>
          <t>Ford</t>
        </is>
      </c>
      <c r="E115" s="39" t="n">
        <v>1</v>
      </c>
      <c r="F115" s="33" t="inlineStr">
        <is>
          <t>South Africa Port and Corridor Congestion - EWC Cargo Movement Update Not Flagged (Ford)</t>
        </is>
      </c>
      <c r="G115" s="33" t="inlineStr">
        <is>
          <t>Complaint</t>
        </is>
      </c>
      <c r="H115" s="33" t="inlineStr">
        <is>
          <t>Missed Event</t>
        </is>
      </c>
      <c r="I115" s="33" t="inlineStr">
        <is>
          <t>Product</t>
        </is>
      </c>
      <c r="J115" s="33" t="inlineStr">
        <is>
          <t>Source Coverage</t>
        </is>
      </c>
      <c r="K115" s="33" t="inlineStr">
        <is>
          <t>Improvement</t>
        </is>
      </c>
      <c r="L115" s="33" t="inlineStr">
        <is>
          <t>Pending</t>
        </is>
      </c>
      <c r="M115" s="33" t="inlineStr">
        <is>
          <t>Monitoring of regional logistics and industry-body publications such as Exporters Western Cape, plus a rule for chronic port and corridor congestion that raises a standing condition into a reportable event when dwell times or berthing delays cross a threshold rather than never qualifying because nothing discretely happened</t>
        </is>
      </c>
      <c r="N115" s="33" t="inlineStr">
        <is>
          <t>Yes</t>
        </is>
      </c>
      <c r="O115" s="33" t="inlineStr">
        <is>
          <t>Staged from Jira EAO-48 (Open). Ford reported that Resilinc did not flag the South African logistics and port disruption set out in the Exporters Western Cape Cargo Movement Update of 20-Sep-2026: multi-day vessel waiting and berthing delays, high container dwell times, terminal equipment breakdowns and landside rail and road delays across Durban, Cape Town, Port Elizabeth/Ngqura and regional border posts. Ford's exposure is the Silverton Assembly Plant and the Struandale Engine Plant, covering inbound CKD and JIT parts and outbound vehicle and engine exports. A backend search found no corresponding event for those locations. Ford has requested a formal RCA plus interim and permanent corrective actions covering regional freight, port operations and logistics corridors across South Africa and Africa, and has asked whether EWC is on the monitored source list and whether its two South African plants are mapped. Currently under investigation, so Root Cause, Sub-type and Standard Automation Focus remain provisional.</t>
        </is>
      </c>
      <c r="P115" s="33" t="n"/>
      <c r="Q115" s="33" t="inlineStr">
        <is>
          <t>Yes</t>
        </is>
      </c>
      <c r="R115" s="39" t="n">
        <v>9</v>
      </c>
      <c r="S115" s="39" t="n"/>
      <c r="T115" s="35" t="inlineStr">
        <is>
          <t>Sep 2026</t>
        </is>
      </c>
      <c r="U115" s="33" t="inlineStr">
        <is>
          <t>High</t>
        </is>
      </c>
      <c r="V115" s="33" t="inlineStr">
        <is>
          <t>Dynamic Source Discovery</t>
        </is>
      </c>
      <c r="W115" s="33" t="inlineStr">
        <is>
          <t>EAO-48</t>
        </is>
      </c>
      <c r="X115" s="33" t="n"/>
      <c r="Y115" s="33" t="inlineStr">
        <is>
          <t>Product &amp; Platform</t>
        </is>
      </c>
      <c r="Z115"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0.35106382978723405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0.13829787234042554</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0.07446808510638298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0.0425531914893617</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0.0425531914893617</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0.031914893617021274</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0.02127659574468085</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0.02127659574468085</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0.02127659574468085</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0.02127659574468085</v>
      </c>
      <c r="D76" s="3" t="n"/>
      <c r="E76" s="25" t="inlineStr">
        <is>
          <t>Total</t>
        </is>
      </c>
      <c r="F76" s="26">
        <f>SUM(F67:F75)</f>
        <v/>
      </c>
      <c r="G76" s="27">
        <f>SUM(G67:G75)</f>
        <v/>
      </c>
      <c r="H76" s="3" t="n"/>
      <c r="I76" s="20" t="inlineStr">
        <is>
          <t>Financial Distress</t>
        </is>
      </c>
      <c r="J76" s="76" t="n">
        <v>2</v>
      </c>
      <c r="K76" s="76" t="n">
        <v>0</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1</v>
      </c>
      <c r="K84" s="76" t="n">
        <v>0</v>
      </c>
      <c r="L84" s="76" t="n">
        <v>1</v>
      </c>
    </row>
    <row r="85" ht="23.25" customHeight="1">
      <c r="A85" s="3" t="n"/>
      <c r="B85" s="3" t="n"/>
      <c r="C85" s="3" t="n"/>
      <c r="D85" s="3" t="n"/>
      <c r="E85" s="3" t="n"/>
      <c r="F85" s="3" t="n"/>
      <c r="G85" s="3" t="n"/>
      <c r="H85" s="3" t="n"/>
      <c r="I85" s="20" t="inlineStr">
        <is>
          <t>Power Outage</t>
        </is>
      </c>
      <c r="J85" s="76" t="n">
        <v>1</v>
      </c>
      <c r="K85" s="76" t="n">
        <v>1</v>
      </c>
      <c r="L85" s="76" t="n">
        <v>2</v>
      </c>
    </row>
    <row r="86" ht="23.25" customHeight="1">
      <c r="A86" s="3" t="n"/>
      <c r="B86" s="3" t="n"/>
      <c r="C86" s="3" t="n"/>
      <c r="D86" s="3" t="n"/>
      <c r="E86" s="3" t="n"/>
      <c r="F86" s="3" t="n"/>
      <c r="G86" s="3" t="n"/>
      <c r="H86" s="3" t="n"/>
      <c r="I86" s="20" t="inlineStr">
        <is>
          <t>Protest/Riot</t>
        </is>
      </c>
      <c r="J86" s="76" t="n">
        <v>5</v>
      </c>
      <c r="K86" s="76" t="n">
        <v>0</v>
      </c>
      <c r="L86" s="76" t="n">
        <v>5</v>
      </c>
    </row>
    <row r="87" ht="18" customHeight="1">
      <c r="A87" s="3" t="n"/>
      <c r="B87" s="3" t="n"/>
      <c r="C87" s="3" t="n"/>
      <c r="D87" s="3" t="n"/>
      <c r="E87" s="3" t="n"/>
      <c r="F87" s="3" t="n"/>
      <c r="G87" s="3" t="n"/>
      <c r="H87" s="3" t="n"/>
      <c r="I87" s="20" t="inlineStr">
        <is>
          <t>Regulatory Change</t>
        </is>
      </c>
      <c r="J87" s="76" t="n">
        <v>6</v>
      </c>
      <c r="K87" s="76" t="n">
        <v>0</v>
      </c>
      <c r="L87" s="76" t="n">
        <v>6</v>
      </c>
      <c r="M87" s="3" t="n"/>
      <c r="N87" s="3" t="n"/>
      <c r="O87" s="3" t="n"/>
      <c r="P87" s="3" t="n"/>
      <c r="Q87" s="3" t="n"/>
      <c r="R87" s="3" t="n"/>
    </row>
    <row r="88" ht="18" customHeight="1">
      <c r="A88" s="3" t="n"/>
      <c r="B88" s="3" t="n"/>
      <c r="C88" s="3" t="n"/>
      <c r="D88" s="3" t="n"/>
      <c r="E88" s="3" t="n"/>
      <c r="F88" s="3" t="n"/>
      <c r="G88" s="3" t="n"/>
      <c r="H88" s="3" t="n"/>
      <c r="I88" s="20" t="inlineStr">
        <is>
          <t>Supply Shortage</t>
        </is>
      </c>
      <c r="J88" s="76" t="n">
        <v>4</v>
      </c>
      <c r="K88" s="76" t="n">
        <v>4</v>
      </c>
      <c r="L88" s="76" t="n">
        <v>8</v>
      </c>
      <c r="M88" s="3" t="n"/>
      <c r="N88" s="3" t="n"/>
      <c r="O88" s="3" t="n"/>
      <c r="P88" s="3" t="n"/>
      <c r="Q88" s="3" t="n"/>
      <c r="R88" s="3" t="n"/>
    </row>
    <row r="89" ht="18" customHeight="1">
      <c r="A89" s="3" t="n"/>
      <c r="B89" s="3" t="n"/>
      <c r="C89" s="3" t="n"/>
      <c r="D89" s="3" t="n"/>
      <c r="E89" s="3" t="n"/>
      <c r="F89" s="3" t="n"/>
      <c r="G89" s="3" t="n"/>
      <c r="H89" s="3" t="n"/>
      <c r="I89" s="20" t="inlineStr">
        <is>
          <t>Tornado</t>
        </is>
      </c>
      <c r="J89" s="76" t="n">
        <v>3</v>
      </c>
      <c r="K89" s="76" t="n">
        <v>0</v>
      </c>
      <c r="L89" s="76" t="n">
        <v>3</v>
      </c>
      <c r="M89" s="3" t="n"/>
      <c r="N89" s="3" t="n"/>
      <c r="O89" s="3" t="n"/>
      <c r="P89" s="3" t="n"/>
      <c r="Q89" s="3" t="n"/>
      <c r="R89" s="3" t="n"/>
    </row>
    <row r="90" ht="18" customHeight="1">
      <c r="A90" s="3" t="n"/>
      <c r="B90" s="3" t="n"/>
      <c r="C90" s="3" t="n"/>
      <c r="D90" s="3" t="n"/>
      <c r="E90" s="3" t="n"/>
      <c r="F90" s="3" t="n"/>
      <c r="G90" s="3" t="n"/>
      <c r="H90" s="3" t="n"/>
      <c r="I90" s="20" t="inlineStr">
        <is>
          <t>Transport Disruption</t>
        </is>
      </c>
      <c r="J90" s="76" t="n">
        <v>1</v>
      </c>
      <c r="K90" s="76" t="n">
        <v>1</v>
      </c>
      <c r="L90" s="76" t="n">
        <v>2</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94</v>
      </c>
      <c r="K92" s="77" t="n">
        <v>20</v>
      </c>
      <c r="L92" s="77" t="n">
        <v>114</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2"/>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