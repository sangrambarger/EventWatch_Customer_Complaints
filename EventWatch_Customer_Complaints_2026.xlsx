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7</v>
                </pt>
                <pt idx="7">
                  <v>15</v>
                </pt>
                <pt idx="8">
                  <v>10</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4</v>
                </pt>
                <pt idx="7">
                  <v>2</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29</v>
                </pt>
                <pt idx="2">
                  <v>18</v>
                </pt>
                <pt idx="3">
                  <v>4</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4</v>
                </pt>
                <pt idx="2">
                  <v>98</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56</v>
                </pt>
                <pt idx="1">
                  <v>33</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34</v>
                </pt>
                <pt idx="1">
                  <v>14</v>
                </pt>
                <pt idx="2">
                  <v>7</v>
                </pt>
                <pt idx="3">
                  <v>4</v>
                </pt>
                <pt idx="4">
                  <v>4</v>
                </pt>
                <pt idx="5">
                  <v>3</v>
                </pt>
                <pt idx="6">
                  <v>2</v>
                </pt>
                <pt idx="7">
                  <v>2</v>
                </pt>
                <pt idx="8">
                  <v>2</v>
                </pt>
                <pt idx="9">
                  <v>2</v>
                </pt>
                <pt idx="10">
                  <v>22</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27</v>
                </pt>
                <pt idx="1">
                  <v>35</v>
                </pt>
                <pt idx="2">
                  <v>3</v>
                </pt>
                <pt idx="3">
                  <v>7</v>
                </pt>
                <pt idx="4">
                  <v>8</v>
                </pt>
                <pt idx="5">
                  <v>5</v>
                </pt>
                <pt idx="6">
                  <v>2</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4"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1"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4"/>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Improvement</t>
        </is>
      </c>
      <c r="L22" s="33" t="inlineStr">
        <is>
          <t>Fixed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n"/>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AI-Assisted Geofencing</t>
        </is>
      </c>
      <c r="W70" s="33" t="inlineStr">
        <is>
          <t>EAO-5</t>
        </is>
      </c>
      <c r="X70" s="33" t="n"/>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People</t>
        </is>
      </c>
      <c r="J73" s="33" t="inlineStr">
        <is>
          <t>Event Identification</t>
        </is>
      </c>
      <c r="K73" s="33" t="inlineStr">
        <is>
          <t>Improvement</t>
        </is>
      </c>
      <c r="L73" s="33" t="inlineStr">
        <is>
          <t>Clarification Provided</t>
        </is>
      </c>
      <c r="M73" s="33" t="inlineStr">
        <is>
          <t>Supplier-aware factory fire escalation model + Not Impactful override validation</t>
        </is>
      </c>
      <c r="N73" s="33" t="inlineStr">
        <is>
          <t>Yes</t>
        </is>
      </c>
      <c r="O73" s="33" t="inlineStr">
        <is>
          <t>Customer reported fire at FXI (Tier 2 supplier) causing Force Majeure at Sage Automotive Interiors. No matching EventWatch notification/WarRoom found during investigation.</t>
        </is>
      </c>
      <c r="P73" s="33" t="n"/>
      <c r="Q73" s="33" t="inlineStr">
        <is>
          <t>Yes</t>
        </is>
      </c>
      <c r="R73" s="39" t="n">
        <v>7</v>
      </c>
      <c r="S73" s="39" t="n"/>
      <c r="T73" s="35" t="n">
        <v>46204</v>
      </c>
      <c r="U73" s="33" t="inlineStr">
        <is>
          <t>Medium</t>
        </is>
      </c>
      <c r="V73" s="33" t="inlineStr">
        <is>
          <t>WarRoom &amp; Decision Validation</t>
        </is>
      </c>
      <c r="W73" s="33" t="inlineStr">
        <is>
          <t>EAO-13</t>
        </is>
      </c>
      <c r="X73" s="33" t="n"/>
      <c r="Y73" s="33" t="inlineStr">
        <is>
          <t>EventWatch Ops - Nitin Rindhe</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Complaint</t>
        </is>
      </c>
      <c r="H82" s="33" t="inlineStr">
        <is>
          <t>Missed Event</t>
        </is>
      </c>
      <c r="I82" s="33" t="inlineStr">
        <is>
          <t>Product</t>
        </is>
      </c>
      <c r="J82" s="33" t="inlineStr">
        <is>
          <t>Source Coverage</t>
        </is>
      </c>
      <c r="K82" s="33" t="inlineStr">
        <is>
          <t>Improvement</t>
        </is>
      </c>
      <c r="L82" s="33" t="inlineStr">
        <is>
          <t>RCA Shared</t>
        </is>
      </c>
      <c r="M82" s="33" t="inlineStr">
        <is>
          <t>Government/public-sector cyberattack source coverage expansion (regional-language sources)</t>
        </is>
      </c>
      <c r="N82" s="33" t="inlineStr">
        <is>
          <t>Yes</t>
        </is>
      </c>
      <c r="O82" s="33" t="inlineStr">
        <is>
          <t>Staged from Jira EAO-22 (Done). Eaton reported the July 14-16 ANCPI (Romania land registry) cyberattack had no corresponding WarRoom or news on the portal; RCA requested if it was in scope.</t>
        </is>
      </c>
      <c r="Q82" s="33" t="inlineStr">
        <is>
          <t>Yes</t>
        </is>
      </c>
      <c r="R82" s="39" t="n">
        <v>7</v>
      </c>
      <c r="T82" s="35" t="n">
        <v>46204</v>
      </c>
      <c r="U82" s="33" t="inlineStr">
        <is>
          <t>Medium</t>
        </is>
      </c>
      <c r="V82" s="33" t="inlineStr">
        <is>
          <t>Dynamic Source Discovery</t>
        </is>
      </c>
      <c r="W82" s="33" t="inlineStr">
        <is>
          <t>EAO-22</t>
        </is>
      </c>
      <c r="X82" s="33" t="n"/>
      <c r="Y82" s="33" t="inlineStr">
        <is>
          <t>Product &amp; Platform</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EAO-24: No proactive alert was generated for the July 21 fire. Customer requested RCA, ICA, and PCA for the missed coverage. RCA shared.</t>
        </is>
      </c>
      <c r="P83" s="33" t="n"/>
      <c r="Q83" s="33" t="inlineStr">
        <is>
          <t>Yes</t>
        </is>
      </c>
      <c r="R83" s="39" t="n">
        <v>8</v>
      </c>
      <c r="S83" s="39" t="n"/>
      <c r="T83" s="35" t="n">
        <v>46235</v>
      </c>
      <c r="U83" s="33" t="inlineStr">
        <is>
          <t>Medium</t>
        </is>
      </c>
      <c r="V83" s="33" t="inlineStr">
        <is>
          <t>Dynamic Source Discovery</t>
        </is>
      </c>
      <c r="W83" s="33" t="inlineStr">
        <is>
          <t>EAO-24</t>
        </is>
      </c>
      <c r="X83" s="33" t="n"/>
      <c r="Y83" s="33" t="inlineStr">
        <is>
          <t>Product &amp; Platform</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Complaint</t>
        </is>
      </c>
      <c r="H91" s="33" t="inlineStr">
        <is>
          <t>Duplicate WarRooms</t>
        </is>
      </c>
      <c r="I91" s="33" t="inlineStr">
        <is>
          <t>Product</t>
        </is>
      </c>
      <c r="J91" s="33" t="inlineStr">
        <is>
          <t>Duplication</t>
        </is>
      </c>
      <c r="K91" s="33" t="inlineStr">
        <is>
          <t>Improvement</t>
        </is>
      </c>
      <c r="L91" s="33" t="inlineStr">
        <is>
          <t>RCA Shared</t>
        </is>
      </c>
      <c r="M91" s="33" t="inlineStr">
        <is>
          <t>Cluster Integrity Validation</t>
        </is>
      </c>
      <c r="N91" s="33" t="inlineStr">
        <is>
          <t>Yes</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Cluster Integrity &amp; Duplicate Prevention</t>
        </is>
      </c>
      <c r="W91" s="33" t="inlineStr">
        <is>
          <t>EAO-29</t>
        </is>
      </c>
      <c r="X91" s="33" t="n"/>
      <c r="Y91" s="33" t="inlineStr">
        <is>
          <t>Product &amp; Platform</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Pending</t>
        </is>
      </c>
      <c r="M105" s="33" t="inlineStr">
        <is>
          <t>Reconciliation between what the vendor feeds deliver and what actually reaches the analyst portal, so a harvested item that never surfaces for review is detected rather than discovered by a customer</t>
        </is>
      </c>
      <c r="N105" s="33" t="inlineStr">
        <is>
          <t>Yes</t>
        </is>
      </c>
      <c r="O105" s="33" t="inlineStr">
        <is>
          <t>EAO-39: Belden asked why they received no EventWatch notification and saw no related news for TSMC's 28nm production capacity reduction.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 The Engineering investigation recorded in RCA Details found the article was captured by the vendor sources and never surfaced on the analyst portal. The missing partner mapping is logged as its own record.</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The news was captured by the vendor sources but never surfaced on the analyst portal, so it was never available for review and no coverage was created. The failure sits between ingestion and the analyst queue. Separately, the customer's exposure claim did not hold: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believe they were covered.</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Complaint</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46283</v>
      </c>
      <c r="C110" s="33" t="inlineStr">
        <is>
          <t>Merger &amp; Acquisition</t>
        </is>
      </c>
      <c r="D110" s="33" t="inlineStr">
        <is>
          <t>Eaton</t>
        </is>
      </c>
      <c r="E110" s="39" t="n">
        <v>1</v>
      </c>
      <c r="F110" s="33" t="inlineStr">
        <is>
          <t>Clarification on Impact Confirmation Requests for Supplier Acquisitions (Eaton)</t>
        </is>
      </c>
      <c r="G110" s="33" t="inlineStr">
        <is>
          <t>Inquiry</t>
        </is>
      </c>
      <c r="H110" s="33" t="inlineStr">
        <is>
          <t>Monitoring Strategy RFI</t>
        </is>
      </c>
      <c r="I110" s="33" t="inlineStr">
        <is>
          <t>Process</t>
        </is>
      </c>
      <c r="J110" s="33" t="inlineStr">
        <is>
          <t>Process Clarification</t>
        </is>
      </c>
      <c r="K110" s="33" t="inlineStr">
        <is>
          <t>Improvement</t>
        </is>
      </c>
      <c r="L110" s="33" t="inlineStr">
        <is>
          <t>Clarification Provided</t>
        </is>
      </c>
      <c r="M110" s="33" t="inlineStr">
        <is>
          <t>Publish the M&amp;A impact-confirmation trigger criteria in-product, so the rationale for an acquiring-side outreach is visible on the request itself instead of being explained per account after the fact</t>
        </is>
      </c>
      <c r="N110" s="33" t="inlineStr">
        <is>
          <t>No</t>
        </is>
      </c>
      <c r="O110"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0" s="33" t="n"/>
      <c r="Q110" s="33" t="inlineStr">
        <is>
          <t>No</t>
        </is>
      </c>
      <c r="R110" s="39" t="n">
        <v>9</v>
      </c>
      <c r="S110" s="39" t="n"/>
      <c r="T110" s="35" t="inlineStr">
        <is>
          <t>Sep 2026</t>
        </is>
      </c>
      <c r="U110" s="33" t="inlineStr">
        <is>
          <t>Low</t>
        </is>
      </c>
      <c r="V110" s="33" t="inlineStr">
        <is>
          <t>WarRoom &amp; Decision Validation</t>
        </is>
      </c>
      <c r="W110" s="33" t="inlineStr">
        <is>
          <t>EAO-43</t>
        </is>
      </c>
      <c r="X110"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0" s="33" t="inlineStr">
        <is>
          <t>EventWatch Ops - Nitin Rindhe</t>
        </is>
      </c>
      <c r="Z110" s="37" t="n"/>
    </row>
    <row r="111">
      <c r="A111" s="35" t="n">
        <v>46266</v>
      </c>
      <c r="B111" s="37" t="n">
        <v>46283</v>
      </c>
      <c r="C111" s="33" t="inlineStr">
        <is>
          <t>Supply Shortage</t>
        </is>
      </c>
      <c r="D111" s="33" t="inlineStr">
        <is>
          <t>Belden Inc</t>
        </is>
      </c>
      <c r="E111" s="39" t="n">
        <v>1</v>
      </c>
      <c r="F111" s="33" t="inlineStr">
        <is>
          <t>TSMC 28nm Capacity Reduction – News Authenticity and Verification Criteria Queried (Belden)</t>
        </is>
      </c>
      <c r="G111" s="33" t="inlineStr">
        <is>
          <t>Inquiry</t>
        </is>
      </c>
      <c r="H111" s="33" t="inlineStr">
        <is>
          <t>Customer Requested Verification</t>
        </is>
      </c>
      <c r="I111" s="33" t="inlineStr">
        <is>
          <t>Process</t>
        </is>
      </c>
      <c r="J111" s="33" t="inlineStr">
        <is>
          <t>Process Clarification</t>
        </is>
      </c>
      <c r="K111" s="33" t="inlineStr">
        <is>
          <t>Improvement</t>
        </is>
      </c>
      <c r="L111" s="33" t="inlineStr">
        <is>
          <t>Clarification Provided</t>
        </is>
      </c>
      <c r="M111" s="33" t="inlineStr">
        <is>
          <t>An evidence-grade label carried on the event itself - confirmed, credible but unconfirmed, disputed, unsubstantiated, demonstrably false - so a customer can see the basis of a report without asking, and a later company denial or correction updates that grade rather than arriving as a separate query</t>
        </is>
      </c>
      <c r="N111" s="33" t="inlineStr">
        <is>
          <t>No</t>
        </is>
      </c>
      <c r="O111" s="33" t="inlineStr">
        <is>
          <t>EAO-39: Belden cited a 22-Jun-2026 report that TSMC denied phasing out 28nm and asked three questions: how EventWatch screens real from fake news, what criteria establish that an event notification is not fake, and whether the TSMC 28nm capacity reduction is real or fake. A written assessment was issued covering the source hierarchy, the five evidence grades and the specific TSMC timeline. Separately, on 22-Sep-2026 the customer corrected their own position and confirmed TSMC is not mapped in their BOM - they source the wafer via Broadcom, and the Taiwan Semiconductor entity they had mapped covers resistors and MOSFETs.</t>
        </is>
      </c>
      <c r="P111" s="33" t="n"/>
      <c r="Q111" s="33" t="inlineStr">
        <is>
          <t>No</t>
        </is>
      </c>
      <c r="R111" s="39" t="n">
        <v>9</v>
      </c>
      <c r="S111" s="39" t="n"/>
      <c r="T111" s="35" t="inlineStr">
        <is>
          <t>Sep 2026</t>
        </is>
      </c>
      <c r="U111" s="33" t="inlineStr">
        <is>
          <t>Medium</t>
        </is>
      </c>
      <c r="V111" s="33" t="inlineStr">
        <is>
          <t>Other Control Automation</t>
        </is>
      </c>
      <c r="W111" s="33" t="inlineStr">
        <is>
          <t>EAO-39</t>
        </is>
      </c>
      <c r="X111" s="33" t="inlineStr">
        <is>
          <t>Not a defect. Assessed as credible but unconfirmed public reporting of a selective production and capacity shift at Fab 15A. Commercial Times (22-Jun-2026) reported monthly 28nm wafer starts falling from roughly 200,000 to 150,000, customer migration toward 12nm and reallocation toward silicon-interposer production; Economic Daily News (May 2026) reported Fab 15A converting from 22nm/28nm toward 4nm; TrendForce, SemiMedia, Tech in Asia and GuruFocus carried or analysed the same upstream reporting. TSMC stated on 22-Jun-2026 that its overall mature-node strategy was unchanged. The two views are not contradictory: an unchanged mature-node strategy is compatible with selective conversion at one fab. The specific 25 percent reduction was attributed to supply-chain sources and was never confirmed by TSMC, so it is not classified as fake.</t>
        </is>
      </c>
      <c r="Y111" s="33" t="inlineStr">
        <is>
          <t>EventWatch Ops - Nitin Rindhe</t>
        </is>
      </c>
      <c r="Z111" s="37" t="n"/>
    </row>
    <row r="112">
      <c r="A112" s="35" t="n">
        <v>46266</v>
      </c>
      <c r="B112" s="37" t="n">
        <v>46287</v>
      </c>
      <c r="C112" s="33" t="inlineStr">
        <is>
          <t>Supply Shortage</t>
        </is>
      </c>
      <c r="D112" s="33" t="inlineStr">
        <is>
          <t>Belden Inc</t>
        </is>
      </c>
      <c r="E112" s="39" t="n">
        <v>1</v>
      </c>
      <c r="F112" s="33" t="inlineStr">
        <is>
          <t>TSMC Not Mapped as a Partner in Belden's BOM – Supplier Mapping Gap (Belden)</t>
        </is>
      </c>
      <c r="G112" s="33" t="inlineStr">
        <is>
          <t>Inquiry</t>
        </is>
      </c>
      <c r="H112" s="33" t="inlineStr">
        <is>
          <t>Supplier Impact Mapping Clarification</t>
        </is>
      </c>
      <c r="I112" s="33" t="inlineStr">
        <is>
          <t>Process</t>
        </is>
      </c>
      <c r="J112" s="33" t="inlineStr">
        <is>
          <t>Mapping</t>
        </is>
      </c>
      <c r="K112" s="33" t="inlineStr">
        <is>
          <t>Improvement</t>
        </is>
      </c>
      <c r="L112" s="33" t="inlineStr">
        <is>
          <t>Clarification Provided</t>
        </is>
      </c>
      <c r="M112" s="33" t="inlineStr">
        <is>
          <t>Name-collision detection across the supplier mapping surface, so a customer who maps Taiwan Semiconductor Co., Ltd. while expecting coverage of Taiwan Semiconductor Manufacturing Company is warned at mapping time rather than finding out through a missed-event complaint</t>
        </is>
      </c>
      <c r="N112" s="33" t="inlineStr">
        <is>
          <t>No</t>
        </is>
      </c>
      <c r="O112" s="33" t="inlineStr">
        <is>
          <t>EAO-39: Established while investigating the TSMC 28nm query. Belden confirmed on 22-Sep-2026 that TSMC is not mapped as a partner in their BOM - they source the wafer through Broadcom - and that the Taiwan Semiconductor entity they had mapped is a different company covering resistors and MOSFETs. The missing partner mapping is why no notification was applicable to their org, independent of the portal fault logged on the coverage record. Explained to the customer; no RCA requested.</t>
        </is>
      </c>
      <c r="P112" s="33" t="n"/>
      <c r="Q112" s="33" t="inlineStr">
        <is>
          <t>No</t>
        </is>
      </c>
      <c r="R112" s="39" t="n">
        <v>9</v>
      </c>
      <c r="S112" s="39" t="n"/>
      <c r="T112" s="35" t="inlineStr">
        <is>
          <t>Sep 2026</t>
        </is>
      </c>
      <c r="U112" s="33" t="inlineStr">
        <is>
          <t>Medium</t>
        </is>
      </c>
      <c r="V112" s="33" t="inlineStr">
        <is>
          <t>Entity &amp; Supplier Resolution</t>
        </is>
      </c>
      <c r="W112" s="33" t="inlineStr">
        <is>
          <t>EAO-39</t>
        </is>
      </c>
      <c r="X112" s="33" t="inlineStr">
        <is>
          <t>Not an EventWatch defect. TSMC was absent from the customer's mapped supply network, so no customer-specific notification or WarRoom was applicable regardless of coverage. The customer had mapped Taiwan Semiconductor Co., Ltd., a discrete components supplier covering resistors and MOSFETs, and read it as Taiwan Semiconductor Manufacturing Company; the two are different suppliers in different commodities and the near-identical name is what led to the expectation of coverage. Nothing in the mapping surface flags that collision.</t>
        </is>
      </c>
      <c r="Y112" s="33" t="inlineStr">
        <is>
          <t>EventWatch Ops - Nitin Rindhe</t>
        </is>
      </c>
      <c r="Z112" s="37" t="n"/>
    </row>
    <row r="113">
      <c r="A113" s="35" t="n">
        <v>46266</v>
      </c>
      <c r="B113" s="37" t="n">
        <v>46289</v>
      </c>
      <c r="C113" s="33" t="inlineStr">
        <is>
          <t>Bankruptcy</t>
        </is>
      </c>
      <c r="D113" s="33" t="inlineStr">
        <is>
          <t>Eaton</t>
        </is>
      </c>
      <c r="E113" s="39" t="n">
        <v>1</v>
      </c>
      <c r="F113" s="33" t="inlineStr">
        <is>
          <t>UPG Enterprises Chapter 11 Mapped to Mapes &amp; Sprowl - Mapping and Severity Queried (Eaton)</t>
        </is>
      </c>
      <c r="G113" s="33" t="inlineStr">
        <is>
          <t>Complaint</t>
        </is>
      </c>
      <c r="H113" s="33" t="inlineStr">
        <is>
          <t>Wrong Relevancy</t>
        </is>
      </c>
      <c r="I113" s="33" t="inlineStr">
        <is>
          <t>Product</t>
        </is>
      </c>
      <c r="J113" s="33" t="inlineStr">
        <is>
          <t>Mapping</t>
        </is>
      </c>
      <c r="K113" s="33" t="inlineStr">
        <is>
          <t>Improvement</t>
        </is>
      </c>
      <c r="L113" s="33" t="inlineStr">
        <is>
          <t>Pending</t>
        </is>
      </c>
      <c r="M113" s="33" t="inlineStr">
        <is>
          <t>Scope check on parent-subsidiary linkage for insolvency filings, so a WarRoom is not raised against a subsidiary the filing text explicitly excludes, plus a recorded basis for the severity grade</t>
        </is>
      </c>
      <c r="N113" s="33" t="inlineStr">
        <is>
          <t>No</t>
        </is>
      </c>
      <c r="O113" s="33" t="inlineStr">
        <is>
          <t>Staged from Jira EAO-44 (Open).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No investigation comments on the ticket yet.</t>
        </is>
      </c>
      <c r="P113" s="33" t="n"/>
      <c r="Q113" s="33" t="inlineStr">
        <is>
          <t>No</t>
        </is>
      </c>
      <c r="R113" s="39" t="n">
        <v>9</v>
      </c>
      <c r="S113" s="39" t="n"/>
      <c r="T113" s="35" t="inlineStr">
        <is>
          <t>Sep 2026</t>
        </is>
      </c>
      <c r="U113" s="33" t="inlineStr">
        <is>
          <t>Medium</t>
        </is>
      </c>
      <c r="V113" s="33" t="inlineStr">
        <is>
          <t>Entity &amp; Supplier Resolution</t>
        </is>
      </c>
      <c r="W113" s="33" t="inlineStr">
        <is>
          <t>EAO-44</t>
        </is>
      </c>
      <c r="X113" s="33" t="n"/>
      <c r="Y113" s="33" t="inlineStr">
        <is>
          <t>Product &amp; Platform</t>
        </is>
      </c>
      <c r="Z113" s="37" t="n"/>
    </row>
    <row r="114">
      <c r="A114" s="35" t="n">
        <v>46266</v>
      </c>
      <c r="B114" s="37" t="n">
        <v>46289</v>
      </c>
      <c r="C114" s="33" t="inlineStr">
        <is>
          <t>Factory Fire</t>
        </is>
      </c>
      <c r="D114" s="33" t="inlineStr">
        <is>
          <t>Ford</t>
        </is>
      </c>
      <c r="E114" s="39" t="n">
        <v>1</v>
      </c>
      <c r="F114" s="33" t="inlineStr">
        <is>
          <t>Purflux Group Filter Systems Maroc Facility Fire - 10-11 Day Alert Delay (Ford)</t>
        </is>
      </c>
      <c r="G114" s="33" t="inlineStr">
        <is>
          <t>Complaint</t>
        </is>
      </c>
      <c r="H114" s="33" t="inlineStr">
        <is>
          <t>Delayed Event</t>
        </is>
      </c>
      <c r="I114" s="33" t="inlineStr">
        <is>
          <t>Product</t>
        </is>
      </c>
      <c r="J114" s="33" t="inlineStr">
        <is>
          <t>Captured Late</t>
        </is>
      </c>
      <c r="K114" s="33" t="inlineStr">
        <is>
          <t>Improvement</t>
        </is>
      </c>
      <c r="L114" s="33" t="inlineStr">
        <is>
          <t>Pending</t>
        </is>
      </c>
      <c r="M114" s="33" t="inlineStr">
        <is>
          <t>Latency monitoring on the gap between an incident's first public report and EventWatch publication, so a multi-day lag on a Tier-1 manufacturing site raises an internal alarm instead of waiting for the customer to notice</t>
        </is>
      </c>
      <c r="N114" s="33" t="inlineStr">
        <is>
          <t>Yes</t>
        </is>
      </c>
      <c r="O114" s="33" t="inlineStr">
        <is>
          <t>Staged from Jira EAO-45 (Open).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No investigation comments on the ticket yet, so the cause is not established and Root Cause, Sub-type and Standard Automation Focus are provisional.</t>
        </is>
      </c>
      <c r="P114" s="33" t="inlineStr">
        <is>
          <t>~10-11 days (event 11/12-Sep-2026 -&gt; published 22-Sep-2026)</t>
        </is>
      </c>
      <c r="Q114" s="33" t="inlineStr">
        <is>
          <t>Yes</t>
        </is>
      </c>
      <c r="R114" s="39" t="n">
        <v>9</v>
      </c>
      <c r="S114" s="39" t="n">
        <v>252</v>
      </c>
      <c r="T114" s="35" t="inlineStr">
        <is>
          <t>Sep 2026</t>
        </is>
      </c>
      <c r="U114" s="33" t="inlineStr">
        <is>
          <t>High</t>
        </is>
      </c>
      <c r="V114" s="33" t="inlineStr">
        <is>
          <t>Dynamic Source Discovery</t>
        </is>
      </c>
      <c r="W114" s="33" t="inlineStr">
        <is>
          <t>EAO-45</t>
        </is>
      </c>
      <c r="X114" s="33" t="n"/>
      <c r="Y114" s="33" t="inlineStr">
        <is>
          <t>Product &amp; Platform</t>
        </is>
      </c>
      <c r="Z114"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34</v>
      </c>
      <c r="C67" s="23" t="n" cm="1">
        <f t="array" ref="C67:C76">_xlfn.ANCHORARRAY(B67)/COUNTIF(ComplaintTracker[Issue Type],"Complaint")</f>
        <v>0.3541666666666667</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0</v>
      </c>
      <c r="L67" s="75" t="n">
        <v>13</v>
      </c>
    </row>
    <row r="68" ht="23.25" customHeight="1">
      <c r="A68" s="20" t="inlineStr">
        <is>
          <t>Eaton</t>
        </is>
      </c>
      <c r="B68" s="22" t="n">
        <v>14</v>
      </c>
      <c r="C68" s="24" t="n">
        <v>0.14583333333333334</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0.07291666666666667</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0.041666666666666664</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0</v>
      </c>
      <c r="L70" s="76" t="n">
        <v>14</v>
      </c>
    </row>
    <row r="71" ht="23.25" customHeight="1">
      <c r="A71" s="20" t="inlineStr">
        <is>
          <t>GM</t>
        </is>
      </c>
      <c r="B71" s="22" t="n">
        <v>4</v>
      </c>
      <c r="C71" s="24" t="n">
        <v>0.041666666666666664</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0.03125</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Hitachi</t>
        </is>
      </c>
      <c r="B73" s="22" t="n">
        <v>2</v>
      </c>
      <c r="C73" s="24" t="n">
        <v>0.020833333333333332</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0.020833333333333332</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0.020833333333333332</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UVM Health Network</t>
        </is>
      </c>
      <c r="B76" s="22" t="n">
        <v>2</v>
      </c>
      <c r="C76" s="24" t="n">
        <v>0.020833333333333332</v>
      </c>
      <c r="D76" s="3" t="n"/>
      <c r="E76" s="25" t="inlineStr">
        <is>
          <t>Total</t>
        </is>
      </c>
      <c r="F76" s="26">
        <f>SUM(F67:F75)</f>
        <v/>
      </c>
      <c r="G76" s="27">
        <f>SUM(G67:G75)</f>
        <v/>
      </c>
      <c r="H76" s="3" t="n"/>
      <c r="I76" s="20" t="inlineStr">
        <is>
          <t>Financial Distress</t>
        </is>
      </c>
      <c r="J76" s="76" t="n">
        <v>1</v>
      </c>
      <c r="K76" s="76" t="n">
        <v>0</v>
      </c>
      <c r="L76" s="76" t="n">
        <v>1</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1</v>
      </c>
      <c r="K78" s="76" t="n">
        <v>1</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1</v>
      </c>
      <c r="K81" s="76" t="n">
        <v>0</v>
      </c>
      <c r="L81" s="76" t="n">
        <v>1</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Power Outage</t>
        </is>
      </c>
      <c r="J84" s="76" t="n">
        <v>1</v>
      </c>
      <c r="K84" s="76" t="n">
        <v>1</v>
      </c>
      <c r="L84" s="76" t="n">
        <v>2</v>
      </c>
    </row>
    <row r="85" ht="23.25" customHeight="1">
      <c r="A85" s="3" t="n"/>
      <c r="B85" s="3" t="n"/>
      <c r="C85" s="3" t="n"/>
      <c r="D85" s="3" t="n"/>
      <c r="E85" s="3" t="n"/>
      <c r="F85" s="3" t="n"/>
      <c r="G85" s="3" t="n"/>
      <c r="H85" s="3" t="n"/>
      <c r="I85" s="20" t="inlineStr">
        <is>
          <t>Protest/Riot</t>
        </is>
      </c>
      <c r="J85" s="76" t="n">
        <v>5</v>
      </c>
      <c r="K85" s="76" t="n">
        <v>0</v>
      </c>
      <c r="L85" s="76" t="n">
        <v>5</v>
      </c>
    </row>
    <row r="86" ht="23.25" customHeight="1">
      <c r="A86" s="3" t="n"/>
      <c r="B86" s="3" t="n"/>
      <c r="C86" s="3" t="n"/>
      <c r="D86" s="3" t="n"/>
      <c r="E86" s="3" t="n"/>
      <c r="F86" s="3" t="n"/>
      <c r="G86" s="3" t="n"/>
      <c r="H86" s="3" t="n"/>
      <c r="I86" s="20" t="inlineStr">
        <is>
          <t>Regulatory Change</t>
        </is>
      </c>
      <c r="J86" s="76" t="n">
        <v>6</v>
      </c>
      <c r="K86" s="76" t="n">
        <v>0</v>
      </c>
      <c r="L86" s="76" t="n">
        <v>6</v>
      </c>
    </row>
    <row r="87" ht="18" customHeight="1">
      <c r="A87" s="3" t="n"/>
      <c r="B87" s="3" t="n"/>
      <c r="C87" s="3" t="n"/>
      <c r="D87" s="3" t="n"/>
      <c r="E87" s="3" t="n"/>
      <c r="F87" s="3" t="n"/>
      <c r="G87" s="3" t="n"/>
      <c r="H87" s="3" t="n"/>
      <c r="I87" s="20" t="inlineStr">
        <is>
          <t>Supply Shortage</t>
        </is>
      </c>
      <c r="J87" s="76" t="n">
        <v>4</v>
      </c>
      <c r="K87" s="76" t="n">
        <v>6</v>
      </c>
      <c r="L87" s="76" t="n">
        <v>10</v>
      </c>
      <c r="M87" s="3" t="n"/>
      <c r="N87" s="3" t="n"/>
      <c r="O87" s="3" t="n"/>
      <c r="P87" s="3" t="n"/>
      <c r="Q87" s="3" t="n"/>
      <c r="R87" s="3" t="n"/>
    </row>
    <row r="88" ht="18" customHeight="1">
      <c r="A88" s="3" t="n"/>
      <c r="B88" s="3" t="n"/>
      <c r="C88" s="3" t="n"/>
      <c r="D88" s="3" t="n"/>
      <c r="E88" s="3" t="n"/>
      <c r="F88" s="3" t="n"/>
      <c r="G88" s="3" t="n"/>
      <c r="H88" s="3" t="n"/>
      <c r="I88" s="20" t="inlineStr">
        <is>
          <t>Tornado</t>
        </is>
      </c>
      <c r="J88" s="76" t="n">
        <v>3</v>
      </c>
      <c r="K88" s="76" t="n">
        <v>0</v>
      </c>
      <c r="L88" s="76" t="n">
        <v>3</v>
      </c>
      <c r="M88" s="3" t="n"/>
      <c r="N88" s="3" t="n"/>
      <c r="O88" s="3" t="n"/>
      <c r="P88" s="3" t="n"/>
      <c r="Q88" s="3" t="n"/>
      <c r="R88" s="3" t="n"/>
    </row>
    <row r="89" ht="18" customHeight="1">
      <c r="A89" s="3" t="n"/>
      <c r="B89" s="3" t="n"/>
      <c r="C89" s="3" t="n"/>
      <c r="D89" s="3" t="n"/>
      <c r="E89" s="3" t="n"/>
      <c r="F89" s="3" t="n"/>
      <c r="G89" s="3" t="n"/>
      <c r="H89" s="3" t="n"/>
      <c r="I89" s="20" t="inlineStr">
        <is>
          <t>Transport Disruption</t>
        </is>
      </c>
      <c r="J89" s="76" t="n">
        <v>1</v>
      </c>
      <c r="K89" s="76" t="n">
        <v>1</v>
      </c>
      <c r="L89" s="76" t="n">
        <v>2</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96</v>
      </c>
      <c r="K91" s="77" t="n">
        <v>17</v>
      </c>
      <c r="L91" s="77" t="n">
        <v>113</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1"/>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