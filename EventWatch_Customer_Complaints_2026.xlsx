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14</v>
                </pt>
                <pt idx="8">
                  <v>13</v>
                </pt>
                <pt idx="9">
                  <v>3</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33</v>
                </pt>
                <pt idx="2">
                  <v>17</v>
                </pt>
                <pt idx="3">
                  <v>5</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103</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58</v>
                </pt>
                <pt idx="1">
                  <v>36</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General Mills</v>
                </pt>
                <pt idx="7">
                  <v>META</v>
                </pt>
                <pt idx="8">
                  <v>Merck</v>
                </pt>
                <pt idx="9">
                  <v>Schneider Electric</v>
                </pt>
                <pt idx="10">
                  <v>Other customers</v>
                </pt>
              </strCache>
            </strRef>
          </cat>
          <val>
            <numRef>
              <f>Dashboard!$B$67:$B$77</f>
              <numCache>
                <formatCode>General</formatCode>
                <ptCount val="11"/>
                <pt idx="0">
                  <v>36</v>
                </pt>
                <pt idx="1">
                  <v>13</v>
                </pt>
                <pt idx="2">
                  <v>7</v>
                </pt>
                <pt idx="3">
                  <v>4</v>
                </pt>
                <pt idx="4">
                  <v>4</v>
                </pt>
                <pt idx="5">
                  <v>3</v>
                </pt>
                <pt idx="6">
                  <v>2</v>
                </pt>
                <pt idx="7">
                  <v>2</v>
                </pt>
                <pt idx="8">
                  <v>2</v>
                </pt>
                <pt idx="9">
                  <v>2</v>
                </pt>
                <pt idx="10">
                  <v>25</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31</v>
                </pt>
                <pt idx="1">
                  <v>33</v>
                </pt>
                <pt idx="2">
                  <v>5</v>
                </pt>
                <pt idx="3">
                  <v>7</v>
                </pt>
                <pt idx="4">
                  <v>9</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1"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1"/>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46248</v>
      </c>
      <c r="C88" s="33" t="inlineStr">
        <is>
          <t>Bankruptcy</t>
        </is>
      </c>
      <c r="D88" s="33" t="inlineStr">
        <is>
          <t>Infineon</t>
        </is>
      </c>
      <c r="E88" s="39" t="n">
        <v>1</v>
      </c>
      <c r="F88" s="33" t="inlineStr">
        <is>
          <t>Eberhard AG Insolvency – No EventWatch Alert (Infineon)</t>
        </is>
      </c>
      <c r="G88" s="33" t="inlineStr">
        <is>
          <t>Complaint</t>
        </is>
      </c>
      <c r="H88" s="33" t="inlineStr">
        <is>
          <t>Missed insolvency alert</t>
        </is>
      </c>
      <c r="I88" s="33" t="inlineStr">
        <is>
          <t>Product</t>
        </is>
      </c>
      <c r="J88" s="33" t="inlineStr">
        <is>
          <t>Source Coverage</t>
        </is>
      </c>
      <c r="K88" s="33" t="inlineStr">
        <is>
          <t>Improvement</t>
        </is>
      </c>
      <c r="L88" s="33" t="inlineStr">
        <is>
          <t>RCA Shared</t>
        </is>
      </c>
      <c r="M88" s="33" t="inlineStr">
        <is>
          <t>Add the bankruptcy and insolvency sources covering this supplier's region to the vendor network, so a filing at a mapped supplier is captured when it is published rather than when the customer raises it</t>
        </is>
      </c>
      <c r="N88" s="33" t="inlineStr">
        <is>
          <t>Yes</t>
        </is>
      </c>
      <c r="O88"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8" s="33" t="n"/>
      <c r="Q88" s="33" t="inlineStr">
        <is>
          <t>Yes</t>
        </is>
      </c>
      <c r="R88" s="39" t="n">
        <v>8</v>
      </c>
      <c r="S88" s="39" t="n"/>
      <c r="T88" s="35" t="inlineStr">
        <is>
          <t>Aug 2026</t>
        </is>
      </c>
      <c r="U88" s="33" t="inlineStr">
        <is>
          <t>Medium</t>
        </is>
      </c>
      <c r="V88" s="33" t="inlineStr">
        <is>
          <t>Dynamic Source Discovery</t>
        </is>
      </c>
      <c r="W88" s="33" t="n"/>
      <c r="X88" s="33" t="inlineStr">
        <is>
          <t>The sources reporting the Eberhard AG insolvency are not part of the vendor network; the vendor has been asked to include them. Recorded by Product Management as a source miss at the portal.</t>
        </is>
      </c>
      <c r="Y88" s="33" t="inlineStr">
        <is>
          <t>Product &amp; Platform</t>
        </is>
      </c>
      <c r="Z88" s="37" t="n"/>
    </row>
    <row r="89">
      <c r="A89" s="35" t="n">
        <v>46235</v>
      </c>
      <c r="B89" s="37" t="n">
        <v>46251</v>
      </c>
      <c r="C89" s="33" t="inlineStr">
        <is>
          <t>Geopolitical</t>
        </is>
      </c>
      <c r="D89" s="33" t="inlineStr">
        <is>
          <t>Ford</t>
        </is>
      </c>
      <c r="E89" s="39" t="n">
        <v>1</v>
      </c>
      <c r="F89" s="33" t="inlineStr">
        <is>
          <t>Ceuta Border Security &amp; Humanitarian Crisis</t>
        </is>
      </c>
      <c r="G89" s="33" t="inlineStr">
        <is>
          <t>Complaint</t>
        </is>
      </c>
      <c r="H89" s="33" t="inlineStr">
        <is>
          <t>Missed Event</t>
        </is>
      </c>
      <c r="I89" s="33" t="inlineStr">
        <is>
          <t>People</t>
        </is>
      </c>
      <c r="J89" s="33" t="inlineStr">
        <is>
          <t>Review</t>
        </is>
      </c>
      <c r="K89" s="33" t="inlineStr">
        <is>
          <t>Improvement</t>
        </is>
      </c>
      <c r="L89" s="33" t="inlineStr">
        <is>
          <t>RCA Shared</t>
        </is>
      </c>
      <c r="M89" s="33" t="inlineStr">
        <is>
          <t>WarRoom Trigger Automation</t>
        </is>
      </c>
      <c r="N89" s="33" t="inlineStr">
        <is>
          <t>Yes</t>
        </is>
      </c>
      <c r="O89" s="33" t="inlineStr">
        <is>
          <t>EAO-27: Customer reported a missed EventWatch alert and requested an update. RCA shared following review of the event.</t>
        </is>
      </c>
      <c r="P89" s="33" t="n"/>
      <c r="Q89" s="33" t="inlineStr">
        <is>
          <t>Yes</t>
        </is>
      </c>
      <c r="R89" s="39" t="n">
        <v>8</v>
      </c>
      <c r="S89" s="39" t="n"/>
      <c r="T89" s="35" t="n">
        <v>46235</v>
      </c>
      <c r="U89" s="33" t="inlineStr">
        <is>
          <t>Medium</t>
        </is>
      </c>
      <c r="V89" s="33" t="inlineStr">
        <is>
          <t>WarRoom &amp; Decision Validation</t>
        </is>
      </c>
      <c r="W89" s="33" t="inlineStr">
        <is>
          <t>EAO-27</t>
        </is>
      </c>
      <c r="X89" s="33" t="inlineStr">
        <is>
          <t>RCA reviewed and sent to the customer on 20-Aug-2026 as a PDF attached to EAO-27; the document text is not in the ticket. Closed 25-Aug-2026 after no customer follow-up.</t>
        </is>
      </c>
      <c r="Y89" s="33" t="inlineStr">
        <is>
          <t>EventWatch Ops - Nitin Rindhe</t>
        </is>
      </c>
      <c r="Z89" s="37" t="n">
        <v>46259</v>
      </c>
    </row>
    <row r="90">
      <c r="A90" s="35" t="n">
        <v>46235</v>
      </c>
      <c r="B90" s="37" t="n">
        <v>46251</v>
      </c>
      <c r="C90" s="33" t="inlineStr">
        <is>
          <t>Port Disruption</t>
        </is>
      </c>
      <c r="D90" s="33" t="inlineStr">
        <is>
          <t>Eaton</t>
        </is>
      </c>
      <c r="E90" s="39" t="n">
        <v>1</v>
      </c>
      <c r="F90" s="33" t="inlineStr">
        <is>
          <t>Kandla Port Cargo Congestion – Supplier Impact Notification Clarification (Eaton)</t>
        </is>
      </c>
      <c r="G90" s="33" t="inlineStr">
        <is>
          <t>Inquiry</t>
        </is>
      </c>
      <c r="H90" s="33" t="inlineStr">
        <is>
          <t>Supplier Impact Mapping Clarification</t>
        </is>
      </c>
      <c r="I90" s="33" t="inlineStr">
        <is>
          <t>Process</t>
        </is>
      </c>
      <c r="J90" s="33" t="inlineStr">
        <is>
          <t>Mapping</t>
        </is>
      </c>
      <c r="K90" s="33" t="inlineStr">
        <is>
          <t>Improvement</t>
        </is>
      </c>
      <c r="L90" s="33" t="inlineStr">
        <is>
          <t>Clarification Provided</t>
        </is>
      </c>
      <c r="M90" s="33" t="inlineStr">
        <is>
          <t>Impact-confirmation notification criteria documentation for port/logistics bulletins</t>
        </is>
      </c>
      <c r="N90" s="33" t="inlineStr">
        <is>
          <t>No</t>
        </is>
      </c>
      <c r="O90" s="33" t="inlineStr">
        <is>
          <t>Staged from Jira EAO-28 (Done). Eaton asked what criteria triggered impact-confirmation notifications to Eaton suppliers on the Kandla Port cargo congestion bulletin, since the bulletin text focused on rice exports.</t>
        </is>
      </c>
      <c r="Q90" s="33" t="inlineStr">
        <is>
          <t>No</t>
        </is>
      </c>
      <c r="R90" s="39" t="n">
        <v>8</v>
      </c>
      <c r="T90" s="35" t="n">
        <v>46235</v>
      </c>
      <c r="U90" s="33" t="inlineStr">
        <is>
          <t>Low</t>
        </is>
      </c>
      <c r="V90" s="33" t="inlineStr">
        <is>
          <t>Entity &amp; Supplier Resolution</t>
        </is>
      </c>
      <c r="W90" s="33" t="inlineStr">
        <is>
          <t>EAO-28</t>
        </is>
      </c>
      <c r="X90"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0" s="33" t="inlineStr">
        <is>
          <t>EventWatch Ops - Nitin Rindhe</t>
        </is>
      </c>
      <c r="Z90" s="37" t="n">
        <v>46259</v>
      </c>
    </row>
    <row r="91">
      <c r="A91" s="35" t="n">
        <v>46235</v>
      </c>
      <c r="B91" s="37" t="n">
        <v>46252</v>
      </c>
      <c r="C91" s="33" t="inlineStr">
        <is>
          <t>Factory Fire</t>
        </is>
      </c>
      <c r="D91" s="33" t="inlineStr">
        <is>
          <t>Ford</t>
        </is>
      </c>
      <c r="E91" s="39" t="n">
        <v>1</v>
      </c>
      <c r="F91" s="33" t="inlineStr">
        <is>
          <t>Sasol Polyethylene Plant Fire / Shutdown</t>
        </is>
      </c>
      <c r="G91" s="33" t="inlineStr">
        <is>
          <t>Complaint</t>
        </is>
      </c>
      <c r="H91" s="33" t="inlineStr">
        <is>
          <t>Missed Event</t>
        </is>
      </c>
      <c r="I91" s="33" t="inlineStr">
        <is>
          <t>Product</t>
        </is>
      </c>
      <c r="J91" s="33" t="inlineStr">
        <is>
          <t>Source Coverage</t>
        </is>
      </c>
      <c r="K91" s="33" t="inlineStr">
        <is>
          <t>Improvement</t>
        </is>
      </c>
      <c r="L91" s="33" t="inlineStr">
        <is>
          <t>RCA Shared</t>
        </is>
      </c>
      <c r="M91" s="33" t="inlineStr">
        <is>
          <t>Dynamic Source Discovery</t>
        </is>
      </c>
      <c r="N91" s="33" t="inlineStr">
        <is>
          <t>Yes</t>
        </is>
      </c>
      <c r="O91" s="33" t="inlineStr">
        <is>
          <t>EAO-26: Customer reported a missed EventWatch alert for the Sasol polyethylene plant fire and shutdown. Investigation and RCA were requested; RCA shared.</t>
        </is>
      </c>
      <c r="P91" s="33" t="n"/>
      <c r="Q91" s="33" t="inlineStr">
        <is>
          <t>Yes</t>
        </is>
      </c>
      <c r="R91" s="39" t="n">
        <v>8</v>
      </c>
      <c r="S91" s="39" t="n"/>
      <c r="T91" s="35" t="n">
        <v>46235</v>
      </c>
      <c r="U91" s="33" t="inlineStr">
        <is>
          <t>Medium</t>
        </is>
      </c>
      <c r="V91" s="33" t="inlineStr">
        <is>
          <t>Dynamic Source Discovery</t>
        </is>
      </c>
      <c r="W91" s="33" t="inlineStr">
        <is>
          <t>EAO-26</t>
        </is>
      </c>
      <c r="X91" s="33" t="inlineStr">
        <is>
          <t>RCA reviewed and sent to the customer on 20-Aug-2026 as a PDF attached to EAO-26; the document text is not in the ticket. Closed 25-Aug-2026 after no customer follow-up.</t>
        </is>
      </c>
      <c r="Y91" s="33" t="inlineStr">
        <is>
          <t>Product &amp; Platform</t>
        </is>
      </c>
      <c r="Z91" s="37" t="n">
        <v>46259</v>
      </c>
    </row>
    <row r="92">
      <c r="A92" s="35" t="n">
        <v>46235</v>
      </c>
      <c r="B92" s="37" t="n">
        <v>46254</v>
      </c>
      <c r="C92" s="33" t="inlineStr">
        <is>
          <t>Hurricane/Typhoon</t>
        </is>
      </c>
      <c r="D92" s="33" t="inlineStr">
        <is>
          <t>Ford</t>
        </is>
      </c>
      <c r="E92" s="39" t="n">
        <v>1</v>
      </c>
      <c r="F92" s="33" t="inlineStr">
        <is>
          <t>Typhoon Dolphin Bulletins Distributed Across Two WarRooms</t>
        </is>
      </c>
      <c r="G92" s="33" t="inlineStr">
        <is>
          <t>Inquiry</t>
        </is>
      </c>
      <c r="H92" s="33" t="inlineStr">
        <is>
          <t>Coverage Verification Request</t>
        </is>
      </c>
      <c r="I92" s="33" t="inlineStr">
        <is>
          <t>Process</t>
        </is>
      </c>
      <c r="J92" s="33" t="inlineStr">
        <is>
          <t>Policy/Logic</t>
        </is>
      </c>
      <c r="K92" s="33" t="inlineStr">
        <is>
          <t>Improvement</t>
        </is>
      </c>
      <c r="L92" s="33" t="inlineStr">
        <is>
          <t>Clarification Provided</t>
        </is>
      </c>
      <c r="M92" s="33" t="inlineStr">
        <is>
          <t>Make the shared update sequence legible on the bulletin itself, so a jump from Update 2 to Update 5 in one country's WarRoom shows which storm-lifecycle updates ran under the other WarRooms instead of reading as missing bulletins</t>
        </is>
      </c>
      <c r="N92" s="33" t="inlineStr">
        <is>
          <t>No</t>
        </is>
      </c>
      <c r="O92" s="33" t="inlineStr">
        <is>
          <t>EAO-29: Bulletins were distributed across two WarRooms, resulting in gaps in the update sequence. Customer requested RCA; RCA shared.</t>
        </is>
      </c>
      <c r="P92" s="33" t="n"/>
      <c r="Q92" s="33" t="inlineStr">
        <is>
          <t>No</t>
        </is>
      </c>
      <c r="R92" s="39" t="n">
        <v>8</v>
      </c>
      <c r="S92" s="39" t="n"/>
      <c r="T92" s="35" t="n">
        <v>46235</v>
      </c>
      <c r="U92" s="33" t="inlineStr">
        <is>
          <t>Low</t>
        </is>
      </c>
      <c r="V92" s="33" t="inlineStr">
        <is>
          <t>Other Control Automation</t>
        </is>
      </c>
      <c r="W92" s="33" t="inlineStr">
        <is>
          <t>EAO-29</t>
        </is>
      </c>
      <c r="X92"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2" s="33" t="inlineStr">
        <is>
          <t>EventWatch Ops - Nitin Rindhe</t>
        </is>
      </c>
      <c r="Z92" s="37" t="n">
        <v>46272</v>
      </c>
    </row>
    <row r="93">
      <c r="A93" s="35" t="n">
        <v>46235</v>
      </c>
      <c r="B93" s="37" t="n">
        <v>46255</v>
      </c>
      <c r="C93" s="33" t="inlineStr">
        <is>
          <t>Port Disruption</t>
        </is>
      </c>
      <c r="D93" s="33" t="inlineStr">
        <is>
          <t>Ford/GM</t>
        </is>
      </c>
      <c r="E93" s="39" t="n">
        <v>2</v>
      </c>
      <c r="F93" s="33" t="inlineStr">
        <is>
          <t>World Trade Bridge Closed in Laredo, Texas</t>
        </is>
      </c>
      <c r="G93" s="33" t="inlineStr">
        <is>
          <t>Complaint</t>
        </is>
      </c>
      <c r="H93" s="33" t="inlineStr">
        <is>
          <t>Missed Event</t>
        </is>
      </c>
      <c r="I93" s="33" t="inlineStr">
        <is>
          <t>Product</t>
        </is>
      </c>
      <c r="J93" s="33" t="inlineStr">
        <is>
          <t>Keyword Update</t>
        </is>
      </c>
      <c r="K93" s="33" t="inlineStr">
        <is>
          <t>Improvement</t>
        </is>
      </c>
      <c r="L93" s="33" t="inlineStr">
        <is>
          <t>Fixed</t>
        </is>
      </c>
      <c r="M93" s="33" t="inlineStr">
        <is>
          <t>Dynamic Source Discovery</t>
        </is>
      </c>
      <c r="N93" s="33" t="inlineStr">
        <is>
          <t>Yes</t>
        </is>
      </c>
      <c r="O93" s="33" t="inlineStr">
        <is>
          <t>EAO-25: Event was missed due to a keyword gap. Keyword was added and the article is now being captured.</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46255</v>
      </c>
      <c r="C94" s="33" t="inlineStr">
        <is>
          <t>Factory Fire</t>
        </is>
      </c>
      <c r="D94" s="33" t="inlineStr">
        <is>
          <t>Ford/GM</t>
        </is>
      </c>
      <c r="E94" s="39" t="n">
        <v>2</v>
      </c>
      <c r="F94" s="33" t="inlineStr">
        <is>
          <t>Fire at FXI de Cuautitlán, S.A. de C.V.</t>
        </is>
      </c>
      <c r="G94" s="33" t="inlineStr">
        <is>
          <t>Complaint</t>
        </is>
      </c>
      <c r="H94" s="33" t="inlineStr">
        <is>
          <t>Missed Event</t>
        </is>
      </c>
      <c r="I94" s="33" t="inlineStr">
        <is>
          <t>Product</t>
        </is>
      </c>
      <c r="J94" s="33" t="inlineStr">
        <is>
          <t>Source Coverage</t>
        </is>
      </c>
      <c r="K94" s="33" t="inlineStr">
        <is>
          <t>Improvement</t>
        </is>
      </c>
      <c r="L94" s="33" t="inlineStr">
        <is>
          <t>RCA Shared</t>
        </is>
      </c>
      <c r="M94" s="33" t="inlineStr">
        <is>
          <t>Dynamic Source Discovery</t>
        </is>
      </c>
      <c r="N94" s="33" t="inlineStr">
        <is>
          <t>Yes</t>
        </is>
      </c>
      <c r="O94" s="33" t="inlineStr">
        <is>
          <t>EAO-25: Event was not captured by the vendor due to a source coverage gap. Vendor was asked to add the sources to its network. RCA shared based on the investigation trail.</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46258</v>
      </c>
      <c r="C95" s="33" t="inlineStr">
        <is>
          <t>Factory Fire</t>
        </is>
      </c>
      <c r="D95" s="33" t="inlineStr">
        <is>
          <t>Ford/GM</t>
        </is>
      </c>
      <c r="E95" s="39" t="n">
        <v>2</v>
      </c>
      <c r="F95" s="33" t="inlineStr">
        <is>
          <t>Fire at Nemak Factory in Monterrey, Mexico</t>
        </is>
      </c>
      <c r="G95" s="33" t="inlineStr">
        <is>
          <t>Complaint</t>
        </is>
      </c>
      <c r="H95" s="33" t="inlineStr">
        <is>
          <t>Missed Event</t>
        </is>
      </c>
      <c r="I95" s="33" t="inlineStr">
        <is>
          <t>People</t>
        </is>
      </c>
      <c r="J95" s="33" t="inlineStr">
        <is>
          <t>Review</t>
        </is>
      </c>
      <c r="K95" s="33" t="inlineStr">
        <is>
          <t>Improvement</t>
        </is>
      </c>
      <c r="L95" s="33" t="inlineStr">
        <is>
          <t>RCA Shared</t>
        </is>
      </c>
      <c r="M95" s="33" t="inlineStr">
        <is>
          <t>Not Impactful Decision Validation</t>
        </is>
      </c>
      <c r="N95" s="33" t="inlineStr">
        <is>
          <t>Yes</t>
        </is>
      </c>
      <c r="O95" s="33" t="inlineStr">
        <is>
          <t>EAO-25: News processing captured the article and attached it to an updated factory-fire cluster. The event was later marked Not Impactful by the analyst. RCA shared based on the investigation trail.</t>
        </is>
      </c>
      <c r="P95" s="33" t="n"/>
      <c r="Q95" s="33" t="inlineStr">
        <is>
          <t>Yes</t>
        </is>
      </c>
      <c r="R95" s="39" t="n">
        <v>8</v>
      </c>
      <c r="S95" s="39" t="n"/>
      <c r="T95" s="35" t="n">
        <v>46235</v>
      </c>
      <c r="U95" s="33" t="inlineStr">
        <is>
          <t>Medium</t>
        </is>
      </c>
      <c r="V95" s="33" t="inlineStr">
        <is>
          <t>WarRoom &amp; Decision Validation</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EventWatch Ops - Nitin Rindhe</t>
        </is>
      </c>
      <c r="Z95" s="37" t="n"/>
    </row>
    <row r="96">
      <c r="A96" s="35" t="n">
        <v>46235</v>
      </c>
      <c r="B96" s="37" t="n">
        <v>46258</v>
      </c>
      <c r="C96" s="33" t="inlineStr">
        <is>
          <t>Cyber Attack</t>
        </is>
      </c>
      <c r="D96" s="33" t="inlineStr">
        <is>
          <t>The American National Red Cross</t>
        </is>
      </c>
      <c r="E96" s="39" t="n">
        <v>1</v>
      </c>
      <c r="F96" s="33" t="inlineStr">
        <is>
          <t>Uber Freight Investigates Reported Cyberattack After Hackers Claim Data Breach</t>
        </is>
      </c>
      <c r="G96" s="33" t="inlineStr">
        <is>
          <t>Complaint</t>
        </is>
      </c>
      <c r="H96" s="33" t="inlineStr">
        <is>
          <t>WarRoom not visible in customer profile</t>
        </is>
      </c>
      <c r="I96" s="33" t="inlineStr">
        <is>
          <t>Process</t>
        </is>
      </c>
      <c r="J96" s="33" t="inlineStr">
        <is>
          <t>Visibility</t>
        </is>
      </c>
      <c r="K96" s="33" t="inlineStr">
        <is>
          <t>Improvement</t>
        </is>
      </c>
      <c r="L96" s="33" t="inlineStr">
        <is>
          <t>RCA Shared</t>
        </is>
      </c>
      <c r="M96" s="33" t="inlineStr">
        <is>
          <t>Notification Visibility Monitoring</t>
        </is>
      </c>
      <c r="N96" s="33" t="inlineStr">
        <is>
          <t>No</t>
        </is>
      </c>
      <c r="O96" s="33" t="inlineStr">
        <is>
          <t>EAO-30: EventWatch news was published on August 13 but was not visible on the customer portal. Portal visibility investigation completed and clarification provided.</t>
        </is>
      </c>
      <c r="P96" s="33" t="n"/>
      <c r="Q96" s="33" t="inlineStr">
        <is>
          <t>Yes</t>
        </is>
      </c>
      <c r="R96" s="39" t="n">
        <v>8</v>
      </c>
      <c r="S96" s="39" t="n"/>
      <c r="T96" s="35" t="n">
        <v>46235</v>
      </c>
      <c r="U96" s="33" t="inlineStr">
        <is>
          <t>Medium</t>
        </is>
      </c>
      <c r="V96" s="33" t="inlineStr">
        <is>
          <t>Notification Visibility Monitoring</t>
        </is>
      </c>
      <c r="W96" s="33" t="inlineStr">
        <is>
          <t>TS-22695</t>
        </is>
      </c>
      <c r="X96" s="33" t="n"/>
      <c r="Y96" s="33" t="inlineStr">
        <is>
          <t>EventWatch Ops - Nitin Rindhe</t>
        </is>
      </c>
      <c r="Z96" s="37" t="n"/>
    </row>
    <row r="97">
      <c r="A97" s="35" t="n">
        <v>46235</v>
      </c>
      <c r="B97" s="37" t="n">
        <v>46265</v>
      </c>
      <c r="C97" s="33" t="inlineStr">
        <is>
          <t>Cyber Attack</t>
        </is>
      </c>
      <c r="D97" s="33" t="inlineStr">
        <is>
          <t>Schneider Electric</t>
        </is>
      </c>
      <c r="E97" s="39" t="n">
        <v>1</v>
      </c>
      <c r="F97" s="33" t="inlineStr">
        <is>
          <t>Gindre India Data Breach – EventWatch Alert/WarRoom Missing</t>
        </is>
      </c>
      <c r="G97" s="33" t="inlineStr">
        <is>
          <t>Complaint</t>
        </is>
      </c>
      <c r="H97" s="33" t="inlineStr">
        <is>
          <t>Missed Event</t>
        </is>
      </c>
      <c r="I97" s="33" t="inlineStr">
        <is>
          <t>Product</t>
        </is>
      </c>
      <c r="J97" s="33" t="inlineStr">
        <is>
          <t>Source Coverage</t>
        </is>
      </c>
      <c r="K97" s="33" t="inlineStr">
        <is>
          <t>Improvement</t>
        </is>
      </c>
      <c r="L97" s="33" t="inlineStr">
        <is>
          <t>RCA Shared</t>
        </is>
      </c>
      <c r="M97" s="33" t="inlineStr">
        <is>
          <t>Dynamic Source Discovery</t>
        </is>
      </c>
      <c r="N97" s="33" t="inlineStr">
        <is>
          <t>Yes</t>
        </is>
      </c>
      <c r="O97" s="33" t="inlineStr">
        <is>
          <t>EAO-31: No corresponding EventWatch event or WarRoom was found for the reported data breach. Source coverage review completed and RCA shared.</t>
        </is>
      </c>
      <c r="P97" s="33" t="n"/>
      <c r="Q97" s="33" t="inlineStr">
        <is>
          <t>Yes</t>
        </is>
      </c>
      <c r="R97" s="39" t="n">
        <v>8</v>
      </c>
      <c r="S97" s="39" t="n"/>
      <c r="T97" s="35" t="n">
        <v>46235</v>
      </c>
      <c r="U97" s="33" t="inlineStr">
        <is>
          <t>Medium</t>
        </is>
      </c>
      <c r="V97" s="33" t="inlineStr">
        <is>
          <t>Dynamic Source Discovery</t>
        </is>
      </c>
      <c r="W97" s="33" t="inlineStr">
        <is>
          <t>EAO-31</t>
        </is>
      </c>
      <c r="X97" s="33" t="inlineStr">
        <is>
          <t>Feeds reporting the Qilin ransomware breach at Gindre India were not captured on the EventWatch portal; Engineering investigation requested 31-Aug-2026. RCA reviewed and shared with the customer 03-Sep-2026.</t>
        </is>
      </c>
      <c r="Y97" s="33" t="inlineStr">
        <is>
          <t>Product &amp; Platform</t>
        </is>
      </c>
      <c r="Z97" s="37" t="n">
        <v>46272</v>
      </c>
    </row>
    <row r="98">
      <c r="A98" s="35" t="n">
        <v>46235</v>
      </c>
      <c r="B98" s="37" t="n">
        <v>46265</v>
      </c>
      <c r="C98" s="33" t="inlineStr">
        <is>
          <t>Cyber Attack</t>
        </is>
      </c>
      <c r="D98" s="33" t="inlineStr">
        <is>
          <t>Merck</t>
        </is>
      </c>
      <c r="E98" s="39" t="n">
        <v>1</v>
      </c>
      <c r="F98" s="33" t="inlineStr">
        <is>
          <t>Baxter International Reports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Not Impactful Decision Validation</t>
        </is>
      </c>
      <c r="N98" s="33" t="inlineStr">
        <is>
          <t>Yes</t>
        </is>
      </c>
      <c r="O98" s="33" t="inlineStr">
        <is>
          <t>Customer reported the missed Baxter ransomware incident. EventWatch captured the report on August 14, but human review incorrectly marked it Not Impactful;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Cyber Attack</t>
        </is>
      </c>
      <c r="D99" s="33" t="inlineStr">
        <is>
          <t>Merck</t>
        </is>
      </c>
      <c r="E99" s="39" t="n">
        <v>1</v>
      </c>
      <c r="F99" s="33" t="inlineStr">
        <is>
          <t>McKesson Corporation Confirms Data Breach Following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Entity &amp; Duplicate Decision Validation</t>
        </is>
      </c>
      <c r="N99" s="33" t="inlineStr">
        <is>
          <t>Yes</t>
        </is>
      </c>
      <c r="O99" s="33" t="inlineStr">
        <is>
          <t>Customer reported the missed McKesson data-breach incident. EventWatch captured the report on August 28, but human review assumed it was already covered;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Counterfeit</t>
        </is>
      </c>
      <c r="D100" s="33" t="inlineStr">
        <is>
          <t>Liberty Blume</t>
        </is>
      </c>
      <c r="E100" s="39" t="n">
        <v>1</v>
      </c>
      <c r="F100" s="33" t="inlineStr">
        <is>
          <t>Ciena 400G Optics Counterfeit Risk Intelligence Request (Liberty Blume)</t>
        </is>
      </c>
      <c r="G100" s="33" t="inlineStr">
        <is>
          <t>Inquiry</t>
        </is>
      </c>
      <c r="H100" s="33" t="inlineStr">
        <is>
          <t>Intelligence/Advisory Request</t>
        </is>
      </c>
      <c r="I100" s="33" t="inlineStr">
        <is>
          <t>Process</t>
        </is>
      </c>
      <c r="J100" s="33" t="inlineStr">
        <is>
          <t>Process Clarification</t>
        </is>
      </c>
      <c r="K100" s="33" t="inlineStr">
        <is>
          <t>Improvement</t>
        </is>
      </c>
      <c r="L100" s="33" t="inlineStr">
        <is>
          <t>Clarification Provided</t>
        </is>
      </c>
      <c r="M100" s="33" t="inlineStr">
        <is>
          <t>Counterfeit/grey-market component intelligence briefing capability</t>
        </is>
      </c>
      <c r="N100" s="33" t="inlineStr">
        <is>
          <t>No</t>
        </is>
      </c>
      <c r="O100" s="33" t="inlineStr">
        <is>
          <t>Staged from Jira EAO-32 (Open). Liberty Blume requested industry intelligence on counterfeit/grey-market Ciena 400G optical transceivers beyond the supplier scanning report already provided.</t>
        </is>
      </c>
      <c r="Q100" s="33" t="inlineStr">
        <is>
          <t>No</t>
        </is>
      </c>
      <c r="R100" s="39" t="n">
        <v>8</v>
      </c>
      <c r="T100" s="35" t="n">
        <v>46235</v>
      </c>
      <c r="U100" s="33" t="inlineStr">
        <is>
          <t>Low</t>
        </is>
      </c>
      <c r="V100" s="33" t="inlineStr">
        <is>
          <t>Other Control Automation</t>
        </is>
      </c>
      <c r="W100" s="33" t="inlineStr">
        <is>
          <t>EAO-32</t>
        </is>
      </c>
      <c r="X100"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0" s="33" t="inlineStr">
        <is>
          <t>EventWatch Ops - Nitin Rindhe</t>
        </is>
      </c>
      <c r="Z100" s="37" t="n"/>
    </row>
    <row r="101">
      <c r="A101" s="35" t="n">
        <v>46266</v>
      </c>
      <c r="B101" s="37" t="n">
        <v>46267</v>
      </c>
      <c r="C101" s="33" t="inlineStr">
        <is>
          <t>Geopolitical</t>
        </is>
      </c>
      <c r="D101" s="33" t="inlineStr">
        <is>
          <t>Caterpillar</t>
        </is>
      </c>
      <c r="E101" s="39" t="n">
        <v>1</v>
      </c>
      <c r="F101" s="33" t="inlineStr">
        <is>
          <t>Taiwan Strait Conflict Risk Assessment – Missed EventWatch Notification</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Geopolitical conflict risk-assessment scenario monitoring and escalation</t>
        </is>
      </c>
      <c r="N101" s="33" t="inlineStr">
        <is>
          <t>Yes</t>
        </is>
      </c>
      <c r="O101" s="33" t="inlineStr">
        <is>
          <t>Staged from Jira EAO-33 (In Progress). Caterpillar reported no notification for “Taiwan Strait Conflict Risk Assessment and Potential Global Supply Chain Impact”; CS found no matching event in the backend.</t>
        </is>
      </c>
      <c r="Q101" s="33" t="inlineStr">
        <is>
          <t>Yes</t>
        </is>
      </c>
      <c r="R101" s="39" t="n">
        <v>9</v>
      </c>
      <c r="T101" s="35" t="n">
        <v>46266</v>
      </c>
      <c r="U101" s="33" t="inlineStr">
        <is>
          <t>Medium</t>
        </is>
      </c>
      <c r="V101" s="33" t="inlineStr">
        <is>
          <t>WarRoom &amp; Decision Validation</t>
        </is>
      </c>
      <c r="W101" s="33" t="inlineStr">
        <is>
          <t>EAO-33</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46268</v>
      </c>
      <c r="C102" s="33" t="inlineStr">
        <is>
          <t>Protest/Riot</t>
        </is>
      </c>
      <c r="D102" s="33" t="inlineStr">
        <is>
          <t>Ford</t>
        </is>
      </c>
      <c r="E102" s="39" t="n">
        <v>1</v>
      </c>
      <c r="F102" s="33" t="inlineStr">
        <is>
          <t>Western Balkans Truck Driver/EU Border Blockade – August 31 Update Missed Alert (Ford)</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Recurring/evolving-event WarRoom update monitoring and re-escalation detection</t>
        </is>
      </c>
      <c r="N102" s="33" t="inlineStr">
        <is>
          <t>Yes</t>
        </is>
      </c>
      <c r="O102"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2" s="33" t="inlineStr">
        <is>
          <t>Yes</t>
        </is>
      </c>
      <c r="R102" s="39" t="n">
        <v>9</v>
      </c>
      <c r="T102" s="35" t="n">
        <v>46266</v>
      </c>
      <c r="U102" s="33" t="inlineStr">
        <is>
          <t>Medium</t>
        </is>
      </c>
      <c r="V102" s="33" t="inlineStr">
        <is>
          <t>WarRoom &amp; Decision Validation</t>
        </is>
      </c>
      <c r="W102" s="33" t="inlineStr">
        <is>
          <t>EAO-34</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46272</v>
      </c>
      <c r="C103" s="33" t="inlineStr">
        <is>
          <t>Power Outage</t>
        </is>
      </c>
      <c r="D103" s="33" t="inlineStr">
        <is>
          <t>Eaton/Ford</t>
        </is>
      </c>
      <c r="E103" s="39" t="n">
        <v>2</v>
      </c>
      <c r="F103" s="33" t="inlineStr">
        <is>
          <t>Punjab Region Risk Event – Supplier Sites Outside the Impact Area Mapped for Impact Confirmation (Eaton/Ford)</t>
        </is>
      </c>
      <c r="G103" s="33" t="inlineStr">
        <is>
          <t>Complaint</t>
        </is>
      </c>
      <c r="H103" s="33" t="inlineStr">
        <is>
          <t>Geographic Misclassification</t>
        </is>
      </c>
      <c r="I103" s="33" t="inlineStr">
        <is>
          <t>Product</t>
        </is>
      </c>
      <c r="J103" s="33" t="inlineStr">
        <is>
          <t>Mapping</t>
        </is>
      </c>
      <c r="K103" s="33" t="inlineStr">
        <is>
          <t>Improvement</t>
        </is>
      </c>
      <c r="L103" s="33" t="inlineStr">
        <is>
          <t>RCA Shared</t>
        </is>
      </c>
      <c r="M103" s="33" t="inlineStr">
        <is>
          <t>Geographic validation of supplier site geocodes against the event impact polygon before impact-confirmation requests are issued, so sites outside the affected region cannot be attached to an event</t>
        </is>
      </c>
      <c r="N103" s="33" t="inlineStr">
        <is>
          <t>Yes</t>
        </is>
      </c>
      <c r="O103"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3" s="33" t="n"/>
      <c r="Q103" s="33" t="inlineStr">
        <is>
          <t>No</t>
        </is>
      </c>
      <c r="R103" s="39" t="n">
        <v>9</v>
      </c>
      <c r="S103" s="39" t="n"/>
      <c r="T103" s="35" t="inlineStr">
        <is>
          <t>Sep 2026</t>
        </is>
      </c>
      <c r="U103" s="33" t="inlineStr">
        <is>
          <t>Medium</t>
        </is>
      </c>
      <c r="V103" s="33" t="inlineStr">
        <is>
          <t>AI-Assisted Geofencing</t>
        </is>
      </c>
      <c r="W103" s="33" t="inlineStr">
        <is>
          <t>EAO-35/EAO-36</t>
        </is>
      </c>
      <c r="X103"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3" s="33" t="inlineStr">
        <is>
          <t>Product &amp; Platform</t>
        </is>
      </c>
      <c r="Z103" s="37" t="n"/>
    </row>
    <row r="104">
      <c r="A104" s="35" t="n">
        <v>46266</v>
      </c>
      <c r="B104" s="37" t="n">
        <v>46273</v>
      </c>
      <c r="C104" s="33" t="inlineStr">
        <is>
          <t>Extreme Weather</t>
        </is>
      </c>
      <c r="D104" s="33" t="inlineStr">
        <is>
          <t>Sandisk</t>
        </is>
      </c>
      <c r="E104" s="39" t="n">
        <v>1</v>
      </c>
      <c r="F104" s="33" t="inlineStr">
        <is>
          <t>Record Heavy Rain in Yokkaichi City, Japan – No EventWatch Notification (Sandisk)</t>
        </is>
      </c>
      <c r="G104" s="33" t="inlineStr">
        <is>
          <t>Complaint</t>
        </is>
      </c>
      <c r="H104" s="33" t="inlineStr">
        <is>
          <t>Delayed Event</t>
        </is>
      </c>
      <c r="I104" s="33" t="inlineStr">
        <is>
          <t>People</t>
        </is>
      </c>
      <c r="J104" s="33" t="inlineStr">
        <is>
          <t>Review</t>
        </is>
      </c>
      <c r="K104" s="33" t="inlineStr">
        <is>
          <t>Improvement</t>
        </is>
      </c>
      <c r="L104" s="33" t="inlineStr">
        <is>
          <t>RCA Shared</t>
        </is>
      </c>
      <c r="M104" s="33" t="inlineStr">
        <is>
          <t>Timeliness monitoring that flags a region already producing captured stories where a related event has not been published within the reporting window</t>
        </is>
      </c>
      <c r="N104" s="33" t="inlineStr">
        <is>
          <t>Yes</t>
        </is>
      </c>
      <c r="O104"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4" s="33" t="inlineStr">
        <is>
          <t>~1 day (customer query 08-Sep-2026 -&gt; EventWatch report 09-Sep-2026)</t>
        </is>
      </c>
      <c r="Q104" s="33" t="inlineStr">
        <is>
          <t>Yes</t>
        </is>
      </c>
      <c r="R104" s="39" t="n">
        <v>9</v>
      </c>
      <c r="S104" s="39" t="n"/>
      <c r="T104" s="35" t="inlineStr">
        <is>
          <t>Sep 2026</t>
        </is>
      </c>
      <c r="U104" s="33" t="inlineStr">
        <is>
          <t>Medium</t>
        </is>
      </c>
      <c r="V104" s="33" t="inlineStr">
        <is>
          <t>WarRoom &amp; Decision Validation</t>
        </is>
      </c>
      <c r="W104" s="33" t="inlineStr">
        <is>
          <t>EAO-37</t>
        </is>
      </c>
      <c r="X104"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4" s="33" t="inlineStr">
        <is>
          <t>EventWatch Ops - Nitin Rindhe</t>
        </is>
      </c>
      <c r="Z104" s="37" t="n"/>
    </row>
    <row r="105">
      <c r="A105" s="35" t="n">
        <v>46266</v>
      </c>
      <c r="B105" s="37" t="n">
        <v>46273</v>
      </c>
      <c r="C105" s="33" t="inlineStr">
        <is>
          <t>Merger &amp; Acquisition</t>
        </is>
      </c>
      <c r="D105" s="33" t="inlineStr">
        <is>
          <t>Eaton</t>
        </is>
      </c>
      <c r="E105" s="39" t="n">
        <v>1</v>
      </c>
      <c r="F105" s="33" t="inlineStr">
        <is>
          <t>Vertiv Acquires UtilityInnovation Group – Supplier Notification and Medium Risk Classification Queried (Eaton)</t>
        </is>
      </c>
      <c r="G105" s="33" t="inlineStr">
        <is>
          <t>Inquiry</t>
        </is>
      </c>
      <c r="H105" s="33" t="inlineStr">
        <is>
          <t>Severity / consolidation handling concern</t>
        </is>
      </c>
      <c r="I105" s="33" t="inlineStr">
        <is>
          <t>Process</t>
        </is>
      </c>
      <c r="J105" s="33" t="inlineStr">
        <is>
          <t>Policy/Logic</t>
        </is>
      </c>
      <c r="K105" s="33" t="inlineStr">
        <is>
          <t>Improvement</t>
        </is>
      </c>
      <c r="L105" s="33" t="inlineStr">
        <is>
          <t>Clarification Provided</t>
        </is>
      </c>
      <c r="M105" s="33" t="inlineStr">
        <is>
          <t>Automated enforcement of the M&amp;A notification threshold so acquiring-side suppliers are excluded from impact-confirmation requests, plus a documented basis for the risk classification</t>
        </is>
      </c>
      <c r="N105" s="33" t="inlineStr">
        <is>
          <t>No</t>
        </is>
      </c>
      <c r="O105"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5" s="33" t="n"/>
      <c r="Q105" s="33" t="inlineStr">
        <is>
          <t>No</t>
        </is>
      </c>
      <c r="R105" s="39" t="n">
        <v>9</v>
      </c>
      <c r="S105" s="39" t="n"/>
      <c r="T105" s="35" t="inlineStr">
        <is>
          <t>Sep 2026</t>
        </is>
      </c>
      <c r="U105" s="33" t="inlineStr">
        <is>
          <t>Low</t>
        </is>
      </c>
      <c r="V105" s="33" t="inlineStr">
        <is>
          <t>WarRoom &amp; Decision Validation</t>
        </is>
      </c>
      <c r="W105" s="33" t="inlineStr">
        <is>
          <t>EAO-38</t>
        </is>
      </c>
      <c r="X105"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5" s="33" t="inlineStr">
        <is>
          <t>EventWatch Ops - Nitin Rindhe</t>
        </is>
      </c>
      <c r="Z105" s="37" t="n"/>
    </row>
    <row r="106">
      <c r="A106" s="35" t="n">
        <v>46266</v>
      </c>
      <c r="B106" s="37" t="n">
        <v>46276</v>
      </c>
      <c r="C106" s="33" t="inlineStr">
        <is>
          <t>Supply Shortage</t>
        </is>
      </c>
      <c r="D106" s="33" t="inlineStr">
        <is>
          <t>Belden Inc</t>
        </is>
      </c>
      <c r="E106" s="39" t="n">
        <v>1</v>
      </c>
      <c r="F106" s="33" t="inlineStr">
        <is>
          <t>TSMC 28nm Production Capacity Reduction – No EventWatch Notification (Belden)</t>
        </is>
      </c>
      <c r="G106" s="33" t="inlineStr">
        <is>
          <t>Inquiry</t>
        </is>
      </c>
      <c r="H106" s="33" t="inlineStr">
        <is>
          <t>Coverage Verification Request</t>
        </is>
      </c>
      <c r="I106" s="33" t="inlineStr">
        <is>
          <t>Product</t>
        </is>
      </c>
      <c r="J106" s="33" t="inlineStr">
        <is>
          <t>Source Coverage</t>
        </is>
      </c>
      <c r="K106" s="33" t="inlineStr">
        <is>
          <t>Improvement</t>
        </is>
      </c>
      <c r="L106" s="33" t="inlineStr">
        <is>
          <t>Clarification Provided</t>
        </is>
      </c>
      <c r="M106"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6" s="33" t="inlineStr">
        <is>
          <t>Yes</t>
        </is>
      </c>
      <c r="O106"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6" s="33" t="n"/>
      <c r="Q106" s="33" t="inlineStr">
        <is>
          <t>No</t>
        </is>
      </c>
      <c r="R106" s="39" t="n">
        <v>9</v>
      </c>
      <c r="S106" s="39" t="n"/>
      <c r="T106" s="35" t="inlineStr">
        <is>
          <t>Sep 2026</t>
        </is>
      </c>
      <c r="U106" s="33" t="inlineStr">
        <is>
          <t>Medium</t>
        </is>
      </c>
      <c r="V106" s="33" t="inlineStr">
        <is>
          <t>Dynamic Source Discovery</t>
        </is>
      </c>
      <c r="W106" s="33" t="inlineStr">
        <is>
          <t>EAO-39</t>
        </is>
      </c>
      <c r="X106"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6" s="33" t="inlineStr">
        <is>
          <t>Product &amp; Platform</t>
        </is>
      </c>
      <c r="Z106" s="37" t="n"/>
    </row>
    <row r="107">
      <c r="A107" s="35" t="n">
        <v>46266</v>
      </c>
      <c r="B107" s="37" t="n">
        <v>46276</v>
      </c>
      <c r="C107" s="33" t="inlineStr">
        <is>
          <t>Supply Shortage</t>
        </is>
      </c>
      <c r="D107" s="33" t="inlineStr">
        <is>
          <t>Belden Inc</t>
        </is>
      </c>
      <c r="E107" s="39" t="n">
        <v>1</v>
      </c>
      <c r="F107" s="33" t="inlineStr">
        <is>
          <t>Murata MLCC Product Line Discontinuation – No EventWatch Notification (Belden)</t>
        </is>
      </c>
      <c r="G107" s="33" t="inlineStr">
        <is>
          <t>Complaint</t>
        </is>
      </c>
      <c r="H107" s="33" t="inlineStr">
        <is>
          <t>Missed Event</t>
        </is>
      </c>
      <c r="I107" s="33" t="inlineStr">
        <is>
          <t>People</t>
        </is>
      </c>
      <c r="J107" s="33" t="inlineStr">
        <is>
          <t>Review</t>
        </is>
      </c>
      <c r="K107" s="33" t="inlineStr">
        <is>
          <t>Improvement</t>
        </is>
      </c>
      <c r="L107" s="33" t="inlineStr">
        <is>
          <t>RCA Shared</t>
        </is>
      </c>
      <c r="M107" s="33" t="inlineStr">
        <is>
          <t>Validation step on high-impact component end-of-life and discontinuation notices before an analyst can clear them, so a major supplier's EOL announcement cannot be dismissed at review</t>
        </is>
      </c>
      <c r="N107" s="33" t="inlineStr">
        <is>
          <t>Yes</t>
        </is>
      </c>
      <c r="O107"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7" s="33" t="n"/>
      <c r="Q107" s="33" t="inlineStr">
        <is>
          <t>Yes</t>
        </is>
      </c>
      <c r="R107" s="39" t="n">
        <v>9</v>
      </c>
      <c r="S107" s="39" t="n"/>
      <c r="T107" s="35" t="inlineStr">
        <is>
          <t>Sep 2026</t>
        </is>
      </c>
      <c r="U107" s="33" t="inlineStr">
        <is>
          <t>Medium</t>
        </is>
      </c>
      <c r="V107" s="33" t="inlineStr">
        <is>
          <t>WarRoom &amp; Decision Validation</t>
        </is>
      </c>
      <c r="W107" s="33" t="inlineStr">
        <is>
          <t>EAO-39</t>
        </is>
      </c>
      <c r="X107" s="33" t="inlineStr">
        <is>
          <t>Analyst miss. The event was available for review and was not escalated into EventWatch coverage. Ingestion and source coverage did not contribute.</t>
        </is>
      </c>
      <c r="Y107" s="33" t="inlineStr">
        <is>
          <t>EventWatch Ops - Nitin Rindhe</t>
        </is>
      </c>
      <c r="Z107" s="37" t="n"/>
    </row>
    <row r="108">
      <c r="A108" s="35" t="n">
        <v>46266</v>
      </c>
      <c r="B108" s="37" t="n">
        <v>46276</v>
      </c>
      <c r="C108" s="33" t="inlineStr">
        <is>
          <t>Factory Fire</t>
        </is>
      </c>
      <c r="D108" s="33" t="inlineStr">
        <is>
          <t>Ford</t>
        </is>
      </c>
      <c r="E108" s="39" t="n">
        <v>1</v>
      </c>
      <c r="F108" s="33" t="inlineStr">
        <is>
          <t>Precision Resource Facility Fire, Mt. Sterling, Kentucky – Deep-Tier Supplier Event Not Captured (Ford)</t>
        </is>
      </c>
      <c r="G108" s="33" t="inlineStr">
        <is>
          <t>Complaint</t>
        </is>
      </c>
      <c r="H108" s="33" t="inlineStr">
        <is>
          <t>Missed Event</t>
        </is>
      </c>
      <c r="I108" s="33" t="inlineStr">
        <is>
          <t>Product</t>
        </is>
      </c>
      <c r="J108" s="33" t="inlineStr">
        <is>
          <t>Source Coverage</t>
        </is>
      </c>
      <c r="K108" s="33" t="inlineStr">
        <is>
          <t>Improvement</t>
        </is>
      </c>
      <c r="L108" s="33" t="inlineStr">
        <is>
          <t>RCA Shared</t>
        </is>
      </c>
      <c r="M108" s="33" t="inlineStr">
        <is>
          <t>Monitoring of local and regional outlets covering industrial incidents at deep-tier supplier sites, with event-to-supply-chain correlation so a sub-tier fire is linked to the OEMs exposed through it</t>
        </is>
      </c>
      <c r="N108" s="33" t="inlineStr">
        <is>
          <t>Yes</t>
        </is>
      </c>
      <c r="O108"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8" s="33" t="n"/>
      <c r="Q108" s="33" t="inlineStr">
        <is>
          <t>Yes</t>
        </is>
      </c>
      <c r="R108" s="39" t="n">
        <v>9</v>
      </c>
      <c r="S108" s="39" t="n"/>
      <c r="T108" s="35" t="inlineStr">
        <is>
          <t>Sep 2026</t>
        </is>
      </c>
      <c r="U108" s="33" t="inlineStr">
        <is>
          <t>High</t>
        </is>
      </c>
      <c r="V108" s="33" t="inlineStr">
        <is>
          <t>Dynamic Source Discovery</t>
        </is>
      </c>
      <c r="W108" s="33" t="inlineStr">
        <is>
          <t>EAO-40</t>
        </is>
      </c>
      <c r="X108"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8" s="33" t="inlineStr">
        <is>
          <t>Product &amp; Platform</t>
        </is>
      </c>
      <c r="Z108" s="37" t="n"/>
    </row>
    <row r="109">
      <c r="A109" s="35" t="n">
        <v>46266</v>
      </c>
      <c r="B109" s="37" t="n">
        <v>46279</v>
      </c>
      <c r="C109" s="33" t="inlineStr">
        <is>
          <t>Bankruptcy</t>
        </is>
      </c>
      <c r="D109" s="33" t="inlineStr">
        <is>
          <t>Irving Oil</t>
        </is>
      </c>
      <c r="E109" s="39" t="n">
        <v>1</v>
      </c>
      <c r="F109" s="33" t="inlineStr">
        <is>
          <t>Paystone CCAA Filing – No EventWatch Notification (Irving Oil)</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such as CCAA is added, so the same class of filing is not missed twice</t>
        </is>
      </c>
      <c r="N109" s="33" t="inlineStr">
        <is>
          <t>Yes</t>
        </is>
      </c>
      <c r="O109"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9" s="33" t="n"/>
      <c r="Q109" s="33" t="inlineStr">
        <is>
          <t>Yes</t>
        </is>
      </c>
      <c r="R109" s="39" t="n">
        <v>9</v>
      </c>
      <c r="S109" s="39" t="n"/>
      <c r="T109" s="35" t="inlineStr">
        <is>
          <t>Sep 2026</t>
        </is>
      </c>
      <c r="U109" s="33" t="inlineStr">
        <is>
          <t>Medium</t>
        </is>
      </c>
      <c r="V109" s="33" t="inlineStr">
        <is>
          <t>Dynamic Source Discovery</t>
        </is>
      </c>
      <c r="W109" s="33" t="inlineStr">
        <is>
          <t>EAO-41</t>
        </is>
      </c>
      <c r="X109"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9" s="33" t="inlineStr">
        <is>
          <t>Product &amp; Platform</t>
        </is>
      </c>
      <c r="Z109" s="37" t="n">
        <v>46288</v>
      </c>
    </row>
    <row r="110">
      <c r="A110" s="35" t="n">
        <v>46266</v>
      </c>
      <c r="B110" s="37" t="n">
        <v>46281</v>
      </c>
      <c r="C110" s="33" t="inlineStr">
        <is>
          <t>Bankruptcy</t>
        </is>
      </c>
      <c r="D110" s="33" t="inlineStr">
        <is>
          <t>Eaton</t>
        </is>
      </c>
      <c r="E110" s="39" t="n">
        <v>1</v>
      </c>
      <c r="F110" s="33" t="inlineStr">
        <is>
          <t>Pollmann Austria GmbH Insolvency – No EventWatch Notification (Eaton)</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is added, so the same class of filing is not missed twice</t>
        </is>
      </c>
      <c r="N110" s="33" t="inlineStr">
        <is>
          <t>Yes</t>
        </is>
      </c>
      <c r="O110"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0" s="33" t="inlineStr">
        <is>
          <t>15 days (01-Sep proceedings - 15-Sep escalation, never published)</t>
        </is>
      </c>
      <c r="Q110" s="33" t="inlineStr">
        <is>
          <t>Yes</t>
        </is>
      </c>
      <c r="R110" s="39" t="n">
        <v>9</v>
      </c>
      <c r="S110" s="39" t="n"/>
      <c r="T110" s="35" t="inlineStr">
        <is>
          <t>Sep 2026</t>
        </is>
      </c>
      <c r="U110" s="33" t="inlineStr">
        <is>
          <t>Medium</t>
        </is>
      </c>
      <c r="V110" s="33" t="inlineStr">
        <is>
          <t>Dynamic Source Discovery</t>
        </is>
      </c>
      <c r="W110" s="33" t="inlineStr">
        <is>
          <t>EAO-42</t>
        </is>
      </c>
      <c r="X110"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0" s="33" t="inlineStr">
        <is>
          <t>Product &amp; Platform</t>
        </is>
      </c>
      <c r="Z110" s="37" t="n">
        <v>46288</v>
      </c>
    </row>
    <row r="111">
      <c r="A111" s="35" t="n">
        <v>46266</v>
      </c>
      <c r="B111" s="37" t="n">
        <v>46281</v>
      </c>
      <c r="C111" s="33" t="inlineStr">
        <is>
          <t>Cyber Attack</t>
        </is>
      </c>
      <c r="D111" s="33" t="inlineStr">
        <is>
          <t>General Mills</t>
        </is>
      </c>
      <c r="E111" s="39" t="n">
        <v>1</v>
      </c>
      <c r="F111" s="33" t="inlineStr">
        <is>
          <t>ADM Data Breach Exposes Personal Data - No WarRoom Created (General Mills)</t>
        </is>
      </c>
      <c r="G111" s="33" t="inlineStr">
        <is>
          <t>Complaint</t>
        </is>
      </c>
      <c r="H111" s="33" t="inlineStr">
        <is>
          <t>Missed Event</t>
        </is>
      </c>
      <c r="I111" s="33" t="inlineStr">
        <is>
          <t>Product</t>
        </is>
      </c>
      <c r="J111" s="33" t="inlineStr">
        <is>
          <t>Keyword Update</t>
        </is>
      </c>
      <c r="K111" s="33" t="inlineStr">
        <is>
          <t>Improvement</t>
        </is>
      </c>
      <c r="L111" s="33" t="inlineStr">
        <is>
          <t>Pending</t>
        </is>
      </c>
      <c r="M111" s="33" t="inlineStr">
        <is>
          <t>Keyword coverage for ransomware leak-site and data-breach reporting, so a claimed breach at a mapped supplier is matched when it is published rather than when a customer's own threat team circulates it</t>
        </is>
      </c>
      <c r="N111" s="33" t="inlineStr">
        <is>
          <t>Yes</t>
        </is>
      </c>
      <c r="O111"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t>
        </is>
      </c>
      <c r="P111" s="33" t="n"/>
      <c r="Q111" s="33" t="inlineStr">
        <is>
          <t>Yes</t>
        </is>
      </c>
      <c r="R111" s="39" t="n">
        <v>9</v>
      </c>
      <c r="S111" s="39" t="n"/>
      <c r="T111" s="35" t="inlineStr">
        <is>
          <t>Sep 2026</t>
        </is>
      </c>
      <c r="U111" s="33" t="inlineStr">
        <is>
          <t>Medium</t>
        </is>
      </c>
      <c r="V111" s="33" t="inlineStr">
        <is>
          <t>Dynamic Source Discovery</t>
        </is>
      </c>
      <c r="W111" s="33" t="inlineStr">
        <is>
          <t>EAO-51</t>
        </is>
      </c>
      <c r="X111" s="33" t="inlineStr">
        <is>
          <t>Four articles were raised with monitoring. Engineering traced one of them (undercodenews) and found it had been captured and linked to an existing cluster (cyber_attack_dt_20260915155539357_not.impactful._) which was later marked as not impactful; the other three are not accounted for. The owner reads the overall miss as a keyword gap, and Nitin has asked Ankit to confirm. Not a source-coverage gap - the row carried that reading before the investigation reported, and it is corrected here. Under investigation: no agreed RCA yet.</t>
        </is>
      </c>
      <c r="Y111" s="33" t="inlineStr">
        <is>
          <t>Product &amp; Platform</t>
        </is>
      </c>
      <c r="Z111" s="37" t="n"/>
    </row>
    <row r="112">
      <c r="A112" s="35" t="n">
        <v>46266</v>
      </c>
      <c r="B112" s="37" t="n">
        <v>46283</v>
      </c>
      <c r="C112" s="33" t="inlineStr">
        <is>
          <t>Merger &amp; Acquisition</t>
        </is>
      </c>
      <c r="D112" s="33" t="inlineStr">
        <is>
          <t>Eaton</t>
        </is>
      </c>
      <c r="E112" s="39" t="n">
        <v>1</v>
      </c>
      <c r="F112" s="33" t="inlineStr">
        <is>
          <t>Clarification on Impact Confirmation Requests for Supplier Acquisitions (Eaton)</t>
        </is>
      </c>
      <c r="G112" s="33" t="inlineStr">
        <is>
          <t>Inquiry</t>
        </is>
      </c>
      <c r="H112" s="33" t="inlineStr">
        <is>
          <t>Monitoring Strategy RFI</t>
        </is>
      </c>
      <c r="I112" s="33" t="inlineStr">
        <is>
          <t>Process</t>
        </is>
      </c>
      <c r="J112" s="33" t="inlineStr">
        <is>
          <t>Process Clarification</t>
        </is>
      </c>
      <c r="K112" s="33" t="inlineStr">
        <is>
          <t>Improvement</t>
        </is>
      </c>
      <c r="L112" s="33" t="inlineStr">
        <is>
          <t>Clarification Provided</t>
        </is>
      </c>
      <c r="M112" s="33" t="inlineStr">
        <is>
          <t>Publish the M&amp;A impact-confirmation trigger criteria in-product, so the rationale for an acquiring-side outreach is visible on the request itself instead of being explained per account after the fact</t>
        </is>
      </c>
      <c r="N112" s="33" t="inlineStr">
        <is>
          <t>No</t>
        </is>
      </c>
      <c r="O112"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2" s="33" t="n"/>
      <c r="Q112" s="33" t="inlineStr">
        <is>
          <t>No</t>
        </is>
      </c>
      <c r="R112" s="39" t="n">
        <v>9</v>
      </c>
      <c r="S112" s="39" t="n"/>
      <c r="T112" s="35" t="inlineStr">
        <is>
          <t>Sep 2026</t>
        </is>
      </c>
      <c r="U112" s="33" t="inlineStr">
        <is>
          <t>Low</t>
        </is>
      </c>
      <c r="V112" s="33" t="inlineStr">
        <is>
          <t>WarRoom &amp; Decision Validation</t>
        </is>
      </c>
      <c r="W112" s="33" t="inlineStr">
        <is>
          <t>EAO-43</t>
        </is>
      </c>
      <c r="X112"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2" s="33" t="inlineStr">
        <is>
          <t>EventWatch Ops - Nitin Rindhe</t>
        </is>
      </c>
      <c r="Z112" s="37" t="n"/>
    </row>
    <row r="113">
      <c r="A113" s="35" t="n">
        <v>46266</v>
      </c>
      <c r="B113" s="37" t="n">
        <v>46289</v>
      </c>
      <c r="C113" s="33" t="inlineStr">
        <is>
          <t>Bankruptcy</t>
        </is>
      </c>
      <c r="D113" s="33" t="inlineStr">
        <is>
          <t>Eaton</t>
        </is>
      </c>
      <c r="E113" s="39" t="n">
        <v>1</v>
      </c>
      <c r="F113" s="33" t="inlineStr">
        <is>
          <t>UPG Enterprises Chapter 11 Mapped to Mapes &amp; Sprowl - Mapping and Severity Queried (Eaton)</t>
        </is>
      </c>
      <c r="G113" s="33" t="inlineStr">
        <is>
          <t>Inquiry</t>
        </is>
      </c>
      <c r="H113" s="33" t="inlineStr">
        <is>
          <t>Wrong Relevancy</t>
        </is>
      </c>
      <c r="I113" s="33" t="inlineStr">
        <is>
          <t>Product</t>
        </is>
      </c>
      <c r="J113" s="33" t="inlineStr">
        <is>
          <t>Mapping</t>
        </is>
      </c>
      <c r="K113" s="33" t="inlineStr">
        <is>
          <t>Improvement</t>
        </is>
      </c>
      <c r="L113" s="33" t="inlineStr">
        <is>
          <t>Clarification Provided</t>
        </is>
      </c>
      <c r="M113" s="33" t="inlineStr">
        <is>
          <t>Scope check on parent-subsidiary linkage for insolvency filings, so a WarRoom is not raised against a subsidiary the filing text explicitly excludes, plus a recorded basis for the severity grade</t>
        </is>
      </c>
      <c r="N113" s="33" t="inlineStr">
        <is>
          <t>No</t>
        </is>
      </c>
      <c r="O113"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3" s="33" t="n"/>
      <c r="Q113" s="33" t="inlineStr">
        <is>
          <t>No</t>
        </is>
      </c>
      <c r="R113" s="39" t="n">
        <v>9</v>
      </c>
      <c r="S113" s="39" t="n"/>
      <c r="T113" s="35" t="inlineStr">
        <is>
          <t>Sep 2026</t>
        </is>
      </c>
      <c r="U113" s="33" t="inlineStr">
        <is>
          <t>Medium</t>
        </is>
      </c>
      <c r="V113" s="33" t="inlineStr">
        <is>
          <t>Entity &amp; Supplier Resolution</t>
        </is>
      </c>
      <c r="W113" s="33" t="inlineStr">
        <is>
          <t>EAO-44</t>
        </is>
      </c>
      <c r="X113"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3" s="33" t="inlineStr">
        <is>
          <t>Product &amp; Platform</t>
        </is>
      </c>
      <c r="Z113" s="37" t="n"/>
    </row>
    <row r="114">
      <c r="A114" s="35" t="n">
        <v>46266</v>
      </c>
      <c r="B114" s="37" t="n">
        <v>46289</v>
      </c>
      <c r="C114" s="33" t="inlineStr">
        <is>
          <t>Factory Fire</t>
        </is>
      </c>
      <c r="D114" s="33" t="inlineStr">
        <is>
          <t>Ford</t>
        </is>
      </c>
      <c r="E114" s="39" t="n">
        <v>1</v>
      </c>
      <c r="F114" s="33" t="inlineStr">
        <is>
          <t>Purflux Group Filter Systems Maroc Facility Fire - 10-11 Day Alert Delay (Ford)</t>
        </is>
      </c>
      <c r="G114" s="33" t="inlineStr">
        <is>
          <t>Complaint</t>
        </is>
      </c>
      <c r="H114" s="33" t="inlineStr">
        <is>
          <t>Delayed Event</t>
        </is>
      </c>
      <c r="I114" s="33" t="inlineStr">
        <is>
          <t>Product</t>
        </is>
      </c>
      <c r="J114" s="33" t="inlineStr">
        <is>
          <t>Source Coverage</t>
        </is>
      </c>
      <c r="K114" s="33" t="inlineStr">
        <is>
          <t>Improvement</t>
        </is>
      </c>
      <c r="L114" s="33" t="inlineStr">
        <is>
          <t>RCA Shared</t>
        </is>
      </c>
      <c r="M114" s="33" t="inlineStr">
        <is>
          <t>Latency monitoring on the gap between an incident's first public report and EventWatch publication, so a multi-day lag on a Tier-1 manufacturing site raises an internal alarm instead of waiting for the customer to notice</t>
        </is>
      </c>
      <c r="N114" s="33" t="inlineStr">
        <is>
          <t>Yes</t>
        </is>
      </c>
      <c r="O114"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4" s="33" t="inlineStr">
        <is>
          <t>~10-11 days (event 11/12-Sep-2026 -&gt; published 22-Sep-2026)</t>
        </is>
      </c>
      <c r="Q114" s="33" t="inlineStr">
        <is>
          <t>Yes</t>
        </is>
      </c>
      <c r="R114" s="39" t="n">
        <v>9</v>
      </c>
      <c r="S114" s="39" t="n">
        <v>252</v>
      </c>
      <c r="T114" s="35" t="inlineStr">
        <is>
          <t>Sep 2026</t>
        </is>
      </c>
      <c r="U114" s="33" t="inlineStr">
        <is>
          <t>High</t>
        </is>
      </c>
      <c r="V114" s="33" t="inlineStr">
        <is>
          <t>Dynamic Source Discovery</t>
        </is>
      </c>
      <c r="W114" s="33" t="inlineStr">
        <is>
          <t>EAO-45</t>
        </is>
      </c>
      <c r="X114"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4" s="33" t="inlineStr">
        <is>
          <t>Product &amp; Platform</t>
        </is>
      </c>
      <c r="Z114" s="37" t="n"/>
    </row>
    <row r="115">
      <c r="A115" s="35" t="n">
        <v>46266</v>
      </c>
      <c r="B115" s="37" t="n">
        <v>46293</v>
      </c>
      <c r="C115" s="33" t="inlineStr">
        <is>
          <t>Legal Action</t>
        </is>
      </c>
      <c r="D115" s="33" t="inlineStr">
        <is>
          <t>Eaton</t>
        </is>
      </c>
      <c r="E115" s="39" t="n">
        <v>1</v>
      </c>
      <c r="F115" s="33" t="inlineStr">
        <is>
          <t>USITC DRAM Patent Investigation - Duplicate WarRooms Published for One Event (Eaton)</t>
        </is>
      </c>
      <c r="G115" s="33" t="inlineStr">
        <is>
          <t>Complaint</t>
        </is>
      </c>
      <c r="H115" s="33" t="inlineStr">
        <is>
          <t>Duplicate WarRooms</t>
        </is>
      </c>
      <c r="I115" s="33" t="inlineStr">
        <is>
          <t>People</t>
        </is>
      </c>
      <c r="J115" s="33" t="inlineStr">
        <is>
          <t>Duplication</t>
        </is>
      </c>
      <c r="K115" s="33" t="inlineStr">
        <is>
          <t>Improvement</t>
        </is>
      </c>
      <c r="L115" s="33" t="inlineStr">
        <is>
          <t>Fixed</t>
        </is>
      </c>
      <c r="M115"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5" s="33" t="inlineStr">
        <is>
          <t>Yes</t>
        </is>
      </c>
      <c r="O115"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5" s="33" t="n"/>
      <c r="Q115" s="33" t="inlineStr">
        <is>
          <t>No</t>
        </is>
      </c>
      <c r="R115" s="39" t="n">
        <v>9</v>
      </c>
      <c r="S115" s="39" t="n"/>
      <c r="T115" s="35" t="inlineStr">
        <is>
          <t>Sep 2026</t>
        </is>
      </c>
      <c r="U115" s="33" t="inlineStr">
        <is>
          <t>Medium</t>
        </is>
      </c>
      <c r="V115" s="33" t="inlineStr">
        <is>
          <t>Cluster Integrity &amp; Duplicate Prevention</t>
        </is>
      </c>
      <c r="W115" s="33" t="inlineStr">
        <is>
          <t>EAO-46</t>
        </is>
      </c>
      <c r="X115"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5" s="33" t="inlineStr">
        <is>
          <t>EventWatch Ops - Nitin Rindhe</t>
        </is>
      </c>
      <c r="Z115" s="37" t="n"/>
    </row>
    <row r="116">
      <c r="A116" s="35" t="n">
        <v>46266</v>
      </c>
      <c r="B116" s="37" t="n">
        <v>46293</v>
      </c>
      <c r="C116" s="33" t="inlineStr">
        <is>
          <t>Financial Distress</t>
        </is>
      </c>
      <c r="D116" s="33" t="inlineStr">
        <is>
          <t>Western Digital</t>
        </is>
      </c>
      <c r="E116" s="39" t="n">
        <v>1</v>
      </c>
      <c r="F116" s="33" t="inlineStr">
        <is>
          <t>Nidec Reported 1tn Yen Impairment and CEO Dismissal - No EventWatch Event Created (Western Digital)</t>
        </is>
      </c>
      <c r="G116" s="33" t="inlineStr">
        <is>
          <t>Inquiry</t>
        </is>
      </c>
      <c r="H116" s="33" t="inlineStr">
        <is>
          <t>Wrong Relevancy</t>
        </is>
      </c>
      <c r="I116" s="33" t="inlineStr">
        <is>
          <t>People</t>
        </is>
      </c>
      <c r="J116" s="33" t="inlineStr">
        <is>
          <t>Review</t>
        </is>
      </c>
      <c r="K116" s="33" t="inlineStr">
        <is>
          <t>Improvement</t>
        </is>
      </c>
      <c r="L116" s="33" t="inlineStr">
        <is>
          <t>Clarification Provided</t>
        </is>
      </c>
      <c r="M116" s="33" t="inlineStr">
        <is>
          <t>A mapped-partner check at the point an analyst marks an event Not Impactful, so an event touching a customer's own mapped supplier cannot be closed out of their feed without that being surfaced to the reviewer</t>
        </is>
      </c>
      <c r="N116" s="33" t="inlineStr">
        <is>
          <t>Yes</t>
        </is>
      </c>
      <c r="O116"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6" s="33" t="n"/>
      <c r="Q116" s="33" t="inlineStr">
        <is>
          <t>No</t>
        </is>
      </c>
      <c r="R116" s="39" t="n">
        <v>9</v>
      </c>
      <c r="S116" s="39" t="n"/>
      <c r="T116" s="35" t="inlineStr">
        <is>
          <t>Sep 2026</t>
        </is>
      </c>
      <c r="U116" s="33" t="inlineStr">
        <is>
          <t>Medium</t>
        </is>
      </c>
      <c r="V116" s="33" t="inlineStr">
        <is>
          <t>WarRoom &amp; Decision Validation</t>
        </is>
      </c>
      <c r="W116" s="33" t="inlineStr">
        <is>
          <t>EAO-47</t>
        </is>
      </c>
      <c r="X116"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6" s="33" t="inlineStr">
        <is>
          <t>EventWatch Ops - Nitin Rindhe</t>
        </is>
      </c>
      <c r="Z116" s="37" t="n"/>
    </row>
    <row r="117">
      <c r="A117" s="35" t="n">
        <v>46266</v>
      </c>
      <c r="B117" s="37" t="n">
        <v>46293</v>
      </c>
      <c r="C117" s="33" t="inlineStr">
        <is>
          <t>Port Disruption</t>
        </is>
      </c>
      <c r="D117" s="33" t="inlineStr">
        <is>
          <t>Ford</t>
        </is>
      </c>
      <c r="E117" s="39" t="n">
        <v>1</v>
      </c>
      <c r="F117" s="33" t="inlineStr">
        <is>
          <t>South Africa Port and Corridor Congestion - EWC Cargo Movement Update Not Flagged (Ford)</t>
        </is>
      </c>
      <c r="G117" s="33" t="inlineStr">
        <is>
          <t>Complaint</t>
        </is>
      </c>
      <c r="H117" s="33" t="inlineStr">
        <is>
          <t>Missed Event</t>
        </is>
      </c>
      <c r="I117" s="33" t="inlineStr">
        <is>
          <t>People</t>
        </is>
      </c>
      <c r="J117" s="33" t="inlineStr">
        <is>
          <t>Review</t>
        </is>
      </c>
      <c r="K117" s="33" t="inlineStr">
        <is>
          <t>Improvement</t>
        </is>
      </c>
      <c r="L117" s="33" t="inlineStr">
        <is>
          <t>RCA Shared</t>
        </is>
      </c>
      <c r="M117" s="33" t="inlineStr">
        <is>
          <t>Not Impactful decision validation for port and corridor congestion, so a multi-day vessel waiting or berthing delay reported by a regional logistics body is escalated for a second review rather than closed at editorial review</t>
        </is>
      </c>
      <c r="N117" s="33" t="inlineStr">
        <is>
          <t>Yes</t>
        </is>
      </c>
      <c r="O117"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7" s="33" t="n"/>
      <c r="Q117" s="33" t="inlineStr">
        <is>
          <t>Yes</t>
        </is>
      </c>
      <c r="R117" s="39" t="n">
        <v>9</v>
      </c>
      <c r="S117" s="39" t="n"/>
      <c r="T117" s="35" t="inlineStr">
        <is>
          <t>Sep 2026</t>
        </is>
      </c>
      <c r="U117" s="33" t="inlineStr">
        <is>
          <t>High</t>
        </is>
      </c>
      <c r="V117" s="33" t="inlineStr">
        <is>
          <t>WarRoom &amp; Decision Validation</t>
        </is>
      </c>
      <c r="W117" s="33" t="inlineStr">
        <is>
          <t>EAO-48</t>
        </is>
      </c>
      <c r="X117" s="33" t="inlineStr">
        <is>
          <t>RCA reviewed internally on 05-Oct-2026 and shared with the customer as a PDF attached to EAO-48; the document text is not in the ticket. Closed 07-Oct-2026 with no follow-up received.</t>
        </is>
      </c>
      <c r="Y117" s="33" t="inlineStr">
        <is>
          <t>EventWatch Ops - Nitin Rindhe</t>
        </is>
      </c>
      <c r="Z117" s="37" t="n">
        <v>46302</v>
      </c>
    </row>
    <row r="118">
      <c r="A118" s="35" t="n">
        <v>46266</v>
      </c>
      <c r="B118" s="37" t="n">
        <v>46295</v>
      </c>
      <c r="C118" s="33" t="inlineStr">
        <is>
          <t>Extreme Weather</t>
        </is>
      </c>
      <c r="D118" s="33" t="inlineStr">
        <is>
          <t>META</t>
        </is>
      </c>
      <c r="E118" s="39" t="n">
        <v>1</v>
      </c>
      <c r="F118" s="33" t="inlineStr">
        <is>
          <t>Disaster Zone Declared in Bangkok, Thailand, Following Widespread Flooding</t>
        </is>
      </c>
      <c r="G118" s="33" t="inlineStr">
        <is>
          <t>Complaint</t>
        </is>
      </c>
      <c r="H118" s="33" t="inlineStr">
        <is>
          <t>Impacted Supplier Missing</t>
        </is>
      </c>
      <c r="I118" s="33" t="inlineStr">
        <is>
          <t>People</t>
        </is>
      </c>
      <c r="J118" s="33" t="inlineStr">
        <is>
          <t>Mapping</t>
        </is>
      </c>
      <c r="K118" s="33" t="inlineStr">
        <is>
          <t>Improvement</t>
        </is>
      </c>
      <c r="L118" s="33" t="inlineStr">
        <is>
          <t>Pending</t>
        </is>
      </c>
      <c r="M118"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8" s="33" t="inlineStr">
        <is>
          <t>Yes</t>
        </is>
      </c>
      <c r="O118"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8" s="33" t="n"/>
      <c r="Q118" s="33" t="inlineStr">
        <is>
          <t>No</t>
        </is>
      </c>
      <c r="R118" s="39" t="n">
        <v>9</v>
      </c>
      <c r="S118" s="39" t="n"/>
      <c r="T118" s="35" t="inlineStr">
        <is>
          <t>Sep 2026</t>
        </is>
      </c>
      <c r="U118" s="33" t="inlineStr">
        <is>
          <t>Medium</t>
        </is>
      </c>
      <c r="V118" s="33" t="inlineStr">
        <is>
          <t>Entity &amp; Supplier Resolution</t>
        </is>
      </c>
      <c r="W118" s="33" t="inlineStr">
        <is>
          <t>EAO-49</t>
        </is>
      </c>
      <c r="X118" s="33" t="n"/>
      <c r="Y118" s="33" t="inlineStr">
        <is>
          <t>EventWatch Ops - Nitin Rindhe</t>
        </is>
      </c>
      <c r="Z118" s="37" t="n"/>
    </row>
    <row r="119">
      <c r="A119" s="35" t="n">
        <v>46296</v>
      </c>
      <c r="B119" s="37" t="n">
        <v>46296</v>
      </c>
      <c r="C119" s="33" t="inlineStr">
        <is>
          <t>Labor Disruption</t>
        </is>
      </c>
      <c r="D119" s="33" t="inlineStr">
        <is>
          <t>Ford</t>
        </is>
      </c>
      <c r="E119" s="39" t="n">
        <v>1</v>
      </c>
      <c r="F119" s="33" t="inlineStr">
        <is>
          <t>Planned Strike at AGC Display Glass, Yunlin County, Taiwan (5 Oct 2026) Not Reported (Ford)</t>
        </is>
      </c>
      <c r="G119" s="33" t="inlineStr">
        <is>
          <t>Complaint</t>
        </is>
      </c>
      <c r="H119" s="33" t="inlineStr">
        <is>
          <t>Missed Event</t>
        </is>
      </c>
      <c r="I119" s="33" t="inlineStr">
        <is>
          <t>People</t>
        </is>
      </c>
      <c r="J119" s="33" t="inlineStr">
        <is>
          <t>Review</t>
        </is>
      </c>
      <c r="K119" s="33" t="inlineStr">
        <is>
          <t>Improvement</t>
        </is>
      </c>
      <c r="L119" s="33" t="inlineStr">
        <is>
          <t>Pending</t>
        </is>
      </c>
      <c r="M119" s="33" t="inlineStr">
        <is>
          <t>Not Impactful decision validation for planned labour actions, so a strike carrying a published start date is escalated for a second review rather than closed at editorial review</t>
        </is>
      </c>
      <c r="N119" s="33" t="inlineStr">
        <is>
          <t>Yes</t>
        </is>
      </c>
      <c r="O119"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19" s="33" t="n"/>
      <c r="Q119" s="33" t="inlineStr">
        <is>
          <t>Yes</t>
        </is>
      </c>
      <c r="R119" s="39" t="n">
        <v>10</v>
      </c>
      <c r="S119" s="39" t="n"/>
      <c r="T119" s="35" t="inlineStr">
        <is>
          <t>Oct 2026</t>
        </is>
      </c>
      <c r="U119" s="33" t="inlineStr">
        <is>
          <t>Medium</t>
        </is>
      </c>
      <c r="V119" s="33" t="inlineStr">
        <is>
          <t>WarRoom &amp; Decision Validation</t>
        </is>
      </c>
      <c r="W119" s="33" t="inlineStr">
        <is>
          <t>EAO-50</t>
        </is>
      </c>
      <c r="X119"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19" s="33" t="inlineStr">
        <is>
          <t>EventWatch Ops - Nitin Rindhe</t>
        </is>
      </c>
      <c r="Z119" s="37" t="n"/>
    </row>
    <row r="120">
      <c r="A120" s="35" t="n">
        <v>46296</v>
      </c>
      <c r="B120" s="37" t="n">
        <v>46303</v>
      </c>
      <c r="C120" s="33" t="inlineStr">
        <is>
          <t>Power Outage</t>
        </is>
      </c>
      <c r="D120" s="33" t="inlineStr">
        <is>
          <t>General Mills</t>
        </is>
      </c>
      <c r="E120" s="39" t="n">
        <v>1</v>
      </c>
      <c r="F120" s="33" t="inlineStr">
        <is>
          <t>Carlisle, Iowa Municipal Water Disruption – No WarRoom Created (General Mills)</t>
        </is>
      </c>
      <c r="G120" s="33" t="inlineStr">
        <is>
          <t>Complaint</t>
        </is>
      </c>
      <c r="H120" s="33" t="inlineStr">
        <is>
          <t>Missed WarRoom</t>
        </is>
      </c>
      <c r="I120" s="33" t="inlineStr">
        <is>
          <t>Product</t>
        </is>
      </c>
      <c r="J120" s="33" t="inlineStr">
        <is>
          <t>Keyword Update</t>
        </is>
      </c>
      <c r="K120" s="33" t="inlineStr">
        <is>
          <t>Improvement</t>
        </is>
      </c>
      <c r="L120" s="33" t="inlineStr">
        <is>
          <t>Pending</t>
        </is>
      </c>
      <c r="M120" s="33" t="inlineStr">
        <is>
          <t>Keyword coverage for municipal utility disruptions and do-not-use-water orders, so a named-locality utility failure is matched against mapped customer sites rather than passing the algorithm unrecognised</t>
        </is>
      </c>
      <c r="N120" s="33" t="inlineStr">
        <is>
          <t>Yes</t>
        </is>
      </c>
      <c r="O120"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Under investigation: no RCA yet, and the Sub-type is a staging guess - source coverage, geofencing and WarRoom creation are all still open.</t>
        </is>
      </c>
      <c r="P120" s="33" t="n"/>
      <c r="Q120" s="33" t="inlineStr">
        <is>
          <t>Yes</t>
        </is>
      </c>
      <c r="R120" s="39" t="n">
        <v>10</v>
      </c>
      <c r="S120" s="39" t="n"/>
      <c r="T120" s="35" t="inlineStr">
        <is>
          <t>Oct 2026</t>
        </is>
      </c>
      <c r="U120" s="33" t="inlineStr">
        <is>
          <t>Medium</t>
        </is>
      </c>
      <c r="V120" s="33" t="inlineStr">
        <is>
          <t>Dynamic Source Discovery</t>
        </is>
      </c>
      <c r="W120" s="33" t="inlineStr">
        <is>
          <t>EAO-52</t>
        </is>
      </c>
      <c r="X120"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0" s="33" t="inlineStr">
        <is>
          <t>Product &amp; Platform</t>
        </is>
      </c>
      <c r="Z120" s="37" t="n"/>
    </row>
    <row r="121">
      <c r="A121" s="35" t="n">
        <v>46296</v>
      </c>
      <c r="B121" s="37" t="n">
        <v>46307</v>
      </c>
      <c r="C121" s="33" t="inlineStr">
        <is>
          <t>Bankruptcy</t>
        </is>
      </c>
      <c r="D121" s="33" t="inlineStr">
        <is>
          <t>Ford</t>
        </is>
      </c>
      <c r="E121" s="39" t="n">
        <v>1</v>
      </c>
      <c r="F121" s="33" t="inlineStr">
        <is>
          <t>BER Automotive Bankruptcy, Bursa Türkiye – No EventWatch Alert (Ford)</t>
        </is>
      </c>
      <c r="G121" s="33" t="inlineStr">
        <is>
          <t>Complaint</t>
        </is>
      </c>
      <c r="H121" s="33" t="inlineStr">
        <is>
          <t>Missed insolvency alert</t>
        </is>
      </c>
      <c r="I121" s="33" t="inlineStr">
        <is>
          <t>Product</t>
        </is>
      </c>
      <c r="J121" s="33" t="inlineStr">
        <is>
          <t>Keyword Update</t>
        </is>
      </c>
      <c r="K121" s="33" t="inlineStr">
        <is>
          <t>Improvement</t>
        </is>
      </c>
      <c r="L121" s="33" t="inlineStr">
        <is>
          <t>Pending</t>
        </is>
      </c>
      <c r="M121" s="33" t="inlineStr">
        <is>
          <t>Keyword coverage for bankruptcy, insolvency and fraud proceedings in Türkiye's automotive manufacturing cluster, so a filing at a sub-tier supplier is matched when it is published rather than when the customer raises it</t>
        </is>
      </c>
      <c r="N121" s="33" t="inlineStr">
        <is>
          <t>Yes</t>
        </is>
      </c>
      <c r="O121"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only cited source is a Turkish-language report of alleged billion-lira fraud in the Bursa automotive sector, offered as customer evidence rather than verified fact. The ticket asks for an RCA plus interim and permanent corrective actions. Under investigation: no RCA yet, and the Sub-type is a staging guess - source coverage and a keyword gap are both open, as EAO-52 has just shown.</t>
        </is>
      </c>
      <c r="P121" s="33" t="n"/>
      <c r="Q121" s="33" t="inlineStr">
        <is>
          <t>Yes</t>
        </is>
      </c>
      <c r="R121" s="39" t="n">
        <v>10</v>
      </c>
      <c r="S121" s="39" t="n"/>
      <c r="T121" s="35" t="inlineStr">
        <is>
          <t>Oct 2026</t>
        </is>
      </c>
      <c r="U121" s="33" t="inlineStr">
        <is>
          <t>High</t>
        </is>
      </c>
      <c r="V121" s="33" t="inlineStr">
        <is>
          <t>Dynamic Source Discovery</t>
        </is>
      </c>
      <c r="W121" s="33" t="inlineStr">
        <is>
          <t>EAO-53</t>
        </is>
      </c>
      <c r="X121" s="33" t="n"/>
      <c r="Y121" s="33" t="inlineStr">
        <is>
          <t>Product &amp; Platform</t>
        </is>
      </c>
      <c r="Z121"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36</v>
      </c>
      <c r="C67" s="23" t="n" cm="1">
        <f t="array" ref="C67:C76">_xlfn.ANCHORARRAY(B67)/COUNTIF(ComplaintTracker[Issue Type],"Complaint")</f>
        <v>0.36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14</v>
      </c>
      <c r="K67" s="75" t="n">
        <v>1</v>
      </c>
      <c r="L67" s="75" t="n">
        <v>15</v>
      </c>
    </row>
    <row r="68" ht="23.25" customHeight="1">
      <c r="A68" s="20" t="inlineStr">
        <is>
          <t>Eaton</t>
        </is>
      </c>
      <c r="B68" s="22" t="n">
        <v>13</v>
      </c>
      <c r="C68" s="24" t="n">
        <v>0.13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General Mills</t>
        </is>
      </c>
      <c r="B73" s="22" t="n">
        <v>2</v>
      </c>
      <c r="C73" s="24" t="n">
        <v>0.02</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META</t>
        </is>
      </c>
      <c r="B74" s="22" t="n">
        <v>2</v>
      </c>
      <c r="C74" s="24" t="n">
        <v>0.02</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Merck</t>
        </is>
      </c>
      <c r="B75" s="22" t="n">
        <v>2</v>
      </c>
      <c r="C75" s="24" t="n">
        <v>0.02</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Schneider Electric</t>
        </is>
      </c>
      <c r="B76" s="22" t="n">
        <v>2</v>
      </c>
      <c r="C76" s="24" t="n">
        <v>0.02</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6</v>
      </c>
      <c r="K79" s="76" t="n">
        <v>0</v>
      </c>
      <c r="L79" s="76" t="n">
        <v>6</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Legal Action</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2</v>
      </c>
      <c r="K85" s="76" t="n">
        <v>1</v>
      </c>
      <c r="L85" s="76" t="n">
        <v>3</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5</v>
      </c>
      <c r="K88" s="76" t="n">
        <v>3</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100</v>
      </c>
      <c r="K91" s="77" t="n">
        <v>20</v>
      </c>
      <c r="L91" s="77" t="n">
        <v>120</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