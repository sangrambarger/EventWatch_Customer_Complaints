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12</v>
                </pt>
                <pt idx="3">
                  <v>11</v>
                </pt>
                <pt idx="4">
                  <v>17</v>
                </pt>
                <pt idx="5">
                  <v>9</v>
                </pt>
                <pt idx="6">
                  <v>7</v>
                </pt>
                <pt idx="7">
                  <v>14</v>
                </pt>
                <pt idx="8">
                  <v>14</v>
                </pt>
                <pt idx="9">
                  <v>7</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2</v>
                </pt>
                <pt idx="3">
                  <v>2</v>
                </pt>
                <pt idx="4">
                  <v>2</v>
                </pt>
                <pt idx="5">
                  <v>3</v>
                </pt>
                <pt idx="6">
                  <v>4</v>
                </pt>
                <pt idx="7">
                  <v>4</v>
                </pt>
                <pt idx="8">
                  <v>4</v>
                </pt>
                <pt idx="9">
                  <v>2</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39</v>
                </pt>
                <pt idx="2">
                  <v>14</v>
                </pt>
                <pt idx="3">
                  <v>5</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109</v>
                </pt>
                <pt idx="3">
                  <v>12</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62</v>
                </pt>
                <pt idx="1">
                  <v>40</v>
                </pt>
                <pt idx="2">
                  <v>1</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Belden Inc</v>
                </pt>
                <pt idx="6">
                  <v>Ford/GM</v>
                </pt>
                <pt idx="7">
                  <v>General Mills</v>
                </pt>
                <pt idx="8">
                  <v>Irving Oil</v>
                </pt>
                <pt idx="9">
                  <v>META</v>
                </pt>
                <pt idx="10">
                  <v>Other customers</v>
                </pt>
              </strCache>
            </strRef>
          </cat>
          <val>
            <numRef>
              <f>Dashboard!$B$67:$B$77</f>
              <numCache>
                <formatCode>General</formatCode>
                <ptCount val="11"/>
                <pt idx="0">
                  <v>35</v>
                </pt>
                <pt idx="1">
                  <v>13</v>
                </pt>
                <pt idx="2">
                  <v>7</v>
                </pt>
                <pt idx="3">
                  <v>5</v>
                </pt>
                <pt idx="4">
                  <v>4</v>
                </pt>
                <pt idx="5">
                  <v>3</v>
                </pt>
                <pt idx="6">
                  <v>3</v>
                </pt>
                <pt idx="7">
                  <v>2</v>
                </pt>
                <pt idx="8">
                  <v>2</v>
                </pt>
                <pt idx="9">
                  <v>2</v>
                </pt>
                <pt idx="10">
                  <v>27</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Dashboard!$E$67:$E$76</f>
              <strCache>
                <ptCount val="10"/>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pt idx="9">
                  <v>Classification &amp; Impact Validation</v>
                </pt>
              </strCache>
            </strRef>
          </cat>
          <val>
            <numRef>
              <f>Dashboard!$F$67:$F$76</f>
              <numCache>
                <formatCode>General</formatCode>
                <ptCount val="10"/>
                <pt idx="0">
                  <v>32</v>
                </pt>
                <pt idx="1">
                  <v>35</v>
                </pt>
                <pt idx="2">
                  <v>5</v>
                </pt>
                <pt idx="3">
                  <v>5</v>
                </pt>
                <pt idx="4">
                  <v>9</v>
                </pt>
                <pt idx="5">
                  <v>3</v>
                </pt>
                <pt idx="6">
                  <v>3</v>
                </pt>
                <pt idx="7">
                  <v>2</v>
                </pt>
                <pt idx="8">
                  <v>8</v>
                </pt>
                <pt idx="9">
                  <v>1</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8"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66"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8"/>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People</t>
        </is>
      </c>
      <c r="J11" s="33" t="inlineStr">
        <is>
          <t>Event Identification</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 Settled by the owner: the bulletin was already published. The analyst selected the wrong event type and reviewer validation did not correct it. This is an analyst-understanding and classification complaint, not a missed bulletin, so Missed_Flag is No.</t>
        </is>
      </c>
      <c r="P11" s="33" t="n"/>
      <c r="Q11" s="33" t="inlineStr">
        <is>
          <t>No</t>
        </is>
      </c>
      <c r="R11" s="39" t="n">
        <v>2</v>
      </c>
      <c r="S11" s="39" t="n"/>
      <c r="T11" s="35" t="n">
        <v>46054</v>
      </c>
      <c r="U11" s="33" t="inlineStr">
        <is>
          <t>Medium</t>
        </is>
      </c>
      <c r="V11" s="33" t="inlineStr">
        <is>
          <t>WarRoom &amp; Decision Validation</t>
        </is>
      </c>
      <c r="X11" s="33" t="n"/>
      <c r="Y11" s="33" t="inlineStr">
        <is>
          <t>EventWatch Ops - Nitin Rindhe</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 / Routing Defect</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 Cross-Tenant Data Contamination.</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Inquiry</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Model Classification Defect</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 Settled by the owner: the Product model incorrectly classified the captured event as Not Impactful, and human review did not correct the classification. Filed under the model defect rather than Review, because the first wrong call was the model's.</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Inquiry</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 Settled by the owner: the claimed news was not available in the public domain, so EventWatch could not report it. No EventWatch failure was established, so this is an Inquiry and Missed_Flag is No. Kept under Process Clarification rather than adding a Scope or Threshold Clarification sub-type.</t>
        </is>
      </c>
      <c r="P24" s="33" t="n"/>
      <c r="Q24" s="33" t="inlineStr">
        <is>
          <t>No</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Analyst Review Miss</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 Blocked initial source.</t>
        </is>
      </c>
      <c r="P29" s="33" t="inlineStr">
        <is>
          <t>25 days</t>
        </is>
      </c>
      <c r="Q29" s="33" t="inlineStr">
        <is>
          <t>Yes</t>
        </is>
      </c>
      <c r="R29" s="39" t="n">
        <v>4</v>
      </c>
      <c r="S29" s="39" t="n">
        <v>600</v>
      </c>
      <c r="T29" s="35" t="n">
        <v>46113</v>
      </c>
      <c r="U29" s="33" t="inlineStr">
        <is>
          <t>Medium</t>
        </is>
      </c>
      <c r="V29" s="33" t="inlineStr">
        <is>
          <t>WarRoom &amp; Decision Validation</t>
        </is>
      </c>
      <c r="X29" s="33" t="inlineStr">
        <is>
          <t>The initial source associated with the Murata cyberattack was blocked. During review, the event was misclassified and was not escalated at the appropriate time, resulting in a missed WarRoom and delayed customer notification. The case was reviewed with the reporting team, validation requirements were reinforced, and additional focus was placed on cyber events and blocked-source scenarios. The primary root cause was an incorrect review and escalation decision; the blocked source was a contributing factor.</t>
        </is>
      </c>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People</t>
        </is>
      </c>
      <c r="J41" s="33" t="inlineStr">
        <is>
          <t>Published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inlineStr">
        <is>
          <t>The first public report was published on April 28, 2026, at 3:07 PM PST. EventWatch captured the report at 4:39 PM PST and correctly identified it as an event. The reporting team subsequently deprioritized the event despite indications of increasing severity, delaying escalation. Additional feeds received on April 29 prompted reassessment, and a WarRoom was created at 1:02 PM PST. The investigation concluded that this was an analysis and escalation lapse rather than a detection gap.</t>
        </is>
      </c>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Inquiry</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Published Late</t>
        </is>
      </c>
      <c r="K56" s="33" t="inlineStr">
        <is>
          <t>Improvement</t>
        </is>
      </c>
      <c r="L56" s="33" t="inlineStr">
        <is>
          <t>Clarification Provided</t>
        </is>
      </c>
      <c r="M56" s="33" t="inlineStr">
        <is>
          <t>Escalation automation</t>
        </is>
      </c>
      <c r="N56" s="33" t="inlineStr">
        <is>
          <t>Yes</t>
        </is>
      </c>
      <c r="O56" s="33" t="inlineStr">
        <is>
          <t>The system successfully captured and classified the wildfire-related feeds on May 18, 2026. During analyst review, the event was placed under monitoring because early impact visibility was limited, and additional contextual validation was not performed. The event was reassessed after further updates on May 19 and escalated through WarRoom creation. Final classification: People - Published Late. Evidence Status: Confirmed RCA. The Sub-type remains Prioritization in this change set because Published Late is not yet an introduced value; it is recorded here as the final classification.</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Product</t>
        </is>
      </c>
      <c r="J57" s="33" t="inlineStr">
        <is>
          <t>Alerting Gap</t>
        </is>
      </c>
      <c r="K57" s="33" t="inlineStr">
        <is>
          <t>Bug</t>
        </is>
      </c>
      <c r="L57" s="33" t="inlineStr">
        <is>
          <t>RCA Shared</t>
        </is>
      </c>
      <c r="M57" s="33" t="inlineStr">
        <is>
          <t>Escalation automation</t>
        </is>
      </c>
      <c r="N57" s="33" t="inlineStr">
        <is>
          <t>Yes</t>
        </is>
      </c>
      <c r="O57" s="33" t="inlineStr">
        <is>
          <t>The EventWatch system successfully captured wildfire-related feeds on May 19, 2026. A feed-ingestion failure prevented the feeds from reaching the EventWatch portal and reporting workflow for analyst review and escalation. Additional updates on May 20 became available in the workflow, after which the event was reviewed and escalated through WarRoom creation. Alerting Gap Type: Captured Feed Not Surfaced to Analyst Workflow. Evidence Status: Confirmed. This is an Alerting Gap because analysts did not have usable workflow visibility before the customer-impacting delay. The fact that analysts reviewed the event after it became available does not change the originating root cause.</t>
        </is>
      </c>
      <c r="P57" s="33" t="inlineStr">
        <is>
          <t>~21 hours</t>
        </is>
      </c>
      <c r="Q57" s="33" t="inlineStr">
        <is>
          <t>Yes</t>
        </is>
      </c>
      <c r="R57" s="39" t="n">
        <v>5</v>
      </c>
      <c r="S57" s="39" t="n">
        <v>21</v>
      </c>
      <c r="T57" s="35" t="n">
        <v>46143</v>
      </c>
      <c r="U57" s="33" t="inlineStr">
        <is>
          <t>Medium</t>
        </is>
      </c>
      <c r="V57" s="33" t="inlineStr">
        <is>
          <t>Notification Visibility Monitoring</t>
        </is>
      </c>
      <c r="X57" s="33" t="n"/>
      <c r="Y57" s="33" t="inlineStr">
        <is>
          <t>Product &amp; Platform</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46143</v>
      </c>
      <c r="B60" s="37" t="n">
        <v>46170</v>
      </c>
      <c r="C60" s="33" t="inlineStr">
        <is>
          <t>Labor Disruption</t>
        </is>
      </c>
      <c r="D60" s="33" t="inlineStr">
        <is>
          <t>Collins Aerospace</t>
        </is>
      </c>
      <c r="E60" s="39" t="n">
        <v>1</v>
      </c>
      <c r="F60" s="33" t="inlineStr">
        <is>
          <t>Potential Strike Action at Thales Defence Facilities in Glasgow and Reading, UK</t>
        </is>
      </c>
      <c r="G60" s="33" t="inlineStr">
        <is>
          <t>Complaint</t>
        </is>
      </c>
      <c r="H60" s="33" t="inlineStr">
        <is>
          <t>Delayed WarRoom</t>
        </is>
      </c>
      <c r="I60" s="33" t="inlineStr">
        <is>
          <t>Product</t>
        </is>
      </c>
      <c r="J60" s="33" t="inlineStr">
        <is>
          <t>Alerting Gap</t>
        </is>
      </c>
      <c r="K60" s="33" t="inlineStr">
        <is>
          <t>Bug</t>
        </is>
      </c>
      <c r="L60" s="33" t="inlineStr">
        <is>
          <t>RCA Shared</t>
        </is>
      </c>
      <c r="M60" s="33" t="inlineStr">
        <is>
          <t>Feed-to-portal ingestion monitoring, so an upstream-identified feed that fails to enter the portal workflow is detected before the reporting and escalation queues go without it</t>
        </is>
      </c>
      <c r="N60" s="33" t="inlineStr">
        <is>
          <t>Yes</t>
        </is>
      </c>
      <c r="O60" s="33" t="inlineStr">
        <is>
          <t>Relevant labor-action feeds were identified upstream but were not ingested into the EventWatch portal workflow on May 26, 2026. The feeds therefore did not reach the reporting and escalation queues in time. The WarRoom was created on May 28, 2026. Internal validation confirmed an ingestion gap between feed capture and portal availability. Raised by Steven Brandt in the complaint thread on 28-May-2026; no Jira ticket was opened. Alerting Gap Type: Feed-to-Portal Ingestion Failure. Evidence Status: Confirmed.</t>
        </is>
      </c>
      <c r="P60" s="33" t="inlineStr">
        <is>
          <t>~2 days (26-May articles → 28-May WarRoom)</t>
        </is>
      </c>
      <c r="Q60" s="33" t="inlineStr">
        <is>
          <t>Yes</t>
        </is>
      </c>
      <c r="R60" s="39" t="n">
        <v>5</v>
      </c>
      <c r="S60" s="39" t="n"/>
      <c r="T60" s="35" t="inlineStr">
        <is>
          <t>May 2026</t>
        </is>
      </c>
      <c r="U60" s="33" t="inlineStr">
        <is>
          <t>Medium</t>
        </is>
      </c>
      <c r="V60" s="33" t="inlineStr">
        <is>
          <t>Notification Visibility Monitoring</t>
        </is>
      </c>
      <c r="W60" s="33" t="n"/>
      <c r="X60" s="33" t="inlineStr">
        <is>
          <t>The feeds were identified upstream but were not ingested into the EventWatch portal workflow, which prevented them from reaching the reporting and escalation queues in a timely manner. Internal review confirmed an ingestion gap between feed capture and portal availability.</t>
        </is>
      </c>
      <c r="Y60" s="33" t="inlineStr">
        <is>
          <t>Product &amp; Platform</t>
        </is>
      </c>
      <c r="Z60" s="37" t="n"/>
    </row>
    <row r="61">
      <c r="A61" s="35" t="n">
        <v>46174</v>
      </c>
      <c r="B61" s="37" t="n">
        <v>46176</v>
      </c>
      <c r="C61" s="33" t="inlineStr">
        <is>
          <t>Bankruptcy</t>
        </is>
      </c>
      <c r="D61" s="33" t="inlineStr">
        <is>
          <t>Ford</t>
        </is>
      </c>
      <c r="E61" s="39" t="n">
        <v>1</v>
      </c>
      <c r="F61" s="33" t="inlineStr">
        <is>
          <t>CROMTRYCK s.r.o. Insolvency (Czech Republic)</t>
        </is>
      </c>
      <c r="G61" s="33" t="inlineStr">
        <is>
          <t>Complaint</t>
        </is>
      </c>
      <c r="H61" s="33" t="inlineStr">
        <is>
          <t>Missed Event</t>
        </is>
      </c>
      <c r="I61" s="33" t="inlineStr">
        <is>
          <t>Product</t>
        </is>
      </c>
      <c r="J61" s="33" t="inlineStr">
        <is>
          <t>Source Coverage</t>
        </is>
      </c>
      <c r="K61" s="33" t="inlineStr">
        <is>
          <t>Improvement</t>
        </is>
      </c>
      <c r="L61" s="33" t="inlineStr">
        <is>
          <t>Fixed</t>
        </is>
      </c>
      <c r="M61" s="33" t="inlineStr">
        <is>
          <t>Dynamic Source Discovery</t>
        </is>
      </c>
      <c r="N61" s="33" t="inlineStr">
        <is>
          <t>Yes</t>
        </is>
      </c>
      <c r="O61" s="33" t="inlineStr">
        <is>
          <t>Missed insolvency event due to regional insolvency source coverage limitations and restricted/paywalled source visibility. Vendor source expansion requested.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46177</v>
      </c>
      <c r="C62" s="33" t="inlineStr">
        <is>
          <t>Protest/Riot</t>
        </is>
      </c>
      <c r="D62" s="34" t="inlineStr">
        <is>
          <t>Ford</t>
        </is>
      </c>
      <c r="E62" s="39" t="n">
        <v>1</v>
      </c>
      <c r="F62" s="33" t="inlineStr">
        <is>
          <t>ANTAC Transport Blockades in Mexico</t>
        </is>
      </c>
      <c r="G62" s="33" t="inlineStr">
        <is>
          <t>Complaint</t>
        </is>
      </c>
      <c r="H62" s="33" t="inlineStr">
        <is>
          <t>Missed Event</t>
        </is>
      </c>
      <c r="I62" s="33" t="inlineStr">
        <is>
          <t>Product</t>
        </is>
      </c>
      <c r="J62" s="33" t="inlineStr">
        <is>
          <t>Keyword Update</t>
        </is>
      </c>
      <c r="K62" s="33" t="inlineStr">
        <is>
          <t>Improvement</t>
        </is>
      </c>
      <c r="L62" s="33" t="inlineStr">
        <is>
          <t>RCA Shared</t>
        </is>
      </c>
      <c r="M62" s="33" t="inlineStr">
        <is>
          <t>Dynamic Source Discovery</t>
        </is>
      </c>
      <c r="N62" s="33" t="inlineStr">
        <is>
          <t>Yes</t>
        </is>
      </c>
      <c r="O62" s="33" t="inlineStr">
        <is>
          <t>RCA completed; keyword gap identified and corrective actions implemented. Spanish-language detection logic did not recognize transportation disruption and protest terminology. Relevant keywords were added.</t>
        </is>
      </c>
      <c r="P62" s="33" t="n"/>
      <c r="Q62" s="33" t="inlineStr">
        <is>
          <t>Yes</t>
        </is>
      </c>
      <c r="R62" s="39" t="n">
        <v>6</v>
      </c>
      <c r="S62" s="39" t="n"/>
      <c r="T62" s="35" t="n">
        <v>46174</v>
      </c>
      <c r="U62" s="33" t="inlineStr">
        <is>
          <t>Medium</t>
        </is>
      </c>
      <c r="V62" s="33" t="inlineStr">
        <is>
          <t>Multilingual Keyword Expansion</t>
        </is>
      </c>
      <c r="X62" s="33" t="n"/>
      <c r="Y62" s="33" t="inlineStr">
        <is>
          <t>Product &amp; Platform</t>
        </is>
      </c>
      <c r="Z62" s="37" t="n"/>
    </row>
    <row r="63">
      <c r="A63" s="35" t="n">
        <v>46174</v>
      </c>
      <c r="B63" s="37" t="n">
        <v>46178</v>
      </c>
      <c r="C63" s="33" t="inlineStr">
        <is>
          <t>Factory Disruption</t>
        </is>
      </c>
      <c r="D63" s="33" t="inlineStr">
        <is>
          <t>Eaton</t>
        </is>
      </c>
      <c r="E63" s="39" t="n">
        <v>1</v>
      </c>
      <c r="F63" s="33" t="inlineStr">
        <is>
          <t>Burnstein von Seelen Precision Casting Operational Disruption</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escalation model + Not Impactful override validation</t>
        </is>
      </c>
      <c r="N63" s="33" t="inlineStr">
        <is>
          <t>Yes</t>
        </is>
      </c>
      <c r="O63" s="33" t="inlineStr">
        <is>
          <t>RCA shared; analyst classified event as Not Impactful. Event was successfully received and reviewed but incorrectly classified and therefore not escalated.</t>
        </is>
      </c>
      <c r="P63" s="33" t="n"/>
      <c r="Q63" s="33" t="inlineStr">
        <is>
          <t>Yes</t>
        </is>
      </c>
      <c r="R63" s="39" t="n">
        <v>6</v>
      </c>
      <c r="S63" s="39" t="n"/>
      <c r="T63" s="35" t="n">
        <v>46174</v>
      </c>
      <c r="U63" s="33" t="inlineStr">
        <is>
          <t>Medium</t>
        </is>
      </c>
      <c r="V63" s="33" t="inlineStr">
        <is>
          <t>WarRoom &amp; Decision Validation</t>
        </is>
      </c>
      <c r="W63" s="33" t="inlineStr">
        <is>
          <t>EAO-1</t>
        </is>
      </c>
      <c r="X63"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3" s="33" t="inlineStr">
        <is>
          <t>EventWatch Ops - Nitin Rindhe</t>
        </is>
      </c>
      <c r="Z63" s="37" t="n">
        <v>46181</v>
      </c>
    </row>
    <row r="64">
      <c r="A64" s="35" t="n">
        <v>46174</v>
      </c>
      <c r="B64" s="37" t="n">
        <v>46183</v>
      </c>
      <c r="C64" s="33" t="inlineStr">
        <is>
          <t>Merger &amp; Acquisition</t>
        </is>
      </c>
      <c r="D64" s="33" t="inlineStr">
        <is>
          <t>Ford</t>
        </is>
      </c>
      <c r="E64" s="39" t="n">
        <v>1</v>
      </c>
      <c r="F64" s="33" t="inlineStr">
        <is>
          <t>Credit Suisse / UBS Acquisition Alert Missing from EventWatch News Dashboard (Ford)</t>
        </is>
      </c>
      <c r="G64" s="33" t="inlineStr">
        <is>
          <t>Complaint</t>
        </is>
      </c>
      <c r="H64" s="33" t="inlineStr">
        <is>
          <t>News dashboard visibility gap</t>
        </is>
      </c>
      <c r="I64" s="33" t="inlineStr">
        <is>
          <t>Product</t>
        </is>
      </c>
      <c r="J64" s="33" t="inlineStr">
        <is>
          <t>Visibility</t>
        </is>
      </c>
      <c r="K64" s="33" t="inlineStr">
        <is>
          <t>Improvement</t>
        </is>
      </c>
      <c r="L64" s="33" t="inlineStr">
        <is>
          <t>Fixed</t>
        </is>
      </c>
      <c r="M64" s="33" t="inlineStr">
        <is>
          <t>Parity checking between Global Search and the EventWatch News Dashboard so a published alert cannot be findable in one and absent from the other</t>
        </is>
      </c>
      <c r="N64" s="33" t="inlineStr">
        <is>
          <t>No</t>
        </is>
      </c>
      <c r="O64"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4" s="33" t="n"/>
      <c r="Q64" s="33" t="inlineStr">
        <is>
          <t>No</t>
        </is>
      </c>
      <c r="R64" s="39" t="n">
        <v>6</v>
      </c>
      <c r="S64" s="39" t="n"/>
      <c r="T64" s="35" t="inlineStr">
        <is>
          <t>Jun 2026</t>
        </is>
      </c>
      <c r="U64" s="33" t="inlineStr">
        <is>
          <t>Medium</t>
        </is>
      </c>
      <c r="V64" s="33" t="inlineStr">
        <is>
          <t>Notification Visibility Monitoring</t>
        </is>
      </c>
      <c r="W64" s="33" t="inlineStr">
        <is>
          <t>CAN-3377</t>
        </is>
      </c>
      <c r="X64"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4" s="33" t="inlineStr">
        <is>
          <t>Product &amp; Platform</t>
        </is>
      </c>
      <c r="Z64" s="37" t="n"/>
    </row>
    <row r="65">
      <c r="A65" s="35" t="n">
        <v>46174</v>
      </c>
      <c r="B65" s="37" t="n">
        <v>46188</v>
      </c>
      <c r="C65" s="33" t="inlineStr">
        <is>
          <t>Chemical Spill</t>
        </is>
      </c>
      <c r="D65" s="33" t="inlineStr">
        <is>
          <t>Eaton</t>
        </is>
      </c>
      <c r="E65" s="39" t="n">
        <v>1</v>
      </c>
      <c r="F65" s="33" t="inlineStr">
        <is>
          <t>CO₂ Leak at Schaeffler India Plant, Pune</t>
        </is>
      </c>
      <c r="G65" s="33" t="inlineStr">
        <is>
          <t>Complaint</t>
        </is>
      </c>
      <c r="H65" s="33" t="inlineStr">
        <is>
          <t>Missed Event</t>
        </is>
      </c>
      <c r="I65" s="33" t="inlineStr">
        <is>
          <t>Product</t>
        </is>
      </c>
      <c r="J65" s="33" t="inlineStr">
        <is>
          <t>Event Identification</t>
        </is>
      </c>
      <c r="K65" s="33" t="inlineStr">
        <is>
          <t>Improvement</t>
        </is>
      </c>
      <c r="L65" s="33" t="inlineStr">
        <is>
          <t>RCA Shared</t>
        </is>
      </c>
      <c r="M65" s="33" t="inlineStr">
        <is>
          <t>Hazardous gas leak detection + mapped supplier escalation model</t>
        </is>
      </c>
      <c r="N65" s="33" t="inlineStr">
        <is>
          <t>Yes</t>
        </is>
      </c>
      <c r="O65" s="33" t="inlineStr">
        <is>
          <t>RCA document prepared and shared with customer. Customer reported missing EventWatch coverage related to a CO₂ leak involving fatalities at a mapped supplier facility.</t>
        </is>
      </c>
      <c r="P65" s="33" t="n"/>
      <c r="Q65" s="33" t="inlineStr">
        <is>
          <t>Yes</t>
        </is>
      </c>
      <c r="R65" s="39" t="n">
        <v>6</v>
      </c>
      <c r="S65" s="39" t="n"/>
      <c r="T65" s="35" t="n">
        <v>46174</v>
      </c>
      <c r="U65" s="33" t="inlineStr">
        <is>
          <t>Medium</t>
        </is>
      </c>
      <c r="V65" s="33" t="inlineStr">
        <is>
          <t>WarRoom &amp; Decision Validation</t>
        </is>
      </c>
      <c r="W65" s="33" t="inlineStr">
        <is>
          <t>EAO-4</t>
        </is>
      </c>
      <c r="X65" s="33" t="inlineStr">
        <is>
          <t>RCA approved and sent to the customer on 15-Jun-2026 as a PDF attached to EAO-4; the document text is not in the ticket.</t>
        </is>
      </c>
      <c r="Y65" s="33" t="inlineStr">
        <is>
          <t>Product &amp; Platform</t>
        </is>
      </c>
      <c r="Z65" s="37" t="n">
        <v>46191</v>
      </c>
    </row>
    <row r="66">
      <c r="A66" s="35" t="n">
        <v>46174</v>
      </c>
      <c r="B66" s="37" t="n">
        <v>46188</v>
      </c>
      <c r="C66" s="33" t="inlineStr">
        <is>
          <t>Supply Shortage</t>
        </is>
      </c>
      <c r="D66" s="33" t="inlineStr">
        <is>
          <t>Belden Inc</t>
        </is>
      </c>
      <c r="E66" s="39" t="n">
        <v>1</v>
      </c>
      <c r="F66" s="33" t="inlineStr">
        <is>
          <t>MLCC Supply Chain Alert Related to AI Demand Growth</t>
        </is>
      </c>
      <c r="G66" s="33" t="inlineStr">
        <is>
          <t>Inquiry</t>
        </is>
      </c>
      <c r="H66" s="33" t="inlineStr">
        <is>
          <t>Coverage Verification Request</t>
        </is>
      </c>
      <c r="I66" s="33" t="inlineStr">
        <is>
          <t>Process</t>
        </is>
      </c>
      <c r="J66" s="33" t="inlineStr">
        <is>
          <t>Process Clarification</t>
        </is>
      </c>
      <c r="K66" s="33" t="inlineStr">
        <is>
          <t>Improvement</t>
        </is>
      </c>
      <c r="L66" s="33" t="inlineStr">
        <is>
          <t>Clarification Provided</t>
        </is>
      </c>
      <c r="M66" s="33" t="inlineStr">
        <is>
          <t>Forecast vs Event differentiation</t>
        </is>
      </c>
      <c r="N66" s="33" t="inlineStr">
        <is>
          <t>No</t>
        </is>
      </c>
      <c r="O66" s="33" t="inlineStr">
        <is>
          <t>Article was an investment and market outlook discussing future MLCC demand and did not meet EventWatch reporting thresholds.</t>
        </is>
      </c>
      <c r="P66" s="33" t="n"/>
      <c r="Q66" s="33" t="inlineStr">
        <is>
          <t>No</t>
        </is>
      </c>
      <c r="R66" s="39" t="n">
        <v>6</v>
      </c>
      <c r="S66" s="39" t="n"/>
      <c r="T66" s="35" t="n">
        <v>46174</v>
      </c>
      <c r="U66" s="33" t="inlineStr">
        <is>
          <t>Medium</t>
        </is>
      </c>
      <c r="V66" s="33" t="inlineStr">
        <is>
          <t>Other Control Automation</t>
        </is>
      </c>
      <c r="W66" s="33" t="inlineStr">
        <is>
          <t>EAO-8</t>
        </is>
      </c>
      <c r="X66"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6" s="33" t="inlineStr">
        <is>
          <t>EventWatch Ops - Nitin Rindhe</t>
        </is>
      </c>
      <c r="Z66" s="37" t="n">
        <v>46202</v>
      </c>
    </row>
    <row r="67">
      <c r="A67" s="35" t="n">
        <v>46174</v>
      </c>
      <c r="B67" s="37" t="n">
        <v>46196</v>
      </c>
      <c r="C67" s="33" t="inlineStr">
        <is>
          <t>Merger &amp; Acquisition</t>
        </is>
      </c>
      <c r="D67" s="33" t="inlineStr">
        <is>
          <t>Caterpillar</t>
        </is>
      </c>
      <c r="E67" s="39" t="n">
        <v>1</v>
      </c>
      <c r="F67" s="33" t="inlineStr">
        <is>
          <t>Dana Incorporated to Merge with Eaton's Mobility Business</t>
        </is>
      </c>
      <c r="G67" s="33" t="inlineStr">
        <is>
          <t>Complaint</t>
        </is>
      </c>
      <c r="H67" s="33" t="inlineStr">
        <is>
          <t>Impacted Supplier Missing</t>
        </is>
      </c>
      <c r="I67" s="33" t="inlineStr">
        <is>
          <t>People</t>
        </is>
      </c>
      <c r="J67" s="33" t="inlineStr">
        <is>
          <t>Supplier Selection Miss</t>
        </is>
      </c>
      <c r="K67" s="33" t="inlineStr">
        <is>
          <t>Improvement</t>
        </is>
      </c>
      <c r="L67" s="33" t="inlineStr">
        <is>
          <t>RCA Shared</t>
        </is>
      </c>
      <c r="M67" s="33" t="inlineStr">
        <is>
          <t>Supplier relationship validation + impacted entity completeness checks</t>
        </is>
      </c>
      <c r="N67" s="33" t="inlineStr">
        <is>
          <t>Yes</t>
        </is>
      </c>
      <c r="O67" s="33" t="inlineStr">
        <is>
          <t>Customer-facing RCA requested and RCA document prepared. Dana Holding Corporation was not included in impacted supplier selection during initial WarRoom creation and was subsequently added.</t>
        </is>
      </c>
      <c r="P67" s="33" t="n"/>
      <c r="Q67" s="33" t="inlineStr">
        <is>
          <t>No</t>
        </is>
      </c>
      <c r="R67" s="39" t="n">
        <v>6</v>
      </c>
      <c r="S67" s="39" t="n"/>
      <c r="T67" s="35" t="n">
        <v>46174</v>
      </c>
      <c r="U67" s="33" t="inlineStr">
        <is>
          <t>Medium</t>
        </is>
      </c>
      <c r="V67" s="33" t="inlineStr">
        <is>
          <t>Entity &amp; Supplier Resolution</t>
        </is>
      </c>
      <c r="W67" s="33" t="inlineStr">
        <is>
          <t>EAO-6</t>
        </is>
      </c>
      <c r="X67"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7" s="33" t="inlineStr">
        <is>
          <t>EventWatch Ops - Nitin Rindhe</t>
        </is>
      </c>
      <c r="Z67" s="37" t="n">
        <v>46217</v>
      </c>
    </row>
    <row r="68">
      <c r="A68" s="35" t="n">
        <v>46174</v>
      </c>
      <c r="B68" s="37" t="n">
        <v>46196</v>
      </c>
      <c r="C68" s="33" t="inlineStr">
        <is>
          <t>Geopolitical</t>
        </is>
      </c>
      <c r="D68" s="33" t="inlineStr">
        <is>
          <t>Western Digital</t>
        </is>
      </c>
      <c r="E68" s="39" t="n">
        <v>1</v>
      </c>
      <c r="F68" s="33" t="inlineStr">
        <is>
          <t>Inquiry on Route Disruption – Sepone Bridge, Laos</t>
        </is>
      </c>
      <c r="G68" s="33" t="inlineStr">
        <is>
          <t>Inquiry</t>
        </is>
      </c>
      <c r="H68" s="33" t="inlineStr">
        <is>
          <t>Customer Requested Verification</t>
        </is>
      </c>
      <c r="I68" s="33" t="inlineStr">
        <is>
          <t>Process</t>
        </is>
      </c>
      <c r="J68" s="33" t="inlineStr">
        <is>
          <t>Process Clarification</t>
        </is>
      </c>
      <c r="K68" s="33" t="inlineStr">
        <is>
          <t>Improvement</t>
        </is>
      </c>
      <c r="L68" s="33" t="inlineStr">
        <is>
          <t>Clarification Provided</t>
        </is>
      </c>
      <c r="M68" s="33" t="inlineStr">
        <is>
          <t>Route-risk monitoring enhancement</t>
        </is>
      </c>
      <c r="N68" s="33" t="inlineStr">
        <is>
          <t>No</t>
        </is>
      </c>
      <c r="O68" s="33" t="inlineStr">
        <is>
          <t>Review of English and local-language sources did not identify any verified disruption, closure, or logistic impact.</t>
        </is>
      </c>
      <c r="P68" s="33" t="n"/>
      <c r="Q68" s="33" t="inlineStr">
        <is>
          <t>No</t>
        </is>
      </c>
      <c r="R68" s="39" t="n">
        <v>6</v>
      </c>
      <c r="S68" s="39" t="n"/>
      <c r="T68" s="35" t="n">
        <v>46174</v>
      </c>
      <c r="U68" s="33" t="inlineStr">
        <is>
          <t>Medium</t>
        </is>
      </c>
      <c r="V68" s="33" t="inlineStr">
        <is>
          <t>Other Control Automation</t>
        </is>
      </c>
      <c r="W68" s="33" t="inlineStr">
        <is>
          <t>EAO-7</t>
        </is>
      </c>
      <c r="X68"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8" s="33" t="inlineStr">
        <is>
          <t>EventWatch Ops - Nitin Rindhe</t>
        </is>
      </c>
      <c r="Z68" s="37" t="n">
        <v>46198</v>
      </c>
    </row>
    <row r="69">
      <c r="A69" s="35" t="n">
        <v>46174</v>
      </c>
      <c r="B69" s="37" t="n">
        <v>46197</v>
      </c>
      <c r="C69" s="33" t="inlineStr">
        <is>
          <t>Cyber Attack</t>
        </is>
      </c>
      <c r="D69" s="33" t="inlineStr">
        <is>
          <t>Western Digital</t>
        </is>
      </c>
      <c r="E69" s="39" t="n">
        <v>1</v>
      </c>
      <c r="F69" s="33" t="inlineStr">
        <is>
          <t>Nidec Chaun Choung Technology Suffers Ransomware Attack</t>
        </is>
      </c>
      <c r="G69" s="33" t="inlineStr">
        <is>
          <t>Complaint</t>
        </is>
      </c>
      <c r="H69" s="33" t="inlineStr">
        <is>
          <t>Missed Event</t>
        </is>
      </c>
      <c r="I69" s="33" t="inlineStr">
        <is>
          <t>People</t>
        </is>
      </c>
      <c r="J69" s="33" t="inlineStr">
        <is>
          <t>Review</t>
        </is>
      </c>
      <c r="K69" s="33" t="inlineStr">
        <is>
          <t>Improvement</t>
        </is>
      </c>
      <c r="L69" s="33" t="inlineStr">
        <is>
          <t>RCA Shared</t>
        </is>
      </c>
      <c r="M69" s="33" t="inlineStr">
        <is>
          <t>Supplier-aware cyber incident escalation model</t>
        </is>
      </c>
      <c r="N69" s="33" t="inlineStr">
        <is>
          <t>Yes</t>
        </is>
      </c>
      <c r="O69" s="33" t="inlineStr">
        <is>
          <t>RCA prepared; analyst impact-assessment failure identified. Event was captured successfully but incorrectly assessed as Not Impactful during analyst review and therefore not escalated.</t>
        </is>
      </c>
      <c r="P69" s="33" t="n"/>
      <c r="Q69" s="33" t="inlineStr">
        <is>
          <t>Yes</t>
        </is>
      </c>
      <c r="R69" s="39" t="n">
        <v>6</v>
      </c>
      <c r="S69" s="39" t="n"/>
      <c r="T69" s="35" t="n">
        <v>46174</v>
      </c>
      <c r="U69" s="33" t="inlineStr">
        <is>
          <t>Medium</t>
        </is>
      </c>
      <c r="V69" s="33" t="inlineStr">
        <is>
          <t>WarRoom &amp; Decision Validation</t>
        </is>
      </c>
      <c r="W69" s="33" t="inlineStr">
        <is>
          <t>EAO-10</t>
        </is>
      </c>
      <c r="X69" s="33" t="inlineStr">
        <is>
          <t>RCA reviewed and sent to the customer as a PDF attached to EAO-10 (29-Jun-2026); the document text is not in the ticket.</t>
        </is>
      </c>
      <c r="Y69" s="33" t="inlineStr">
        <is>
          <t>EventWatch Ops - Nitin Rindhe</t>
        </is>
      </c>
      <c r="Z69" s="37" t="n">
        <v>46202</v>
      </c>
    </row>
    <row r="70">
      <c r="A70" s="35" t="n">
        <v>46174</v>
      </c>
      <c r="B70" s="37" t="n">
        <v>46198</v>
      </c>
      <c r="C70" s="33" t="inlineStr">
        <is>
          <t>Factory Fire</t>
        </is>
      </c>
      <c r="D70" s="33" t="inlineStr">
        <is>
          <t>Caterpillar</t>
        </is>
      </c>
      <c r="E70" s="39" t="n">
        <v>1</v>
      </c>
      <c r="F70" s="33" t="inlineStr">
        <is>
          <t>Fire at the Isselguss GmbH Facility in Isselburg, Germany</t>
        </is>
      </c>
      <c r="G70" s="33" t="inlineStr">
        <is>
          <t>Complaint</t>
        </is>
      </c>
      <c r="H70" s="33" t="inlineStr">
        <is>
          <t>Missed Event</t>
        </is>
      </c>
      <c r="I70" s="33" t="inlineStr">
        <is>
          <t>Product</t>
        </is>
      </c>
      <c r="J70" s="33" t="inlineStr">
        <is>
          <t>Event Identification</t>
        </is>
      </c>
      <c r="K70" s="33" t="inlineStr">
        <is>
          <t>Improvement</t>
        </is>
      </c>
      <c r="L70" s="33" t="inlineStr">
        <is>
          <t>RCA Shared</t>
        </is>
      </c>
      <c r="M70" s="33" t="inlineStr">
        <is>
          <t>Entity-location-aware clustering + cluster separation validation</t>
        </is>
      </c>
      <c r="N70" s="33" t="inlineStr">
        <is>
          <t>Yes</t>
        </is>
      </c>
      <c r="O70" s="33" t="inlineStr">
        <is>
          <t>RCA PDF prepared and approved for customer sharing. Event was captured by feeds but incorrectly clustered with another unrelated factory fire in Germany, preventing separate WarRoom creation.</t>
        </is>
      </c>
      <c r="P70" s="33" t="n"/>
      <c r="Q70" s="33" t="inlineStr">
        <is>
          <t>Yes</t>
        </is>
      </c>
      <c r="R70" s="39" t="n">
        <v>6</v>
      </c>
      <c r="S70" s="39" t="n"/>
      <c r="T70" s="35" t="n">
        <v>46174</v>
      </c>
      <c r="U70" s="33" t="inlineStr">
        <is>
          <t>Medium</t>
        </is>
      </c>
      <c r="V70" s="33" t="inlineStr">
        <is>
          <t>Entity &amp; Supplier Resolution</t>
        </is>
      </c>
      <c r="W70" s="33" t="inlineStr">
        <is>
          <t>EAO-9</t>
        </is>
      </c>
      <c r="X70" s="33" t="inlineStr">
        <is>
          <t>RCA approved and sent to the customer on 25-Jun-2026 as a PDF attached to EAO-9; the document text is not in the ticket. The WarRoom itself was published before the RCA was issued.</t>
        </is>
      </c>
      <c r="Y70" s="33" t="inlineStr">
        <is>
          <t>Product &amp; Platform</t>
        </is>
      </c>
      <c r="Z70" s="37" t="n">
        <v>46202</v>
      </c>
    </row>
    <row r="71">
      <c r="A71" s="35" t="n">
        <v>46174</v>
      </c>
      <c r="B71" s="37" t="n">
        <v>46199</v>
      </c>
      <c r="C71" s="33" t="inlineStr">
        <is>
          <t>Extreme Weather</t>
        </is>
      </c>
      <c r="D71" s="33" t="inlineStr">
        <is>
          <t>Woodward</t>
        </is>
      </c>
      <c r="E71" s="39" t="n">
        <v>1</v>
      </c>
      <c r="F71" s="33" t="inlineStr">
        <is>
          <t>Severe Storms Trigger Disruptions Across the Midwest USA – Geographic Misclassification</t>
        </is>
      </c>
      <c r="G71" s="33" t="inlineStr">
        <is>
          <t>Complaint</t>
        </is>
      </c>
      <c r="H71" s="33" t="inlineStr">
        <is>
          <t>Geographic Misclassification</t>
        </is>
      </c>
      <c r="I71" s="33" t="inlineStr">
        <is>
          <t>People</t>
        </is>
      </c>
      <c r="J71" s="33" t="inlineStr">
        <is>
          <t>Review</t>
        </is>
      </c>
      <c r="K71" s="33" t="inlineStr">
        <is>
          <t>Improvement</t>
        </is>
      </c>
      <c r="L71" s="33" t="inlineStr">
        <is>
          <t>Fixed</t>
        </is>
      </c>
      <c r="M71" s="33" t="inlineStr">
        <is>
          <t>Cluster integrity validation + geographic consistency checks</t>
        </is>
      </c>
      <c r="N71" s="33" t="inlineStr">
        <is>
          <t>Yes</t>
        </is>
      </c>
      <c r="O71" s="33" t="inlineStr">
        <is>
          <t>California sites were incorrectly included because two different events were merged into the same WarRoom.</t>
        </is>
      </c>
      <c r="P71" s="33" t="n"/>
      <c r="Q71" s="33" t="inlineStr">
        <is>
          <t>No</t>
        </is>
      </c>
      <c r="R71" s="39" t="n">
        <v>6</v>
      </c>
      <c r="S71" s="39" t="n"/>
      <c r="T71" s="35" t="n">
        <v>46174</v>
      </c>
      <c r="U71" s="33" t="inlineStr">
        <is>
          <t>Medium</t>
        </is>
      </c>
      <c r="V71" s="33" t="inlineStr">
        <is>
          <t>Cluster Integrity &amp; Duplicate Prevention</t>
        </is>
      </c>
      <c r="W71" s="33" t="inlineStr">
        <is>
          <t>EAO-5</t>
        </is>
      </c>
      <c r="X71"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1" s="33" t="inlineStr">
        <is>
          <t>EventWatch Ops - Nitin Rindhe</t>
        </is>
      </c>
      <c r="Z71" s="37" t="n"/>
    </row>
    <row r="72">
      <c r="A72" s="35" t="n">
        <v>46174</v>
      </c>
      <c r="B72" s="37" t="n">
        <v>46203</v>
      </c>
      <c r="C72" s="33" t="inlineStr">
        <is>
          <t>Factory Fire</t>
        </is>
      </c>
      <c r="D72" s="33" t="inlineStr">
        <is>
          <t>Caterpillar</t>
        </is>
      </c>
      <c r="E72" s="39" t="n">
        <v>1</v>
      </c>
      <c r="F72" s="33" t="inlineStr">
        <is>
          <t>Isselguss / Isselburg Foundry Naming Clarification</t>
        </is>
      </c>
      <c r="G72" s="33" t="inlineStr">
        <is>
          <t>Inquiry</t>
        </is>
      </c>
      <c r="H72" s="33" t="inlineStr">
        <is>
          <t>Customer Terminology Preference</t>
        </is>
      </c>
      <c r="I72" s="33" t="inlineStr">
        <is>
          <t>Process</t>
        </is>
      </c>
      <c r="J72" s="33" t="inlineStr">
        <is>
          <t>Process Clarification</t>
        </is>
      </c>
      <c r="K72" s="33" t="inlineStr">
        <is>
          <t>Improvement</t>
        </is>
      </c>
      <c r="L72" s="33" t="inlineStr">
        <is>
          <t>Clarification Provided</t>
        </is>
      </c>
      <c r="M72" s="33" t="inlineStr">
        <is>
          <t>Company alias management</t>
        </is>
      </c>
      <c r="N72" s="33" t="inlineStr">
        <is>
          <t>No</t>
        </is>
      </c>
      <c r="O72" s="33" t="inlineStr">
        <is>
          <t>Isselguss and Isselburg Foundry refer to the same facility. Title updated to align with customer terminology preference and not due to a reporting error.</t>
        </is>
      </c>
      <c r="P72" s="33" t="n"/>
      <c r="Q72" s="33" t="inlineStr">
        <is>
          <t>No</t>
        </is>
      </c>
      <c r="R72" s="39" t="n">
        <v>6</v>
      </c>
      <c r="S72" s="39" t="n"/>
      <c r="T72" s="35" t="n">
        <v>46174</v>
      </c>
      <c r="U72" s="33" t="inlineStr">
        <is>
          <t>Medium</t>
        </is>
      </c>
      <c r="V72" s="33" t="inlineStr">
        <is>
          <t>Entity &amp; Supplier Resolution</t>
        </is>
      </c>
      <c r="W72" s="33" t="inlineStr">
        <is>
          <t>EAO-11</t>
        </is>
      </c>
      <c r="X72"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2" s="33" t="inlineStr">
        <is>
          <t>EventWatch Ops - Nitin Rindhe</t>
        </is>
      </c>
      <c r="Z72" s="37" t="n">
        <v>46204</v>
      </c>
    </row>
    <row r="73">
      <c r="A73" s="35" t="n">
        <v>46204</v>
      </c>
      <c r="B73" s="37" t="n">
        <v>46204</v>
      </c>
      <c r="C73" s="28" t="inlineStr">
        <is>
          <t>Labor Disruption</t>
        </is>
      </c>
      <c r="D73" s="33" t="inlineStr">
        <is>
          <t>Ford</t>
        </is>
      </c>
      <c r="E73" s="39" t="n">
        <v>1</v>
      </c>
      <c r="F73" s="33" t="inlineStr">
        <is>
          <t>BorgWarner Indefinite Strike – Vigo Metropolitan Area, Spain</t>
        </is>
      </c>
      <c r="G73" s="33" t="inlineStr">
        <is>
          <t>Complaint</t>
        </is>
      </c>
      <c r="H73" s="33" t="inlineStr">
        <is>
          <t>Missed Event</t>
        </is>
      </c>
      <c r="I73" s="33" t="inlineStr">
        <is>
          <t>Product</t>
        </is>
      </c>
      <c r="J73" s="33" t="inlineStr">
        <is>
          <t>Alerting Gap</t>
        </is>
      </c>
      <c r="K73" s="33" t="inlineStr">
        <is>
          <t>Bug</t>
        </is>
      </c>
      <c r="L73" s="33" t="inlineStr">
        <is>
          <t>RCA Shared</t>
        </is>
      </c>
      <c r="M73" s="33" t="inlineStr">
        <is>
          <t>Vendor-to-portal feed validation + cluster state integrity monitoring</t>
        </is>
      </c>
      <c r="N73" s="33" t="inlineStr">
        <is>
          <t>Yes</t>
        </is>
      </c>
      <c r="O73" s="33" t="inlineStr">
        <is>
          <t>The articles were captured by the vendor and by the Spanish-language detection flow but did not reach the analyst portal until July 1, 2026. The failure occurred after feed capture and before timely analyst visibility. Alerting Gap Type: Captured Feed Surfaced Late. Evidence Status: Confirmed and Closed.</t>
        </is>
      </c>
      <c r="P73" s="33" t="inlineStr">
        <is>
          <t>Yes</t>
        </is>
      </c>
      <c r="Q73" s="33" t="inlineStr">
        <is>
          <t>Yes</t>
        </is>
      </c>
      <c r="R73" s="39" t="n">
        <v>7</v>
      </c>
      <c r="S73" s="39" t="n"/>
      <c r="T73" s="35" t="n">
        <v>46204</v>
      </c>
      <c r="U73" s="33" t="inlineStr">
        <is>
          <t>Medium</t>
        </is>
      </c>
      <c r="V73" s="33" t="inlineStr">
        <is>
          <t>Notification Visibility Monitoring</t>
        </is>
      </c>
      <c r="W73" s="33" t="inlineStr">
        <is>
          <t>EAO-12</t>
        </is>
      </c>
      <c r="X73"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3" s="33" t="inlineStr">
        <is>
          <t>Product &amp; Platform</t>
        </is>
      </c>
      <c r="Z73" s="37" t="n">
        <v>46216</v>
      </c>
    </row>
    <row r="74">
      <c r="A74" s="35" t="n">
        <v>46204</v>
      </c>
      <c r="B74" s="37" t="n">
        <v>46209</v>
      </c>
      <c r="C74" s="33" t="inlineStr">
        <is>
          <t>Factory Fire</t>
        </is>
      </c>
      <c r="D74" s="33" t="inlineStr">
        <is>
          <t>Ford</t>
        </is>
      </c>
      <c r="E74" s="39" t="n">
        <v>1</v>
      </c>
      <c r="F74" s="33" t="inlineStr">
        <is>
          <t>Fire at FXI Foam Manufacturing Plant in Cuautitlan, Mexico</t>
        </is>
      </c>
      <c r="G74" s="33" t="inlineStr">
        <is>
          <t>Complaint</t>
        </is>
      </c>
      <c r="H74" s="33" t="inlineStr">
        <is>
          <t>Missed Event</t>
        </is>
      </c>
      <c r="I74" s="33" t="inlineStr">
        <is>
          <t>Product</t>
        </is>
      </c>
      <c r="J74" s="33" t="inlineStr">
        <is>
          <t>Model Classification Defect</t>
        </is>
      </c>
      <c r="K74" s="33" t="inlineStr">
        <is>
          <t>Improvement</t>
        </is>
      </c>
      <c r="L74" s="33" t="inlineStr">
        <is>
          <t>RCA Shared</t>
        </is>
      </c>
      <c r="M74"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4" s="33" t="inlineStr">
        <is>
          <t>Yes</t>
        </is>
      </c>
      <c r="O74" s="33" t="inlineStr">
        <is>
          <t>Customer reported a fire at FXI, a Tier 2 supplier, causing a Force Majeure at Sage Automotive Interiors, with no matching EventWatch notification. EventWatch captured the reports, but the event was classified Not Impactful under an inadequate relevance-assessment methodology. The available approach did not give sufficient weight to the severity and potential downstream significance of a major industrial fire when direct supply-chain impact had not yet been confirmed. Resilinc accepted this as a methodology weakness and committed to enhancing the relevance-scoring and review approach. The earlier explanation linking the classification to the company being unmapped is superseded; supplier mapping was not a dominant classification input. Settled by the owner: the reports were captured, but Product incorrectly classified the event as Not Impactful. The customer later raised the event, after which it was reported. Filed as a model classification defect rather than a methodology weakness.</t>
        </is>
      </c>
      <c r="P74" s="33" t="n"/>
      <c r="Q74" s="33" t="inlineStr">
        <is>
          <t>Yes</t>
        </is>
      </c>
      <c r="R74" s="39" t="n">
        <v>7</v>
      </c>
      <c r="S74" s="39" t="n"/>
      <c r="T74" s="35" t="n">
        <v>46204</v>
      </c>
      <c r="U74" s="33" t="inlineStr">
        <is>
          <t>Medium</t>
        </is>
      </c>
      <c r="V74" s="33" t="inlineStr">
        <is>
          <t>WarRoom &amp; Decision Validation</t>
        </is>
      </c>
      <c r="W74" s="33" t="inlineStr">
        <is>
          <t>EAO-13</t>
        </is>
      </c>
      <c r="X74" s="33" t="inlineStr">
        <is>
          <t>A methodology weakness that Resilinc accepted, rather than an analyst execution error. EventWatch captured multiple public reports of the June 28, 2026 fire at the foam-manufacturing facility in Cuautitlan Izcalli, Mexico. The AI classification models categorized the event as Not Impactful based on the relevance assessment, including the absence of confirmed downstream supply-chain impact in the available reporting. The reporting team reviewed the captured articles through the human-in-the-loop process and concurred with the classification, so the event was not published. The investigation concluded that the weakness was in the relevance-assessment methodology itself. Significant industrial incidents required greater evaluation based on incident severity, manufacturing activity, facility type, industry relevance, and potential downstream impact, even when the available reporting did not yet confirm a direct supply-chain disruption. Resilinc accepted this methodology weakness, issued an ICA on 17-Jul-2026 adding a manual review for major industrial incidents initially classified Not Impactful, and committed to a PCA enhancing the AI relevance-scoring models. An earlier version of this entry listed the company's absence from the supplier database as a ground for the Not Impactful classification. That explanation is superseded. Supplier mapping was not a dominant input to the Event/Non-Event or Impactful/Not-Impactful classification decision.</t>
        </is>
      </c>
      <c r="Y74" s="33" t="inlineStr">
        <is>
          <t>Product &amp; Platform</t>
        </is>
      </c>
      <c r="Z74" s="37" t="n">
        <v>46220</v>
      </c>
    </row>
    <row r="75">
      <c r="A75" s="35" t="n">
        <v>46204</v>
      </c>
      <c r="B75" s="37" t="n">
        <v>46211</v>
      </c>
      <c r="C75" s="33" t="inlineStr">
        <is>
          <t>Factory Fire</t>
        </is>
      </c>
      <c r="D75" s="33" t="inlineStr">
        <is>
          <t>Ford</t>
        </is>
      </c>
      <c r="E75" s="39" t="n">
        <v>1</v>
      </c>
      <c r="F75" s="33" t="inlineStr">
        <is>
          <t>New World International Co. Factory Fire, Thailand</t>
        </is>
      </c>
      <c r="G75" s="33" t="inlineStr">
        <is>
          <t>Complaint</t>
        </is>
      </c>
      <c r="H75" s="33" t="inlineStr">
        <is>
          <t>Missed Event</t>
        </is>
      </c>
      <c r="I75" s="33" t="inlineStr">
        <is>
          <t>People</t>
        </is>
      </c>
      <c r="J75" s="33" t="inlineStr">
        <is>
          <t>Review</t>
        </is>
      </c>
      <c r="K75" s="33" t="inlineStr">
        <is>
          <t>Improvement</t>
        </is>
      </c>
      <c r="L75" s="33" t="inlineStr">
        <is>
          <t>Clarification Provided</t>
        </is>
      </c>
      <c r="M75" s="33" t="inlineStr">
        <is>
          <t>Supplier-aware factory fire escalation model + Not Impactful override validation</t>
        </is>
      </c>
      <c r="N75" s="33" t="inlineStr">
        <is>
          <t>Yes</t>
        </is>
      </c>
      <c r="O75" s="33" t="inlineStr">
        <is>
          <t>Feeds were received and event was reportedly marked Not Impactful despite destruction of production/storage facility. Investigation ongoing.</t>
        </is>
      </c>
      <c r="P75" s="33" t="n"/>
      <c r="Q75" s="33" t="inlineStr">
        <is>
          <t>Yes</t>
        </is>
      </c>
      <c r="R75" s="39" t="n">
        <v>7</v>
      </c>
      <c r="S75" s="39" t="n"/>
      <c r="T75" s="35" t="n">
        <v>46204</v>
      </c>
      <c r="U75" s="33" t="inlineStr">
        <is>
          <t>Medium</t>
        </is>
      </c>
      <c r="V75" s="33" t="inlineStr">
        <is>
          <t>WarRoom &amp; Decision Validation</t>
        </is>
      </c>
      <c r="W75" s="33" t="inlineStr">
        <is>
          <t>EAO-14</t>
        </is>
      </c>
      <c r="X75" s="33" t="inlineStr">
        <is>
          <t>RCA approved and sent to the customer on 13-Jul-2026 as a PDF attached to EAO-14; the document text is not in the ticket.</t>
        </is>
      </c>
      <c r="Y75" s="33" t="inlineStr">
        <is>
          <t>EventWatch Ops - Nitin Rindhe</t>
        </is>
      </c>
      <c r="Z75" s="37" t="n">
        <v>46217</v>
      </c>
    </row>
    <row r="76">
      <c r="A76" s="35" t="n">
        <v>46204</v>
      </c>
      <c r="B76" s="37" t="n">
        <v>46211</v>
      </c>
      <c r="C76" s="33" t="inlineStr">
        <is>
          <t>Supply Shortage</t>
        </is>
      </c>
      <c r="D76" s="33" t="inlineStr">
        <is>
          <t>META</t>
        </is>
      </c>
      <c r="E76" s="39" t="n">
        <v>1</v>
      </c>
      <c r="F76" s="33" t="inlineStr">
        <is>
          <t>Samsung DRAM Price Increase Alert – WarRoom Not Created</t>
        </is>
      </c>
      <c r="G76" s="33" t="inlineStr">
        <is>
          <t>Complaint</t>
        </is>
      </c>
      <c r="H76" s="33" t="inlineStr">
        <is>
          <t>Missed WarRoom</t>
        </is>
      </c>
      <c r="I76" s="33" t="inlineStr">
        <is>
          <t>Product</t>
        </is>
      </c>
      <c r="J76" s="33" t="inlineStr">
        <is>
          <t>Mapping / Routing Defect</t>
        </is>
      </c>
      <c r="K76" s="33" t="inlineStr">
        <is>
          <t>Improvement</t>
        </is>
      </c>
      <c r="L76" s="33" t="inlineStr">
        <is>
          <t>Clarification Provided</t>
        </is>
      </c>
      <c r="M76" s="33" t="inlineStr">
        <is>
          <t>Site Selection Suggestion based on unnormalized supplier names</t>
        </is>
      </c>
      <c r="N76" s="33" t="inlineStr">
        <is>
          <t>Yes</t>
        </is>
      </c>
      <c r="O76" s="33" t="inlineStr">
        <is>
          <t>EventWatch alert published but corresponding WarRoom not created despite supplier normalization. Investigation ongoing. Settled by the owner: the bulletin existed, but the applicable customer WarRoom was not created because supplier and site normalization was not applied correctly.</t>
        </is>
      </c>
      <c r="P76" s="33" t="inlineStr">
        <is>
          <t>No</t>
        </is>
      </c>
      <c r="Q76" s="33" t="inlineStr">
        <is>
          <t>Yes</t>
        </is>
      </c>
      <c r="R76" s="39" t="n">
        <v>7</v>
      </c>
      <c r="S76" s="39" t="n"/>
      <c r="T76" s="35" t="n">
        <v>46204</v>
      </c>
      <c r="U76" s="33" t="inlineStr">
        <is>
          <t>Low</t>
        </is>
      </c>
      <c r="V76" s="33" t="inlineStr">
        <is>
          <t>Entity &amp; Supplier Resolution</t>
        </is>
      </c>
      <c r="W76" s="33" t="inlineStr">
        <is>
          <t>EAO-15</t>
        </is>
      </c>
      <c r="X76"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6" s="33" t="inlineStr">
        <is>
          <t>Product &amp; Platform</t>
        </is>
      </c>
      <c r="Z76" s="37" t="n">
        <v>46220</v>
      </c>
    </row>
    <row r="77">
      <c r="A77" s="35" t="n">
        <v>46204</v>
      </c>
      <c r="B77" s="37" t="n">
        <v>46213</v>
      </c>
      <c r="C77" s="33" t="inlineStr">
        <is>
          <t>Hurricane/Typhoon</t>
        </is>
      </c>
      <c r="D77" s="33" t="inlineStr">
        <is>
          <t>Eaton</t>
        </is>
      </c>
      <c r="E77" s="39" t="n">
        <v>1</v>
      </c>
      <c r="F77" s="33" t="inlineStr">
        <is>
          <t>Super Typhoon Bavi WarRoom Timing Clarification (Taiwan)</t>
        </is>
      </c>
      <c r="G77" s="33" t="inlineStr">
        <is>
          <t>Inquiry</t>
        </is>
      </c>
      <c r="H77" s="33" t="inlineStr">
        <is>
          <t>WarRoom Timing/Trigger Criteria Clarification</t>
        </is>
      </c>
      <c r="I77" s="33" t="inlineStr">
        <is>
          <t>Process</t>
        </is>
      </c>
      <c r="J77" s="33" t="inlineStr">
        <is>
          <t>Process Clarification</t>
        </is>
      </c>
      <c r="K77" s="33" t="inlineStr">
        <is>
          <t>Improvement</t>
        </is>
      </c>
      <c r="L77" s="33" t="inlineStr">
        <is>
          <t>Clarification Provided</t>
        </is>
      </c>
      <c r="M77" s="33" t="inlineStr">
        <is>
          <t>WarRoom trigger-criteria explanation template for post-peak activations</t>
        </is>
      </c>
      <c r="N77" s="33" t="inlineStr">
        <is>
          <t>No</t>
        </is>
      </c>
      <c r="O77" s="33" t="inlineStr">
        <is>
          <t>Staged from Jira EAO-16 (Done). Eaton asked why the WarRoom for Super Typhoon Bavi (Taiwan) was activated on 9-Jul after the storm had already peaked, and what triggering criteria were used.</t>
        </is>
      </c>
      <c r="Q77" s="33" t="inlineStr">
        <is>
          <t>No</t>
        </is>
      </c>
      <c r="R77" s="39" t="n">
        <v>7</v>
      </c>
      <c r="T77" s="35" t="n">
        <v>46204</v>
      </c>
      <c r="U77" s="33" t="inlineStr">
        <is>
          <t>Low</t>
        </is>
      </c>
      <c r="V77" s="33" t="inlineStr">
        <is>
          <t>WarRoom &amp; Decision Validation</t>
        </is>
      </c>
      <c r="W77" s="33" t="inlineStr">
        <is>
          <t>EAO-16</t>
        </is>
      </c>
      <c r="X77"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7" s="33" t="inlineStr">
        <is>
          <t>EventWatch Ops - Nitin Rindhe</t>
        </is>
      </c>
      <c r="Z77" s="37" t="n">
        <v>46224</v>
      </c>
    </row>
    <row r="78">
      <c r="A78" s="35" t="n">
        <v>46204</v>
      </c>
      <c r="B78" s="37" t="n">
        <v>46213</v>
      </c>
      <c r="C78" s="33" t="inlineStr">
        <is>
          <t>Legal Action</t>
        </is>
      </c>
      <c r="D78" s="33" t="inlineStr">
        <is>
          <t>Micron</t>
        </is>
      </c>
      <c r="E78" s="39" t="n">
        <v>1</v>
      </c>
      <c r="F78" s="33" t="inlineStr">
        <is>
          <t>Jacobs Engineering/CH2M Hill Forced Labor Lawsuit – Missed EventWatch Notification (Micron)</t>
        </is>
      </c>
      <c r="G78" s="33" t="inlineStr">
        <is>
          <t>Complaint</t>
        </is>
      </c>
      <c r="H78" s="33" t="inlineStr">
        <is>
          <t>Missed Event</t>
        </is>
      </c>
      <c r="I78" s="33" t="inlineStr">
        <is>
          <t>Product</t>
        </is>
      </c>
      <c r="J78" s="33" t="inlineStr">
        <is>
          <t>Source Coverage</t>
        </is>
      </c>
      <c r="K78" s="33" t="inlineStr">
        <is>
          <t>Improvement</t>
        </is>
      </c>
      <c r="L78" s="33" t="inlineStr">
        <is>
          <t>RCA Shared</t>
        </is>
      </c>
      <c r="M78" s="33" t="inlineStr">
        <is>
          <t>Legal/labor-litigation source coverage and entity-linking for supplier-adjacent lawsuits</t>
        </is>
      </c>
      <c r="N78" s="33" t="inlineStr">
        <is>
          <t>Yes</t>
        </is>
      </c>
      <c r="O78" s="33" t="inlineStr">
        <is>
          <t>Staged from Jira EAO-17 (Done). Micron reported a forced-labor lawsuit against Jacobs Engineering/CH2M Hill was not captured in EventWatch and requested RCA if it was in scope.</t>
        </is>
      </c>
      <c r="Q78" s="33" t="inlineStr">
        <is>
          <t>Yes</t>
        </is>
      </c>
      <c r="R78" s="39" t="n">
        <v>7</v>
      </c>
      <c r="T78" s="35" t="n">
        <v>46204</v>
      </c>
      <c r="U78" s="33" t="inlineStr">
        <is>
          <t>Medium</t>
        </is>
      </c>
      <c r="V78" s="33" t="inlineStr">
        <is>
          <t>Dynamic Source Discovery</t>
        </is>
      </c>
      <c r="W78" s="33" t="inlineStr">
        <is>
          <t>EAO-17</t>
        </is>
      </c>
      <c r="X78" s="33" t="inlineStr">
        <is>
          <t>RCA reviewed and sent to the customer on 14-Jul-2026 as a PDF attached to EAO-17; the document text is not in the ticket.</t>
        </is>
      </c>
      <c r="Y78" s="33" t="inlineStr">
        <is>
          <t>Product &amp; Platform</t>
        </is>
      </c>
      <c r="Z78" s="37" t="n">
        <v>46217</v>
      </c>
    </row>
    <row r="79">
      <c r="A79" s="35" t="n">
        <v>46204</v>
      </c>
      <c r="B79" s="37" t="n">
        <v>46216</v>
      </c>
      <c r="C79" s="33" t="inlineStr">
        <is>
          <t>Supply Shortage</t>
        </is>
      </c>
      <c r="D79" s="33" t="inlineStr">
        <is>
          <t>Western Digital</t>
        </is>
      </c>
      <c r="E79" s="39" t="n">
        <v>1</v>
      </c>
      <c r="F79" s="33" t="inlineStr">
        <is>
          <t>Suspension Baseplate Supply Risk Monitoring Request (Fujita Plating/NHK/OSK)</t>
        </is>
      </c>
      <c r="G79" s="33" t="inlineStr">
        <is>
          <t>Inquiry</t>
        </is>
      </c>
      <c r="H79" s="33" t="inlineStr">
        <is>
          <t>Coverage Verification Request</t>
        </is>
      </c>
      <c r="I79" s="33" t="inlineStr">
        <is>
          <t>Process</t>
        </is>
      </c>
      <c r="J79" s="33" t="inlineStr">
        <is>
          <t>Process Clarification</t>
        </is>
      </c>
      <c r="K79" s="33" t="inlineStr">
        <is>
          <t>Improvement</t>
        </is>
      </c>
      <c r="L79" s="33" t="inlineStr">
        <is>
          <t>Clarification Provided</t>
        </is>
      </c>
      <c r="M79" s="33" t="inlineStr">
        <is>
          <t>Supplier decommitment/capacity-risk monitoring for sub-tier component makers</t>
        </is>
      </c>
      <c r="N79" s="33" t="inlineStr">
        <is>
          <t>No</t>
        </is>
      </c>
      <c r="O79" s="33" t="inlineStr">
        <is>
          <t>Staged from Jira EAO-18 (Done). Western Digital asked whether EventWatch has published or is monitoring a reported Suspension Baseplate supply risk tied to Fujita Plating/NHK/OSK decommitments; CS found no matching event in the backend.</t>
        </is>
      </c>
      <c r="Q79" s="33" t="inlineStr">
        <is>
          <t>No</t>
        </is>
      </c>
      <c r="R79" s="39" t="n">
        <v>7</v>
      </c>
      <c r="T79" s="35" t="n">
        <v>46204</v>
      </c>
      <c r="U79" s="33" t="inlineStr">
        <is>
          <t>Low</t>
        </is>
      </c>
      <c r="V79" s="33" t="inlineStr">
        <is>
          <t>Other Control Automation</t>
        </is>
      </c>
      <c r="W79" s="33" t="inlineStr">
        <is>
          <t>EAO-18</t>
        </is>
      </c>
      <c r="X79"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9" s="33" t="inlineStr">
        <is>
          <t>EventWatch Ops - Nitin Rindhe</t>
        </is>
      </c>
      <c r="Z79" s="37" t="n">
        <v>46224</v>
      </c>
    </row>
    <row r="80">
      <c r="A80" s="35" t="n">
        <v>46204</v>
      </c>
      <c r="B80" s="37" t="n">
        <v>46217</v>
      </c>
      <c r="C80" s="33" t="inlineStr">
        <is>
          <t>Power Outage</t>
        </is>
      </c>
      <c r="D80" s="33" t="inlineStr">
        <is>
          <t>Ford</t>
        </is>
      </c>
      <c r="E80" s="39" t="n">
        <v>1</v>
      </c>
      <c r="F80" s="33" t="inlineStr">
        <is>
          <t>RFI – Power Grid Failure Monitoring Strategy</t>
        </is>
      </c>
      <c r="G80" s="33" t="inlineStr">
        <is>
          <t>Inquiry</t>
        </is>
      </c>
      <c r="H80" s="33" t="inlineStr">
        <is>
          <t>Monitoring Strategy RFI</t>
        </is>
      </c>
      <c r="I80" s="33" t="inlineStr">
        <is>
          <t>Process</t>
        </is>
      </c>
      <c r="J80" s="33" t="inlineStr">
        <is>
          <t>Process Clarification</t>
        </is>
      </c>
      <c r="K80" s="33" t="inlineStr">
        <is>
          <t>Improvement</t>
        </is>
      </c>
      <c r="L80" s="33" t="inlineStr">
        <is>
          <t>Clarification Provided</t>
        </is>
      </c>
      <c r="M80" s="33" t="inlineStr">
        <is>
          <t>Published monitoring-scope documentation for power-grid/infrastructure failure events</t>
        </is>
      </c>
      <c r="N80" s="33" t="inlineStr">
        <is>
          <t>No</t>
        </is>
      </c>
      <c r="O80" s="33" t="inlineStr">
        <is>
          <t>Staged from Jira EAO-19 (Done). Ford requested an explanation of Resilinc's monitoring strategy for power grid failure events after multiple incidents affected suppliers in the US and Europe.</t>
        </is>
      </c>
      <c r="Q80" s="33" t="inlineStr">
        <is>
          <t>No</t>
        </is>
      </c>
      <c r="R80" s="39" t="n">
        <v>7</v>
      </c>
      <c r="T80" s="35" t="n">
        <v>46204</v>
      </c>
      <c r="U80" s="33" t="inlineStr">
        <is>
          <t>Low</t>
        </is>
      </c>
      <c r="V80" s="33" t="inlineStr">
        <is>
          <t>Other Control Automation</t>
        </is>
      </c>
      <c r="W80" s="33" t="inlineStr">
        <is>
          <t>EAO-19</t>
        </is>
      </c>
      <c r="X80"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80" s="33" t="inlineStr">
        <is>
          <t>EventWatch Ops - Nitin Rindhe</t>
        </is>
      </c>
      <c r="Z80" s="37" t="n">
        <v>46220</v>
      </c>
    </row>
    <row r="81">
      <c r="A81" s="35" t="n">
        <v>46204</v>
      </c>
      <c r="B81" s="37" t="n">
        <v>46220</v>
      </c>
      <c r="C81" s="33" t="inlineStr">
        <is>
          <t>Bankruptcy</t>
        </is>
      </c>
      <c r="D81" s="33" t="inlineStr">
        <is>
          <t>Honeywell</t>
        </is>
      </c>
      <c r="E81" s="39" t="n">
        <v>1</v>
      </c>
      <c r="F81" s="33" t="inlineStr">
        <is>
          <t>ASSMANN WSW Components GmbH Bankruptcy Filing – Missed Coverage (Honeywell Tier 1 Supplier)</t>
        </is>
      </c>
      <c r="G81" s="33" t="inlineStr">
        <is>
          <t>Complaint</t>
        </is>
      </c>
      <c r="H81" s="33" t="inlineStr">
        <is>
          <t>Missed insolvency alert</t>
        </is>
      </c>
      <c r="I81" s="33" t="inlineStr">
        <is>
          <t>Product</t>
        </is>
      </c>
      <c r="J81" s="33" t="inlineStr">
        <is>
          <t>Source Coverage</t>
        </is>
      </c>
      <c r="K81" s="33" t="inlineStr">
        <is>
          <t>Improvement</t>
        </is>
      </c>
      <c r="L81" s="33" t="inlineStr">
        <is>
          <t>Fixed</t>
        </is>
      </c>
      <c r="M81" s="33" t="inlineStr">
        <is>
          <t>Tier-1 supplier bankruptcy/insolvency filing source coverage expansion (EU registries)</t>
        </is>
      </c>
      <c r="N81" s="33" t="inlineStr">
        <is>
          <t>Yes</t>
        </is>
      </c>
      <c r="O81" s="33" t="inlineStr">
        <is>
          <t>Staged from Jira EAO-20 (Done). Honeywell reported ASSMANN WSW Components GmbH's July 6 insolvency filing (a mapped Tier-1 supplier) was never published as an EventWatch bulletin or WarRoom; RCA requested.</t>
        </is>
      </c>
      <c r="Q81" s="33" t="inlineStr">
        <is>
          <t>Yes</t>
        </is>
      </c>
      <c r="R81" s="39" t="n">
        <v>7</v>
      </c>
      <c r="T81" s="35" t="n">
        <v>46204</v>
      </c>
      <c r="U81" s="33" t="inlineStr">
        <is>
          <t>Medium</t>
        </is>
      </c>
      <c r="V81" s="33" t="inlineStr">
        <is>
          <t>Dynamic Source Discovery</t>
        </is>
      </c>
      <c r="W81" s="33" t="inlineStr">
        <is>
          <t>EAO-20</t>
        </is>
      </c>
      <c r="X81" s="33" t="inlineStr">
        <is>
          <t>German-language sources reporting the ASSMANN WSW Components insolvency were not captured by the portal; Engineering was asked to investigate the feed gap. RCA reviewed and shared with the customer 20-Jul-2026.</t>
        </is>
      </c>
      <c r="Y81" s="33" t="inlineStr">
        <is>
          <t>Product &amp; Platform</t>
        </is>
      </c>
      <c r="Z81" s="37" t="n">
        <v>46224</v>
      </c>
    </row>
    <row r="82">
      <c r="A82" s="35" t="n">
        <v>46204</v>
      </c>
      <c r="B82" s="37" t="n">
        <v>46220</v>
      </c>
      <c r="C82" s="33" t="inlineStr">
        <is>
          <t>Wildfire</t>
        </is>
      </c>
      <c r="D82" s="33" t="inlineStr">
        <is>
          <t>Ford</t>
        </is>
      </c>
      <c r="E82" s="39" t="n">
        <v>1</v>
      </c>
      <c r="F82" s="33" t="inlineStr">
        <is>
          <t>Severe Air Quality Degradation – Canadian Wildfires Missed Alert (Midwest/Northeast US)</t>
        </is>
      </c>
      <c r="G82" s="33" t="inlineStr">
        <is>
          <t>Complaint</t>
        </is>
      </c>
      <c r="H82" s="33" t="inlineStr">
        <is>
          <t>Missed Event</t>
        </is>
      </c>
      <c r="I82" s="33" t="inlineStr">
        <is>
          <t>People</t>
        </is>
      </c>
      <c r="J82" s="33" t="inlineStr">
        <is>
          <t>Event Identification</t>
        </is>
      </c>
      <c r="K82" s="33" t="inlineStr">
        <is>
          <t>Improvement</t>
        </is>
      </c>
      <c r="L82" s="33" t="inlineStr">
        <is>
          <t>RCA Shared</t>
        </is>
      </c>
      <c r="M82" s="33" t="inlineStr">
        <is>
          <t>Escalation automation for environmental-hazard advisories</t>
        </is>
      </c>
      <c r="N82" s="33" t="inlineStr">
        <is>
          <t>Yes</t>
        </is>
      </c>
      <c r="O82" s="33" t="inlineStr">
        <is>
          <t>Staged from Jira EAO-21 (Done). Ford reported no EventWatch alert/WarRoom was generated for July 15-17 wildfire smoke air-quality degradation across the US Midwest/Northeast; CS confirmed no matching notification was found.</t>
        </is>
      </c>
      <c r="Q82" s="33" t="inlineStr">
        <is>
          <t>Yes</t>
        </is>
      </c>
      <c r="R82" s="39" t="n">
        <v>7</v>
      </c>
      <c r="T82" s="35" t="n">
        <v>46204</v>
      </c>
      <c r="U82" s="33" t="inlineStr">
        <is>
          <t>Medium</t>
        </is>
      </c>
      <c r="V82" s="33" t="inlineStr">
        <is>
          <t>WarRoom &amp; Decision Validation</t>
        </is>
      </c>
      <c r="W82" s="33" t="inlineStr">
        <is>
          <t>EAO-21</t>
        </is>
      </c>
      <c r="X82" s="33" t="inlineStr">
        <is>
          <t>RCA approved and sent to the customer on 21-Jul-2026 as a PDF attached to EAO-21; the document text is not in the ticket.</t>
        </is>
      </c>
      <c r="Y82" s="33" t="inlineStr">
        <is>
          <t>EventWatch Ops - Nitin Rindhe</t>
        </is>
      </c>
      <c r="Z82" s="37" t="n">
        <v>46230</v>
      </c>
    </row>
    <row r="83">
      <c r="A83" s="35" t="n">
        <v>46204</v>
      </c>
      <c r="B83" s="37" t="n">
        <v>46230</v>
      </c>
      <c r="C83" s="33" t="inlineStr">
        <is>
          <t>Cyber Attack</t>
        </is>
      </c>
      <c r="D83" s="33" t="inlineStr">
        <is>
          <t>Eaton</t>
        </is>
      </c>
      <c r="E83" s="39" t="n">
        <v>1</v>
      </c>
      <c r="F83" s="33" t="inlineStr">
        <is>
          <t>Romania ANCPI Cyberattack – Missed EventWatch Notification</t>
        </is>
      </c>
      <c r="G83" s="33" t="inlineStr">
        <is>
          <t>Inquiry</t>
        </is>
      </c>
      <c r="H83" s="33" t="inlineStr">
        <is>
          <t>Wrong Relevancy</t>
        </is>
      </c>
      <c r="I83" s="33" t="inlineStr">
        <is>
          <t>Process</t>
        </is>
      </c>
      <c r="J83" s="33" t="inlineStr">
        <is>
          <t>Deliberate Rule</t>
        </is>
      </c>
      <c r="K83" s="33" t="inlineStr">
        <is>
          <t>Improvement</t>
        </is>
      </c>
      <c r="L83" s="33" t="inlineStr">
        <is>
          <t>Clarification Provided</t>
        </is>
      </c>
      <c r="M83" s="33" t="inlineStr">
        <is>
          <t>A feedback path from a disputed Not Impactful classification back into the reporting criteria, so a customer telling us a government-services disruption does affect them tunes the model rather than closing as no further context</t>
        </is>
      </c>
      <c r="N83" s="33" t="inlineStr">
        <is>
          <t>No</t>
        </is>
      </c>
      <c r="O83" s="33" t="inlineStr">
        <is>
          <t>Staged from Jira EAO-22 (Done). Eaton reported the July 14-16 ANCPI (Romania land registry) cyberattack had no corresponding WarRoom or news on the portal; RCA requested if it was in scope.</t>
        </is>
      </c>
      <c r="Q83" s="33" t="inlineStr">
        <is>
          <t>No</t>
        </is>
      </c>
      <c r="R83" s="39" t="n">
        <v>7</v>
      </c>
      <c r="T83" s="35" t="n">
        <v>46204</v>
      </c>
      <c r="U83" s="33" t="inlineStr">
        <is>
          <t>Medium</t>
        </is>
      </c>
      <c r="V83" s="33" t="inlineStr">
        <is>
          <t>WarRoom &amp; Decision Validation</t>
        </is>
      </c>
      <c r="W83" s="33" t="inlineStr">
        <is>
          <t>EAO-22</t>
        </is>
      </c>
      <c r="X83"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3" s="33" t="inlineStr">
        <is>
          <t>EventWatch Ops - Nitin Rindhe</t>
        </is>
      </c>
      <c r="Z83" s="37" t="n">
        <v>46232</v>
      </c>
    </row>
    <row r="84">
      <c r="A84" s="35" t="n">
        <v>46235</v>
      </c>
      <c r="B84" s="37" t="n">
        <v>46237</v>
      </c>
      <c r="C84" s="33" t="inlineStr">
        <is>
          <t>Factory Fire</t>
        </is>
      </c>
      <c r="D84" s="33" t="inlineStr">
        <is>
          <t>Ford</t>
        </is>
      </c>
      <c r="E84" s="39" t="n">
        <v>1</v>
      </c>
      <c r="F84" s="33" t="inlineStr">
        <is>
          <t>TOHOKU Chemical Japan Fire – Sub-tier Cashew Dust Supplier</t>
        </is>
      </c>
      <c r="G84" s="33" t="inlineStr">
        <is>
          <t>Inquiry</t>
        </is>
      </c>
      <c r="H84" s="33" t="inlineStr">
        <is>
          <t>Coverage Verification Request</t>
        </is>
      </c>
      <c r="I84" s="33" t="inlineStr">
        <is>
          <t>Process</t>
        </is>
      </c>
      <c r="J84" s="33" t="inlineStr">
        <is>
          <t>Process Clarification</t>
        </is>
      </c>
      <c r="K84" s="33" t="inlineStr">
        <is>
          <t>Improvement</t>
        </is>
      </c>
      <c r="L84" s="33" t="inlineStr">
        <is>
          <t>Clarification Provided</t>
        </is>
      </c>
      <c r="M84" s="33" t="inlineStr">
        <is>
          <t>A customer-reported event with no public source should register as a monitoring story the customer can see, and publish automatically once a credible public source appears, rather than the customer having to ask again</t>
        </is>
      </c>
      <c r="N84" s="33" t="inlineStr">
        <is>
          <t>No</t>
        </is>
      </c>
      <c r="O84" s="33" t="inlineStr">
        <is>
          <t>EAO-24: No proactive alert was generated for the July 21 fire. Customer requested RCA, ICA, and PCA for the missed coverage. RCA shared.</t>
        </is>
      </c>
      <c r="P84" s="33" t="n"/>
      <c r="Q84" s="33" t="inlineStr">
        <is>
          <t>No</t>
        </is>
      </c>
      <c r="R84" s="39" t="n">
        <v>8</v>
      </c>
      <c r="S84" s="39" t="n"/>
      <c r="T84" s="35" t="n">
        <v>46235</v>
      </c>
      <c r="U84" s="33" t="inlineStr">
        <is>
          <t>Medium</t>
        </is>
      </c>
      <c r="V84" s="33" t="inlineStr">
        <is>
          <t>Other Control Automation</t>
        </is>
      </c>
      <c r="W84" s="33" t="inlineStr">
        <is>
          <t>EAO-24</t>
        </is>
      </c>
      <c r="X84"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4" s="33" t="inlineStr">
        <is>
          <t>EventWatch Ops - Nitin Rindhe</t>
        </is>
      </c>
      <c r="Z84" s="37" t="n">
        <v>46239</v>
      </c>
    </row>
    <row r="85">
      <c r="A85" s="35" t="n">
        <v>46235</v>
      </c>
      <c r="B85" s="37" t="n">
        <v>46237</v>
      </c>
      <c r="C85" s="33" t="inlineStr">
        <is>
          <t>Factory Fire</t>
        </is>
      </c>
      <c r="D85" s="33" t="inlineStr">
        <is>
          <t>GM</t>
        </is>
      </c>
      <c r="E85" s="39" t="n">
        <v>1</v>
      </c>
      <c r="F85" s="33" t="inlineStr">
        <is>
          <t>Fire at UTAS-Nova Automotive Lighting Systems, Danyang, Jiangsu, China</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46237</v>
      </c>
      <c r="C86" s="33" t="inlineStr">
        <is>
          <t>Tornado</t>
        </is>
      </c>
      <c r="D86" s="33" t="inlineStr">
        <is>
          <t>GM</t>
        </is>
      </c>
      <c r="E86" s="39" t="n">
        <v>1</v>
      </c>
      <c r="F86" s="33" t="inlineStr">
        <is>
          <t>Chicago Heights, Illinois Tornado – Trialco Impact Not Identified</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Cluster-assignment validation so an article grouped into the wrong cluster is caught before analyst review</t>
        </is>
      </c>
      <c r="N86" s="33" t="inlineStr">
        <is>
          <t>Yes</t>
        </is>
      </c>
      <c r="O86"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6" s="33" t="inlineStr">
        <is>
          <t>Yes</t>
        </is>
      </c>
      <c r="R86" s="39" t="n">
        <v>8</v>
      </c>
      <c r="T86" s="35" t="n">
        <v>46235</v>
      </c>
      <c r="U86" s="33" t="inlineStr">
        <is>
          <t>Medium</t>
        </is>
      </c>
      <c r="V86" s="33" t="inlineStr">
        <is>
          <t>Dynamic Source Discovery</t>
        </is>
      </c>
      <c r="W86" s="33" t="inlineStr">
        <is>
          <t>EAO-25</t>
        </is>
      </c>
      <c r="X86"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6" s="33" t="inlineStr">
        <is>
          <t>Product &amp; Platform</t>
        </is>
      </c>
      <c r="Z86" s="37" t="n"/>
    </row>
    <row r="87">
      <c r="A87" s="35" t="n">
        <v>46235</v>
      </c>
      <c r="B87" s="37" t="n">
        <v>46238</v>
      </c>
      <c r="C87" s="33" t="inlineStr">
        <is>
          <t>Earthquake</t>
        </is>
      </c>
      <c r="D87" s="33" t="inlineStr">
        <is>
          <t>Hitachi</t>
        </is>
      </c>
      <c r="E87" s="39" t="n">
        <v>1</v>
      </c>
      <c r="F87" s="33" t="inlineStr">
        <is>
          <t>Disruption Agent Returns Only Tier 1 Suppliers for Kumamoto Earthquake Query (Hitachi)</t>
        </is>
      </c>
      <c r="G87" s="33" t="inlineStr">
        <is>
          <t>Complaint</t>
        </is>
      </c>
      <c r="H87" s="33" t="inlineStr">
        <is>
          <t>Impacted Supplier Missing</t>
        </is>
      </c>
      <c r="I87" s="33" t="inlineStr">
        <is>
          <t>Product</t>
        </is>
      </c>
      <c r="J87" s="33" t="inlineStr">
        <is>
          <t>Platform Bug</t>
        </is>
      </c>
      <c r="K87" s="33" t="inlineStr">
        <is>
          <t>Improvement</t>
        </is>
      </c>
      <c r="L87" s="33" t="inlineStr">
        <is>
          <t>Fixed</t>
        </is>
      </c>
      <c r="M87" s="33" t="inlineStr">
        <is>
          <t>Disruption Agent response completeness checks so a prompt asking for multiple supplier tiers returns all of them in one response</t>
        </is>
      </c>
      <c r="N87" s="33" t="inlineStr">
        <is>
          <t>No</t>
        </is>
      </c>
      <c r="O87" s="33" t="inlineStr">
        <is>
          <t>From Jira CAN-3433 (Resolved). For Hitachi, a single Disruption Agent prompt asking for both Tier 1 and Tier 2 suppliers potentially impacted by the 6.8 magnitude Kumamoto earthquake returned Tier 1 only; Tier 2 required a second prompt. Whitespace / data-hygiene matching defect fixed under TENAR-45367.</t>
        </is>
      </c>
      <c r="P87" s="33" t="n"/>
      <c r="Q87" s="33" t="inlineStr">
        <is>
          <t>No</t>
        </is>
      </c>
      <c r="R87" s="39" t="n">
        <v>8</v>
      </c>
      <c r="S87" s="39" t="n"/>
      <c r="T87" s="35" t="inlineStr">
        <is>
          <t>Aug 2026</t>
        </is>
      </c>
      <c r="U87" s="33" t="inlineStr">
        <is>
          <t>Low</t>
        </is>
      </c>
      <c r="V87" s="33" t="inlineStr">
        <is>
          <t>Other Control Automation</t>
        </is>
      </c>
      <c r="W87" s="33" t="inlineStr">
        <is>
          <t>CAN-3433</t>
        </is>
      </c>
      <c r="X87" s="33" t="inlineStr">
        <is>
          <t>A data hygiene defect on the EventWatch side: leading and trailing spaces in the values the Disruption Agent matched on. They were stripped under TENAR-45367 and the fix was verified on stage on 07-Aug-2026.</t>
        </is>
      </c>
      <c r="Y87" s="33" t="inlineStr">
        <is>
          <t>Product &amp; Platform</t>
        </is>
      </c>
      <c r="Z87" s="37" t="n"/>
    </row>
    <row r="88">
      <c r="A88" s="35" t="n">
        <v>46235</v>
      </c>
      <c r="B88" s="37" t="n">
        <v>46245</v>
      </c>
      <c r="C88" s="33" t="inlineStr">
        <is>
          <t>Regulatory Change</t>
        </is>
      </c>
      <c r="D88" s="33" t="inlineStr">
        <is>
          <t>Ford</t>
        </is>
      </c>
      <c r="E88" s="39" t="n">
        <v>1</v>
      </c>
      <c r="F88" s="33" t="inlineStr">
        <is>
          <t>China MOFCOM Announcement No. 30 of 2026 (Export Control Watchlist)</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Not Impactful Decision Validation</t>
        </is>
      </c>
      <c r="N88" s="33" t="inlineStr">
        <is>
          <t>Yes</t>
        </is>
      </c>
      <c r="O88" s="33" t="inlineStr">
        <is>
          <t>EAO-23: News was captured but initially classified as Not Impactful by AI. Human-in-the-loop review did not escalate the event. RCA shared based on the investigation trail.</t>
        </is>
      </c>
      <c r="P88" s="33" t="n"/>
      <c r="Q88" s="33" t="inlineStr">
        <is>
          <t>Yes</t>
        </is>
      </c>
      <c r="R88" s="39" t="n">
        <v>8</v>
      </c>
      <c r="S88" s="39" t="n"/>
      <c r="T88" s="35" t="n">
        <v>46235</v>
      </c>
      <c r="U88" s="33" t="inlineStr">
        <is>
          <t>Medium</t>
        </is>
      </c>
      <c r="V88" s="33" t="inlineStr">
        <is>
          <t>WarRoom &amp; Decision Validation</t>
        </is>
      </c>
      <c r="W88" s="33" t="inlineStr">
        <is>
          <t>EAO-23</t>
        </is>
      </c>
      <c r="X88" s="33" t="inlineStr">
        <is>
          <t>RCA approved and sent to the customer on 05-Aug-2026 as a PDF attached to EAO-23; the document text is not in the ticket.</t>
        </is>
      </c>
      <c r="Y88" s="33" t="inlineStr">
        <is>
          <t>EventWatch Ops - Nitin Rindhe</t>
        </is>
      </c>
      <c r="Z88" s="37" t="n">
        <v>46252</v>
      </c>
    </row>
    <row r="89">
      <c r="A89" s="35" t="n">
        <v>46235</v>
      </c>
      <c r="B89" s="37" t="n">
        <v>46248</v>
      </c>
      <c r="C89" s="33" t="inlineStr">
        <is>
          <t>Bankruptcy</t>
        </is>
      </c>
      <c r="D89" s="33" t="inlineStr">
        <is>
          <t>Infineon</t>
        </is>
      </c>
      <c r="E89" s="39" t="n">
        <v>1</v>
      </c>
      <c r="F89" s="33" t="inlineStr">
        <is>
          <t>Eberhard AG Insolvency – No EventWatch Alert (Infineon)</t>
        </is>
      </c>
      <c r="G89" s="33" t="inlineStr">
        <is>
          <t>Complaint</t>
        </is>
      </c>
      <c r="H89" s="33" t="inlineStr">
        <is>
          <t>Missed insolvency alert</t>
        </is>
      </c>
      <c r="I89" s="33" t="inlineStr">
        <is>
          <t>Product</t>
        </is>
      </c>
      <c r="J89" s="33" t="inlineStr">
        <is>
          <t>Source Coverage</t>
        </is>
      </c>
      <c r="K89" s="33" t="inlineStr">
        <is>
          <t>Improvement</t>
        </is>
      </c>
      <c r="L89" s="33" t="inlineStr">
        <is>
          <t>RCA Shared</t>
        </is>
      </c>
      <c r="M89" s="33" t="inlineStr">
        <is>
          <t>Add the bankruptcy and insolvency sources covering this supplier's region to the vendor network, so a filing at a mapped supplier is captured when it is published rather than when the customer raises it</t>
        </is>
      </c>
      <c r="N89" s="33" t="inlineStr">
        <is>
          <t>Yes</t>
        </is>
      </c>
      <c r="O89"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9" s="33" t="n"/>
      <c r="Q89" s="33" t="inlineStr">
        <is>
          <t>Yes</t>
        </is>
      </c>
      <c r="R89" s="39" t="n">
        <v>8</v>
      </c>
      <c r="S89" s="39" t="n"/>
      <c r="T89" s="35" t="inlineStr">
        <is>
          <t>Aug 2026</t>
        </is>
      </c>
      <c r="U89" s="33" t="inlineStr">
        <is>
          <t>Medium</t>
        </is>
      </c>
      <c r="V89" s="33" t="inlineStr">
        <is>
          <t>Dynamic Source Discovery</t>
        </is>
      </c>
      <c r="W89" s="33" t="n"/>
      <c r="X89" s="33" t="inlineStr">
        <is>
          <t>The sources reporting the Eberhard AG insolvency are not part of the vendor network; the vendor has been asked to include them. Recorded by Product Management as a source miss at the portal.</t>
        </is>
      </c>
      <c r="Y89" s="33" t="inlineStr">
        <is>
          <t>Product &amp; Platform</t>
        </is>
      </c>
      <c r="Z89" s="37" t="n"/>
    </row>
    <row r="90">
      <c r="A90" s="35" t="n">
        <v>46235</v>
      </c>
      <c r="B90" s="37" t="n">
        <v>46251</v>
      </c>
      <c r="C90" s="33" t="inlineStr">
        <is>
          <t>Geopolitical</t>
        </is>
      </c>
      <c r="D90" s="33" t="inlineStr">
        <is>
          <t>Ford</t>
        </is>
      </c>
      <c r="E90" s="39" t="n">
        <v>1</v>
      </c>
      <c r="F90" s="33" t="inlineStr">
        <is>
          <t>Ceuta Border Security &amp; Humanitarian Crisis</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WarRoom Trigger Automation</t>
        </is>
      </c>
      <c r="N90" s="33" t="inlineStr">
        <is>
          <t>Yes</t>
        </is>
      </c>
      <c r="O90" s="33" t="inlineStr">
        <is>
          <t>EAO-27: Customer reported a missed EventWatch alert and requested an update. RCA shared following review of the event.</t>
        </is>
      </c>
      <c r="P90" s="33" t="n"/>
      <c r="Q90" s="33" t="inlineStr">
        <is>
          <t>Yes</t>
        </is>
      </c>
      <c r="R90" s="39" t="n">
        <v>8</v>
      </c>
      <c r="S90" s="39" t="n"/>
      <c r="T90" s="35" t="n">
        <v>46235</v>
      </c>
      <c r="U90" s="33" t="inlineStr">
        <is>
          <t>Medium</t>
        </is>
      </c>
      <c r="V90" s="33" t="inlineStr">
        <is>
          <t>WarRoom &amp; Decision Validation</t>
        </is>
      </c>
      <c r="W90" s="33" t="inlineStr">
        <is>
          <t>EAO-27</t>
        </is>
      </c>
      <c r="X90" s="33" t="inlineStr">
        <is>
          <t>RCA reviewed and sent to the customer on 20-Aug-2026 as a PDF attached to EAO-27; the document text is not in the ticket. Closed 25-Aug-2026 after no customer follow-up.</t>
        </is>
      </c>
      <c r="Y90" s="33" t="inlineStr">
        <is>
          <t>EventWatch Ops - Nitin Rindhe</t>
        </is>
      </c>
      <c r="Z90" s="37" t="n">
        <v>46259</v>
      </c>
    </row>
    <row r="91">
      <c r="A91" s="35" t="n">
        <v>46235</v>
      </c>
      <c r="B91" s="37" t="n">
        <v>46251</v>
      </c>
      <c r="C91" s="33" t="inlineStr">
        <is>
          <t>Port Disruption</t>
        </is>
      </c>
      <c r="D91" s="33" t="inlineStr">
        <is>
          <t>Eaton</t>
        </is>
      </c>
      <c r="E91" s="39" t="n">
        <v>1</v>
      </c>
      <c r="F91" s="33" t="inlineStr">
        <is>
          <t>Kandla Port Cargo Congestion – Supplier Impact Notification Clarification (Eaton)</t>
        </is>
      </c>
      <c r="G91" s="33" t="inlineStr">
        <is>
          <t>Inquiry</t>
        </is>
      </c>
      <c r="H91" s="33" t="inlineStr">
        <is>
          <t>Supplier Impact Mapping Clarification</t>
        </is>
      </c>
      <c r="I91" s="33" t="inlineStr">
        <is>
          <t>Process</t>
        </is>
      </c>
      <c r="J91" s="33" t="inlineStr">
        <is>
          <t>Deliberate Rule</t>
        </is>
      </c>
      <c r="K91" s="33" t="inlineStr">
        <is>
          <t>Improvement</t>
        </is>
      </c>
      <c r="L91" s="33" t="inlineStr">
        <is>
          <t>Clarification Provided</t>
        </is>
      </c>
      <c r="M91" s="33" t="inlineStr">
        <is>
          <t>Impact-confirmation notification criteria documentation for port/logistics bulletins</t>
        </is>
      </c>
      <c r="N91" s="33" t="inlineStr">
        <is>
          <t>No</t>
        </is>
      </c>
      <c r="O91" s="33" t="inlineStr">
        <is>
          <t>Staged from Jira EAO-28 (Done). Eaton asked what criteria triggered impact-confirmation notifications to Eaton suppliers on the Kandla Port cargo congestion bulletin, since the bulletin text focused on rice exports.</t>
        </is>
      </c>
      <c r="Q91" s="33" t="inlineStr">
        <is>
          <t>No</t>
        </is>
      </c>
      <c r="R91" s="39" t="n">
        <v>8</v>
      </c>
      <c r="T91" s="35" t="n">
        <v>46235</v>
      </c>
      <c r="U91" s="33" t="inlineStr">
        <is>
          <t>Low</t>
        </is>
      </c>
      <c r="V91" s="33" t="inlineStr">
        <is>
          <t>Entity &amp; Supplier Resolution</t>
        </is>
      </c>
      <c r="W91" s="33" t="inlineStr">
        <is>
          <t>EAO-28</t>
        </is>
      </c>
      <c r="X91"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1" s="33" t="inlineStr">
        <is>
          <t>EventWatch Ops - Nitin Rindhe</t>
        </is>
      </c>
      <c r="Z91" s="37" t="n">
        <v>46259</v>
      </c>
    </row>
    <row r="92">
      <c r="A92" s="35" t="n">
        <v>46235</v>
      </c>
      <c r="B92" s="37" t="n">
        <v>46252</v>
      </c>
      <c r="C92" s="33" t="inlineStr">
        <is>
          <t>Factory Fire</t>
        </is>
      </c>
      <c r="D92" s="33" t="inlineStr">
        <is>
          <t>Ford</t>
        </is>
      </c>
      <c r="E92" s="39" t="n">
        <v>1</v>
      </c>
      <c r="F92" s="33" t="inlineStr">
        <is>
          <t>Sasol Polyethylene Plant Fire / Shutdown</t>
        </is>
      </c>
      <c r="G92" s="33" t="inlineStr">
        <is>
          <t>Complaint</t>
        </is>
      </c>
      <c r="H92" s="33" t="inlineStr">
        <is>
          <t>Missed Event</t>
        </is>
      </c>
      <c r="I92" s="33" t="inlineStr">
        <is>
          <t>Product</t>
        </is>
      </c>
      <c r="J92" s="33" t="inlineStr">
        <is>
          <t>Source Coverage</t>
        </is>
      </c>
      <c r="K92" s="33" t="inlineStr">
        <is>
          <t>Improvement</t>
        </is>
      </c>
      <c r="L92" s="33" t="inlineStr">
        <is>
          <t>RCA Shared</t>
        </is>
      </c>
      <c r="M92" s="33" t="inlineStr">
        <is>
          <t>Dynamic Source Discovery</t>
        </is>
      </c>
      <c r="N92" s="33" t="inlineStr">
        <is>
          <t>Yes</t>
        </is>
      </c>
      <c r="O92" s="33" t="inlineStr">
        <is>
          <t>EAO-26: Customer reported a missed EventWatch alert for the Sasol polyethylene plant fire and shutdown. Investigation and RCA were requested; RCA shared.</t>
        </is>
      </c>
      <c r="P92" s="33" t="n"/>
      <c r="Q92" s="33" t="inlineStr">
        <is>
          <t>Yes</t>
        </is>
      </c>
      <c r="R92" s="39" t="n">
        <v>8</v>
      </c>
      <c r="S92" s="39" t="n"/>
      <c r="T92" s="35" t="n">
        <v>46235</v>
      </c>
      <c r="U92" s="33" t="inlineStr">
        <is>
          <t>Medium</t>
        </is>
      </c>
      <c r="V92" s="33" t="inlineStr">
        <is>
          <t>Dynamic Source Discovery</t>
        </is>
      </c>
      <c r="W92" s="33" t="inlineStr">
        <is>
          <t>EAO-26</t>
        </is>
      </c>
      <c r="X92" s="33" t="inlineStr">
        <is>
          <t>RCA reviewed and sent to the customer on 20-Aug-2026 as a PDF attached to EAO-26; the document text is not in the ticket. Closed 25-Aug-2026 after no customer follow-up.</t>
        </is>
      </c>
      <c r="Y92" s="33" t="inlineStr">
        <is>
          <t>Product &amp; Platform</t>
        </is>
      </c>
      <c r="Z92" s="37" t="n">
        <v>46259</v>
      </c>
    </row>
    <row r="93">
      <c r="A93" s="35" t="n">
        <v>46235</v>
      </c>
      <c r="B93" s="37" t="n">
        <v>46254</v>
      </c>
      <c r="C93" s="33" t="inlineStr">
        <is>
          <t>Hurricane/Typhoon</t>
        </is>
      </c>
      <c r="D93" s="33" t="inlineStr">
        <is>
          <t>Ford</t>
        </is>
      </c>
      <c r="E93" s="39" t="n">
        <v>1</v>
      </c>
      <c r="F93" s="33" t="inlineStr">
        <is>
          <t>Typhoon Dolphin Bulletins Distributed Across Two WarRooms</t>
        </is>
      </c>
      <c r="G93" s="33" t="inlineStr">
        <is>
          <t>Inquiry</t>
        </is>
      </c>
      <c r="H93" s="33" t="inlineStr">
        <is>
          <t>Coverage Verification Request</t>
        </is>
      </c>
      <c r="I93" s="33" t="inlineStr">
        <is>
          <t>Product</t>
        </is>
      </c>
      <c r="J93" s="33" t="inlineStr">
        <is>
          <t>Clustering / Duplication Defect</t>
        </is>
      </c>
      <c r="K93" s="33" t="inlineStr">
        <is>
          <t>Improvement</t>
        </is>
      </c>
      <c r="L93" s="33" t="inlineStr">
        <is>
          <t>RCA Shared</t>
        </is>
      </c>
      <c r="M93" s="33" t="inlineStr">
        <is>
          <t>Make the shared update sequence legible on the bulletin itself, so a jump from Update 2 to Update 5 in one country's WarRoom shows which storm-lifecycle updates ran under the other WarRooms instead of reading as missing bulletins</t>
        </is>
      </c>
      <c r="N93" s="33" t="inlineStr">
        <is>
          <t>No</t>
        </is>
      </c>
      <c r="O93" s="33" t="inlineStr">
        <is>
          <t>EAO-29: Bulletins were distributed across two WarRooms, resulting in gaps in the update sequence. Customer requested RCA; RCA shared.</t>
        </is>
      </c>
      <c r="P93" s="33" t="n"/>
      <c r="Q93" s="33" t="inlineStr">
        <is>
          <t>No</t>
        </is>
      </c>
      <c r="R93" s="39" t="n">
        <v>8</v>
      </c>
      <c r="S93" s="39" t="n"/>
      <c r="T93" s="35" t="n">
        <v>46235</v>
      </c>
      <c r="U93" s="33" t="inlineStr">
        <is>
          <t>Low</t>
        </is>
      </c>
      <c r="V93" s="33" t="inlineStr">
        <is>
          <t>Other Control Automation</t>
        </is>
      </c>
      <c r="W93" s="33" t="inlineStr">
        <is>
          <t>EAO-29</t>
        </is>
      </c>
      <c r="X93"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3" s="33" t="inlineStr">
        <is>
          <t>Product &amp; Platform</t>
        </is>
      </c>
      <c r="Z93" s="37" t="n">
        <v>46272</v>
      </c>
    </row>
    <row r="94">
      <c r="A94" s="35" t="n">
        <v>46235</v>
      </c>
      <c r="B94" s="37" t="n">
        <v>46255</v>
      </c>
      <c r="C94" s="33" t="inlineStr">
        <is>
          <t>Port Disruption</t>
        </is>
      </c>
      <c r="D94" s="33" t="inlineStr">
        <is>
          <t>Ford/GM</t>
        </is>
      </c>
      <c r="E94" s="39" t="n">
        <v>2</v>
      </c>
      <c r="F94" s="33" t="inlineStr">
        <is>
          <t>World Trade Bridge Closed in Laredo, Texas</t>
        </is>
      </c>
      <c r="G94" s="33" t="inlineStr">
        <is>
          <t>Complaint</t>
        </is>
      </c>
      <c r="H94" s="33" t="inlineStr">
        <is>
          <t>Missed Event</t>
        </is>
      </c>
      <c r="I94" s="33" t="inlineStr">
        <is>
          <t>Product</t>
        </is>
      </c>
      <c r="J94" s="33" t="inlineStr">
        <is>
          <t>Keyword Update</t>
        </is>
      </c>
      <c r="K94" s="33" t="inlineStr">
        <is>
          <t>Improvement</t>
        </is>
      </c>
      <c r="L94" s="33" t="inlineStr">
        <is>
          <t>Fixed</t>
        </is>
      </c>
      <c r="M94" s="33" t="inlineStr">
        <is>
          <t>Dynamic Source Discovery</t>
        </is>
      </c>
      <c r="N94" s="33" t="inlineStr">
        <is>
          <t>Yes</t>
        </is>
      </c>
      <c r="O94" s="33" t="inlineStr">
        <is>
          <t>EAO-25: Event was missed due to a keyword gap. Keyword was added and the article is now being captured.</t>
        </is>
      </c>
      <c r="P94" s="33" t="n"/>
      <c r="Q94" s="33" t="inlineStr">
        <is>
          <t>Yes</t>
        </is>
      </c>
      <c r="R94" s="39" t="n">
        <v>8</v>
      </c>
      <c r="S94" s="39" t="n"/>
      <c r="T94" s="35" t="n">
        <v>46235</v>
      </c>
      <c r="U94" s="33" t="inlineStr">
        <is>
          <t>Medium</t>
        </is>
      </c>
      <c r="V94" s="33" t="inlineStr">
        <is>
          <t>Dynamic Source Discovery</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Product &amp; Platform</t>
        </is>
      </c>
      <c r="Z94" s="37" t="n"/>
    </row>
    <row r="95">
      <c r="A95" s="35" t="n">
        <v>46235</v>
      </c>
      <c r="B95" s="37" t="n">
        <v>46255</v>
      </c>
      <c r="C95" s="33" t="inlineStr">
        <is>
          <t>Factory Fire</t>
        </is>
      </c>
      <c r="D95" s="33" t="inlineStr">
        <is>
          <t>Ford/GM</t>
        </is>
      </c>
      <c r="E95" s="39" t="n">
        <v>2</v>
      </c>
      <c r="F95" s="33" t="inlineStr">
        <is>
          <t>Fire at FXI de Cuautitlán, S.A. de C.V.</t>
        </is>
      </c>
      <c r="G95" s="33" t="inlineStr">
        <is>
          <t>Complaint</t>
        </is>
      </c>
      <c r="H95" s="33" t="inlineStr">
        <is>
          <t>Missed Event</t>
        </is>
      </c>
      <c r="I95" s="33" t="inlineStr">
        <is>
          <t>Product</t>
        </is>
      </c>
      <c r="J95" s="33" t="inlineStr">
        <is>
          <t>Source Coverage</t>
        </is>
      </c>
      <c r="K95" s="33" t="inlineStr">
        <is>
          <t>Improvement</t>
        </is>
      </c>
      <c r="L95" s="33" t="inlineStr">
        <is>
          <t>RCA Shared</t>
        </is>
      </c>
      <c r="M95" s="33" t="inlineStr">
        <is>
          <t>Dynamic Source Discovery</t>
        </is>
      </c>
      <c r="N95" s="33" t="inlineStr">
        <is>
          <t>Yes</t>
        </is>
      </c>
      <c r="O95" s="33" t="inlineStr">
        <is>
          <t>EAO-25: Event was not captured by the vendor due to a source coverage gap. Vendor was asked to add the sources to its network. RCA shared based on the investigation trail.</t>
        </is>
      </c>
      <c r="P95" s="33" t="n"/>
      <c r="Q95" s="33" t="inlineStr">
        <is>
          <t>Yes</t>
        </is>
      </c>
      <c r="R95" s="39" t="n">
        <v>8</v>
      </c>
      <c r="S95" s="39" t="n"/>
      <c r="T95" s="35" t="n">
        <v>46235</v>
      </c>
      <c r="U95" s="33" t="inlineStr">
        <is>
          <t>Medium</t>
        </is>
      </c>
      <c r="V95" s="33" t="inlineStr">
        <is>
          <t>Dynamic Source Discovery</t>
        </is>
      </c>
      <c r="W95" s="33" t="inlineStr">
        <is>
          <t>EAO-25</t>
        </is>
      </c>
      <c r="X9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5" s="33" t="inlineStr">
        <is>
          <t>Product &amp; Platform</t>
        </is>
      </c>
      <c r="Z95" s="37" t="n"/>
    </row>
    <row r="96">
      <c r="A96" s="35" t="n">
        <v>46235</v>
      </c>
      <c r="B96" s="37" t="n">
        <v>46258</v>
      </c>
      <c r="C96" s="33" t="inlineStr">
        <is>
          <t>Factory Fire</t>
        </is>
      </c>
      <c r="D96" s="33" t="inlineStr">
        <is>
          <t>Ford/GM</t>
        </is>
      </c>
      <c r="E96" s="39" t="n">
        <v>2</v>
      </c>
      <c r="F96" s="33" t="inlineStr">
        <is>
          <t>Fire at Nemak Factory in Monterrey, Mexico</t>
        </is>
      </c>
      <c r="G96" s="33" t="inlineStr">
        <is>
          <t>Complaint</t>
        </is>
      </c>
      <c r="H96" s="33" t="inlineStr">
        <is>
          <t>Missed Event</t>
        </is>
      </c>
      <c r="I96" s="33" t="inlineStr">
        <is>
          <t>People</t>
        </is>
      </c>
      <c r="J96" s="33" t="inlineStr">
        <is>
          <t>Review</t>
        </is>
      </c>
      <c r="K96" s="33" t="inlineStr">
        <is>
          <t>Improvement</t>
        </is>
      </c>
      <c r="L96" s="33" t="inlineStr">
        <is>
          <t>RCA Shared</t>
        </is>
      </c>
      <c r="M96" s="33" t="inlineStr">
        <is>
          <t>Not Impactful Decision Validation</t>
        </is>
      </c>
      <c r="N96" s="33" t="inlineStr">
        <is>
          <t>Yes</t>
        </is>
      </c>
      <c r="O96" s="33" t="inlineStr">
        <is>
          <t>EAO-25: News processing captured the article and attached it to an updated factory-fire cluster. The event was later marked Not Impactful by the analyst. RCA shared based on the investigation trail.</t>
        </is>
      </c>
      <c r="P96" s="33" t="n"/>
      <c r="Q96" s="33" t="inlineStr">
        <is>
          <t>Yes</t>
        </is>
      </c>
      <c r="R96" s="39" t="n">
        <v>8</v>
      </c>
      <c r="S96" s="39" t="n"/>
      <c r="T96" s="35" t="n">
        <v>46235</v>
      </c>
      <c r="U96" s="33" t="inlineStr">
        <is>
          <t>Medium</t>
        </is>
      </c>
      <c r="V96" s="33" t="inlineStr">
        <is>
          <t>WarRoom &amp; Decision Validation</t>
        </is>
      </c>
      <c r="W96" s="33" t="inlineStr">
        <is>
          <t>EAO-25</t>
        </is>
      </c>
      <c r="X96"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6" s="33" t="inlineStr">
        <is>
          <t>EventWatch Ops - Nitin Rindhe</t>
        </is>
      </c>
      <c r="Z96" s="37" t="n"/>
    </row>
    <row r="97">
      <c r="A97" s="35" t="n">
        <v>46235</v>
      </c>
      <c r="B97" s="37" t="n">
        <v>46258</v>
      </c>
      <c r="C97" s="33" t="inlineStr">
        <is>
          <t>Cyber Attack</t>
        </is>
      </c>
      <c r="D97" s="33" t="inlineStr">
        <is>
          <t>The American National Red Cross</t>
        </is>
      </c>
      <c r="E97" s="39" t="n">
        <v>1</v>
      </c>
      <c r="F97" s="33" t="inlineStr">
        <is>
          <t>Uber Freight Investigates Reported Cyberattack After Hackers Claim Data Breach</t>
        </is>
      </c>
      <c r="G97" s="33" t="inlineStr">
        <is>
          <t>Complaint</t>
        </is>
      </c>
      <c r="H97" s="33" t="inlineStr">
        <is>
          <t>WarRoom not visible in customer profile</t>
        </is>
      </c>
      <c r="I97" s="33" t="inlineStr">
        <is>
          <t>People</t>
        </is>
      </c>
      <c r="J97" s="33" t="inlineStr">
        <is>
          <t>Industry selection</t>
        </is>
      </c>
      <c r="K97" s="33" t="inlineStr">
        <is>
          <t>Improvement</t>
        </is>
      </c>
      <c r="L97" s="33" t="inlineStr">
        <is>
          <t>RCA Shared</t>
        </is>
      </c>
      <c r="M97" s="33" t="inlineStr">
        <is>
          <t>Notification Visibility Monitoring</t>
        </is>
      </c>
      <c r="N97" s="33" t="inlineStr">
        <is>
          <t>No</t>
        </is>
      </c>
      <c r="O97" s="33" t="inlineStr">
        <is>
          <t>EAO-30: EventWatch news was published on August 13 but was not visible on the customer portal. Portal visibility investigation completed and clarification provided. Settled by the owner: the bulletin was published, but the analyst selected incomplete industries and review did not correct the selection. This is a publishing-quality complaint, not a missed bulletin, so Missed_Flag is No.</t>
        </is>
      </c>
      <c r="P97" s="33" t="n"/>
      <c r="Q97" s="33" t="inlineStr">
        <is>
          <t>Yes</t>
        </is>
      </c>
      <c r="R97" s="39" t="n">
        <v>8</v>
      </c>
      <c r="S97" s="39" t="n"/>
      <c r="T97" s="35" t="n">
        <v>46235</v>
      </c>
      <c r="U97" s="33" t="inlineStr">
        <is>
          <t>Medium</t>
        </is>
      </c>
      <c r="V97" s="33" t="inlineStr">
        <is>
          <t>Notification Visibility Monitoring</t>
        </is>
      </c>
      <c r="W97" s="33" t="inlineStr">
        <is>
          <t>TS-22695</t>
        </is>
      </c>
      <c r="X97" s="33" t="n"/>
      <c r="Y97" s="33" t="inlineStr">
        <is>
          <t>EventWatch Ops - Nitin Rindhe</t>
        </is>
      </c>
      <c r="Z97" s="37" t="n"/>
    </row>
    <row r="98">
      <c r="A98" s="35" t="n">
        <v>46235</v>
      </c>
      <c r="B98" s="37" t="n">
        <v>46265</v>
      </c>
      <c r="C98" s="33" t="inlineStr">
        <is>
          <t>Cyber Attack</t>
        </is>
      </c>
      <c r="D98" s="33" t="inlineStr">
        <is>
          <t>Schneider Electric</t>
        </is>
      </c>
      <c r="E98" s="39" t="n">
        <v>1</v>
      </c>
      <c r="F98" s="33" t="inlineStr">
        <is>
          <t>Gindre India Data Breach – EventWatch Alert/WarRoom Missing</t>
        </is>
      </c>
      <c r="G98" s="33" t="inlineStr">
        <is>
          <t>Complaint</t>
        </is>
      </c>
      <c r="H98" s="33" t="inlineStr">
        <is>
          <t>Missed Event</t>
        </is>
      </c>
      <c r="I98" s="33" t="inlineStr">
        <is>
          <t>Product</t>
        </is>
      </c>
      <c r="J98" s="33" t="inlineStr">
        <is>
          <t>Source Coverage</t>
        </is>
      </c>
      <c r="K98" s="33" t="inlineStr">
        <is>
          <t>Improvement</t>
        </is>
      </c>
      <c r="L98" s="33" t="inlineStr">
        <is>
          <t>RCA Shared</t>
        </is>
      </c>
      <c r="M98" s="33" t="inlineStr">
        <is>
          <t>Dynamic Source Discovery</t>
        </is>
      </c>
      <c r="N98" s="33" t="inlineStr">
        <is>
          <t>Yes</t>
        </is>
      </c>
      <c r="O98" s="33" t="inlineStr">
        <is>
          <t>EAO-31: No corresponding EventWatch event or WarRoom was found for the reported data breach. Source coverage review completed and RCA shared.</t>
        </is>
      </c>
      <c r="P98" s="33" t="n"/>
      <c r="Q98" s="33" t="inlineStr">
        <is>
          <t>Yes</t>
        </is>
      </c>
      <c r="R98" s="39" t="n">
        <v>8</v>
      </c>
      <c r="S98" s="39" t="n"/>
      <c r="T98" s="35" t="n">
        <v>46235</v>
      </c>
      <c r="U98" s="33" t="inlineStr">
        <is>
          <t>Medium</t>
        </is>
      </c>
      <c r="V98" s="33" t="inlineStr">
        <is>
          <t>Dynamic Source Discovery</t>
        </is>
      </c>
      <c r="W98" s="33" t="inlineStr">
        <is>
          <t>EAO-31</t>
        </is>
      </c>
      <c r="X98" s="33" t="inlineStr">
        <is>
          <t>Feeds reporting the Qilin ransomware breach at Gindre India were not captured on the EventWatch portal; Engineering investigation requested 31-Aug-2026. RCA reviewed and shared with the customer 03-Sep-2026.</t>
        </is>
      </c>
      <c r="Y98" s="33" t="inlineStr">
        <is>
          <t>Product &amp; Platform</t>
        </is>
      </c>
      <c r="Z98" s="37" t="n">
        <v>46272</v>
      </c>
    </row>
    <row r="99">
      <c r="A99" s="35" t="n">
        <v>46235</v>
      </c>
      <c r="B99" s="37" t="n">
        <v>46265</v>
      </c>
      <c r="C99" s="33" t="inlineStr">
        <is>
          <t>Cyber Attack</t>
        </is>
      </c>
      <c r="D99" s="33" t="inlineStr">
        <is>
          <t>Merck</t>
        </is>
      </c>
      <c r="E99" s="39" t="n">
        <v>1</v>
      </c>
      <c r="F99" s="33" t="inlineStr">
        <is>
          <t>Baxter International Reports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Not Impactful Decision Validation</t>
        </is>
      </c>
      <c r="N99" s="33" t="inlineStr">
        <is>
          <t>Yes</t>
        </is>
      </c>
      <c r="O99" s="33" t="inlineStr">
        <is>
          <t>Customer reported the missed Baxter ransomware incident. EventWatch captured the report on August 14, but human review incorrectly marked it Not Impactful;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Cyber Attack</t>
        </is>
      </c>
      <c r="D100" s="33" t="inlineStr">
        <is>
          <t>Merck</t>
        </is>
      </c>
      <c r="E100" s="39" t="n">
        <v>1</v>
      </c>
      <c r="F100" s="33" t="inlineStr">
        <is>
          <t>McKesson Corporation Confirms Data Breach Following a Cybersecurity Incident</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Entity &amp; Duplicate Decision Validation</t>
        </is>
      </c>
      <c r="N100" s="33" t="inlineStr">
        <is>
          <t>Yes</t>
        </is>
      </c>
      <c r="O100" s="33" t="inlineStr">
        <is>
          <t>Customer reported the missed McKesson data-breach incident. EventWatch captured the report on August 28, but human review assumed it was already covered; the event was re-evaluated, a WarRoom was created, and an NC was raised.</t>
        </is>
      </c>
      <c r="P100" s="33" t="n"/>
      <c r="Q100" s="33" t="inlineStr">
        <is>
          <t>Yes</t>
        </is>
      </c>
      <c r="R100" s="39" t="n">
        <v>8</v>
      </c>
      <c r="S100" s="39" t="n"/>
      <c r="T100" s="35" t="n">
        <v>46235</v>
      </c>
      <c r="U100" s="33" t="inlineStr">
        <is>
          <t>Medium</t>
        </is>
      </c>
      <c r="V100" s="33" t="inlineStr">
        <is>
          <t>WarRoom &amp; Decision Validation</t>
        </is>
      </c>
      <c r="X100" s="33" t="n"/>
      <c r="Y100" s="33" t="inlineStr">
        <is>
          <t>EventWatch Ops - Nitin Rindhe</t>
        </is>
      </c>
      <c r="Z100" s="37" t="n"/>
    </row>
    <row r="101">
      <c r="A101" s="35" t="n">
        <v>46235</v>
      </c>
      <c r="B101" s="37" t="n">
        <v>46265</v>
      </c>
      <c r="C101" s="33" t="inlineStr">
        <is>
          <t>Counterfeit</t>
        </is>
      </c>
      <c r="D101" s="33" t="inlineStr">
        <is>
          <t>Liberty Blume</t>
        </is>
      </c>
      <c r="E101" s="39" t="n">
        <v>1</v>
      </c>
      <c r="F101" s="33" t="inlineStr">
        <is>
          <t>Ciena 400G Optics Counterfeit Risk Intelligence Request (Liberty Blume)</t>
        </is>
      </c>
      <c r="G101" s="33" t="inlineStr">
        <is>
          <t>Inquiry</t>
        </is>
      </c>
      <c r="H101" s="33" t="inlineStr">
        <is>
          <t>Intelligence/Advisory Request</t>
        </is>
      </c>
      <c r="I101" s="33" t="inlineStr">
        <is>
          <t>Process</t>
        </is>
      </c>
      <c r="J101" s="33" t="inlineStr">
        <is>
          <t>Process Clarification</t>
        </is>
      </c>
      <c r="K101" s="33" t="inlineStr">
        <is>
          <t>Improvement</t>
        </is>
      </c>
      <c r="L101" s="33" t="inlineStr">
        <is>
          <t>Clarification Provided</t>
        </is>
      </c>
      <c r="M101" s="33" t="inlineStr">
        <is>
          <t>Counterfeit/grey-market component intelligence briefing capability</t>
        </is>
      </c>
      <c r="N101" s="33" t="inlineStr">
        <is>
          <t>No</t>
        </is>
      </c>
      <c r="O101" s="33" t="inlineStr">
        <is>
          <t>Staged from Jira EAO-32 (Open). Liberty Blume requested industry intelligence on counterfeit/grey-market Ciena 400G optical transceivers beyond the supplier scanning report already provided.</t>
        </is>
      </c>
      <c r="Q101" s="33" t="inlineStr">
        <is>
          <t>No</t>
        </is>
      </c>
      <c r="R101" s="39" t="n">
        <v>8</v>
      </c>
      <c r="T101" s="35" t="n">
        <v>46235</v>
      </c>
      <c r="U101" s="33" t="inlineStr">
        <is>
          <t>Low</t>
        </is>
      </c>
      <c r="V101" s="33" t="inlineStr">
        <is>
          <t>Other Control Automation</t>
        </is>
      </c>
      <c r="W101" s="33" t="inlineStr">
        <is>
          <t>EAO-32</t>
        </is>
      </c>
      <c r="X101"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1" s="33" t="inlineStr">
        <is>
          <t>EventWatch Ops - Nitin Rindhe</t>
        </is>
      </c>
      <c r="Z101" s="37" t="n"/>
    </row>
    <row r="102">
      <c r="A102" s="35" t="n">
        <v>46266</v>
      </c>
      <c r="B102" s="37" t="n">
        <v>46267</v>
      </c>
      <c r="C102" s="33" t="inlineStr">
        <is>
          <t>Geopolitical</t>
        </is>
      </c>
      <c r="D102" s="33" t="inlineStr">
        <is>
          <t>Caterpillar</t>
        </is>
      </c>
      <c r="E102" s="39" t="n">
        <v>1</v>
      </c>
      <c r="F102" s="33" t="inlineStr">
        <is>
          <t>Taiwan Strait Conflict Risk Assessment – Missed EventWatch Notification</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Geopolitical conflict risk-assessment scenario monitoring and escalation</t>
        </is>
      </c>
      <c r="N102" s="33" t="inlineStr">
        <is>
          <t>Yes</t>
        </is>
      </c>
      <c r="O102" s="33" t="inlineStr">
        <is>
          <t>Staged from Jira EAO-33 (In Progress). Caterpillar reported no notification for “Taiwan Strait Conflict Risk Assessment and Potential Global Supply Chain Impact”; CS found no matching event in the backend.</t>
        </is>
      </c>
      <c r="Q102" s="33" t="inlineStr">
        <is>
          <t>Yes</t>
        </is>
      </c>
      <c r="R102" s="39" t="n">
        <v>9</v>
      </c>
      <c r="T102" s="35" t="n">
        <v>46266</v>
      </c>
      <c r="U102" s="33" t="inlineStr">
        <is>
          <t>Medium</t>
        </is>
      </c>
      <c r="V102" s="33" t="inlineStr">
        <is>
          <t>WarRoom &amp; Decision Validation</t>
        </is>
      </c>
      <c r="W102" s="33" t="inlineStr">
        <is>
          <t>EAO-33</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row>
    <row r="103">
      <c r="A103" s="35" t="n">
        <v>46266</v>
      </c>
      <c r="B103" s="37" t="n">
        <v>46268</v>
      </c>
      <c r="C103" s="33" t="inlineStr">
        <is>
          <t>Protest/Riot</t>
        </is>
      </c>
      <c r="D103" s="33" t="inlineStr">
        <is>
          <t>Ford</t>
        </is>
      </c>
      <c r="E103" s="39" t="n">
        <v>1</v>
      </c>
      <c r="F103" s="33" t="inlineStr">
        <is>
          <t>Western Balkans Truck Driver/EU Border Blockade – August 31 Update Missed Alert (Ford)</t>
        </is>
      </c>
      <c r="G103" s="33" t="inlineStr">
        <is>
          <t>Complaint</t>
        </is>
      </c>
      <c r="H103" s="33" t="inlineStr">
        <is>
          <t>Missed Event</t>
        </is>
      </c>
      <c r="I103" s="33" t="inlineStr">
        <is>
          <t>People</t>
        </is>
      </c>
      <c r="J103" s="33" t="inlineStr">
        <is>
          <t>Review</t>
        </is>
      </c>
      <c r="K103" s="33" t="inlineStr">
        <is>
          <t>Improvement</t>
        </is>
      </c>
      <c r="L103" s="33" t="inlineStr">
        <is>
          <t>RCA Shared</t>
        </is>
      </c>
      <c r="M103" s="33" t="inlineStr">
        <is>
          <t>Recurring/evolving-event WarRoom update monitoring and re-escalation detection</t>
        </is>
      </c>
      <c r="N103" s="33" t="inlineStr">
        <is>
          <t>Yes</t>
        </is>
      </c>
      <c r="O103"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3" s="33" t="inlineStr">
        <is>
          <t>Yes</t>
        </is>
      </c>
      <c r="R103" s="39" t="n">
        <v>9</v>
      </c>
      <c r="T103" s="35" t="n">
        <v>46266</v>
      </c>
      <c r="U103" s="33" t="inlineStr">
        <is>
          <t>Medium</t>
        </is>
      </c>
      <c r="V103" s="33" t="inlineStr">
        <is>
          <t>WarRoom &amp; Decision Validation</t>
        </is>
      </c>
      <c r="W103" s="33" t="inlineStr">
        <is>
          <t>EAO-34</t>
        </is>
      </c>
      <c r="X103" s="33" t="inlineStr">
        <is>
          <t>Human error. The analyst marked the event Not Impactful while clearing stories at pace, so it was never escalated for WarRoom consideration. The event was captured and available for review; ingestion, source coverage and mapping did not contribute.</t>
        </is>
      </c>
      <c r="Y103" s="33" t="inlineStr">
        <is>
          <t>EventWatch Ops - Nitin Rindhe</t>
        </is>
      </c>
      <c r="Z103" s="37" t="n"/>
    </row>
    <row r="104">
      <c r="A104" s="35" t="n">
        <v>46266</v>
      </c>
      <c r="B104" s="37" t="n">
        <v>46272</v>
      </c>
      <c r="C104" s="33" t="inlineStr">
        <is>
          <t>Power Outage</t>
        </is>
      </c>
      <c r="D104" s="33" t="inlineStr">
        <is>
          <t>Eaton/Ford</t>
        </is>
      </c>
      <c r="E104" s="39" t="n">
        <v>2</v>
      </c>
      <c r="F104" s="33" t="inlineStr">
        <is>
          <t>Punjab Region Risk Event – Supplier Sites Outside the Impact Area Mapped for Impact Confirmation (Eaton/Ford)</t>
        </is>
      </c>
      <c r="G104" s="33" t="inlineStr">
        <is>
          <t>Complaint</t>
        </is>
      </c>
      <c r="H104" s="33" t="inlineStr">
        <is>
          <t>Geographic Misclassification</t>
        </is>
      </c>
      <c r="I104" s="33" t="inlineStr">
        <is>
          <t>Product</t>
        </is>
      </c>
      <c r="J104" s="33" t="inlineStr">
        <is>
          <t>Mapping / Routing Defect</t>
        </is>
      </c>
      <c r="K104" s="33" t="inlineStr">
        <is>
          <t>Improvement</t>
        </is>
      </c>
      <c r="L104" s="33" t="inlineStr">
        <is>
          <t>RCA Shared</t>
        </is>
      </c>
      <c r="M104" s="33" t="inlineStr">
        <is>
          <t>Geographic validation of supplier site geocodes against the event impact polygon before impact-confirmation requests are issued, so sites outside the affected region cannot be attached to an event</t>
        </is>
      </c>
      <c r="N104" s="33" t="inlineStr">
        <is>
          <t>Yes</t>
        </is>
      </c>
      <c r="O104"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 Probable geocoding / address-to-coordinate mismatch. The impact polygon and automated selection operated on the coordinates available in the system. Detailed validation of the coordinate source and assignment process was referred to the Data team.</t>
        </is>
      </c>
      <c r="P104" s="33" t="n"/>
      <c r="Q104" s="33" t="inlineStr">
        <is>
          <t>No</t>
        </is>
      </c>
      <c r="R104" s="39" t="n">
        <v>9</v>
      </c>
      <c r="S104" s="39" t="n"/>
      <c r="T104" s="35" t="inlineStr">
        <is>
          <t>Sep 2026</t>
        </is>
      </c>
      <c r="U104" s="33" t="inlineStr">
        <is>
          <t>Medium</t>
        </is>
      </c>
      <c r="V104" s="33" t="inlineStr">
        <is>
          <t>AI-Assisted Geofencing</t>
        </is>
      </c>
      <c r="W104" s="33" t="inlineStr">
        <is>
          <t>EAO-35/EAO-36</t>
        </is>
      </c>
      <c r="X104"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4" s="33" t="inlineStr">
        <is>
          <t>Product &amp; Platform</t>
        </is>
      </c>
      <c r="Z104" s="37" t="n"/>
    </row>
    <row r="105">
      <c r="A105" s="35" t="n">
        <v>46266</v>
      </c>
      <c r="B105" s="37" t="n">
        <v>46273</v>
      </c>
      <c r="C105" s="33" t="inlineStr">
        <is>
          <t>Extreme Weather</t>
        </is>
      </c>
      <c r="D105" s="33" t="inlineStr">
        <is>
          <t>Sandisk</t>
        </is>
      </c>
      <c r="E105" s="39" t="n">
        <v>1</v>
      </c>
      <c r="F105" s="33" t="inlineStr">
        <is>
          <t>Record Heavy Rain in Yokkaichi City, Japan – No EventWatch Notification (Sandisk)</t>
        </is>
      </c>
      <c r="G105" s="33" t="inlineStr">
        <is>
          <t>Complaint</t>
        </is>
      </c>
      <c r="H105" s="33" t="inlineStr">
        <is>
          <t>Delayed Event</t>
        </is>
      </c>
      <c r="I105" s="33" t="inlineStr">
        <is>
          <t>People</t>
        </is>
      </c>
      <c r="J105" s="33" t="inlineStr">
        <is>
          <t>Review</t>
        </is>
      </c>
      <c r="K105" s="33" t="inlineStr">
        <is>
          <t>Improvement</t>
        </is>
      </c>
      <c r="L105" s="33" t="inlineStr">
        <is>
          <t>RCA Shared</t>
        </is>
      </c>
      <c r="M105" s="33" t="inlineStr">
        <is>
          <t>Timeliness monitoring that flags a region already producing captured stories where a related event has not been published within the reporting window</t>
        </is>
      </c>
      <c r="N105" s="33" t="inlineStr">
        <is>
          <t>Yes</t>
        </is>
      </c>
      <c r="O105"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5" s="33" t="inlineStr">
        <is>
          <t>~1 day (customer query 08-Sep-2026 -&gt; EventWatch report 09-Sep-2026)</t>
        </is>
      </c>
      <c r="Q105" s="33" t="inlineStr">
        <is>
          <t>Yes</t>
        </is>
      </c>
      <c r="R105" s="39" t="n">
        <v>9</v>
      </c>
      <c r="S105" s="39" t="n"/>
      <c r="T105" s="35" t="inlineStr">
        <is>
          <t>Sep 2026</t>
        </is>
      </c>
      <c r="U105" s="33" t="inlineStr">
        <is>
          <t>Medium</t>
        </is>
      </c>
      <c r="V105" s="33" t="inlineStr">
        <is>
          <t>WarRoom &amp; Decision Validation</t>
        </is>
      </c>
      <c r="W105" s="33" t="inlineStr">
        <is>
          <t>EAO-37</t>
        </is>
      </c>
      <c r="X105"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5" s="33" t="inlineStr">
        <is>
          <t>EventWatch Ops - Nitin Rindhe</t>
        </is>
      </c>
      <c r="Z105" s="37" t="n"/>
    </row>
    <row r="106">
      <c r="A106" s="35" t="n">
        <v>46266</v>
      </c>
      <c r="B106" s="37" t="n">
        <v>46273</v>
      </c>
      <c r="C106" s="33" t="inlineStr">
        <is>
          <t>Merger &amp; Acquisition</t>
        </is>
      </c>
      <c r="D106" s="33" t="inlineStr">
        <is>
          <t>Eaton</t>
        </is>
      </c>
      <c r="E106" s="39" t="n">
        <v>1</v>
      </c>
      <c r="F106" s="33" t="inlineStr">
        <is>
          <t>Vertiv Acquires UtilityInnovation Group – Supplier Notification and Medium Risk Classification Queried (Eaton)</t>
        </is>
      </c>
      <c r="G106" s="33" t="inlineStr">
        <is>
          <t>Inquiry</t>
        </is>
      </c>
      <c r="H106" s="33" t="inlineStr">
        <is>
          <t>Severity / consolidation handling concern</t>
        </is>
      </c>
      <c r="I106" s="33" t="inlineStr">
        <is>
          <t>Process</t>
        </is>
      </c>
      <c r="J106" s="33" t="inlineStr">
        <is>
          <t>Deliberate Rule</t>
        </is>
      </c>
      <c r="K106" s="33" t="inlineStr">
        <is>
          <t>Improvement</t>
        </is>
      </c>
      <c r="L106" s="33" t="inlineStr">
        <is>
          <t>Clarification Provided</t>
        </is>
      </c>
      <c r="M106" s="33" t="inlineStr">
        <is>
          <t>Automated enforcement of the M&amp;A notification threshold so acquiring-side suppliers are excluded from impact-confirmation requests, plus a documented basis for the risk classification</t>
        </is>
      </c>
      <c r="N106" s="33" t="inlineStr">
        <is>
          <t>No</t>
        </is>
      </c>
      <c r="O106"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6" s="33" t="n"/>
      <c r="Q106" s="33" t="inlineStr">
        <is>
          <t>No</t>
        </is>
      </c>
      <c r="R106" s="39" t="n">
        <v>9</v>
      </c>
      <c r="S106" s="39" t="n"/>
      <c r="T106" s="35" t="inlineStr">
        <is>
          <t>Sep 2026</t>
        </is>
      </c>
      <c r="U106" s="33" t="inlineStr">
        <is>
          <t>Low</t>
        </is>
      </c>
      <c r="V106" s="33" t="inlineStr">
        <is>
          <t>WarRoom &amp; Decision Validation</t>
        </is>
      </c>
      <c r="W106" s="33" t="inlineStr">
        <is>
          <t>EAO-38</t>
        </is>
      </c>
      <c r="X106"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6" s="33" t="inlineStr">
        <is>
          <t>EventWatch Ops - Nitin Rindhe</t>
        </is>
      </c>
      <c r="Z106" s="37" t="n"/>
    </row>
    <row r="107">
      <c r="A107" s="35" t="n">
        <v>46266</v>
      </c>
      <c r="B107" s="37" t="n">
        <v>46276</v>
      </c>
      <c r="C107" s="33" t="inlineStr">
        <is>
          <t>Supply Shortage</t>
        </is>
      </c>
      <c r="D107" s="33" t="inlineStr">
        <is>
          <t>Belden Inc</t>
        </is>
      </c>
      <c r="E107" s="39" t="n">
        <v>1</v>
      </c>
      <c r="F107" s="33" t="inlineStr">
        <is>
          <t>TSMC 28nm Production Capacity Reduction – No EventWatch Notification (Belden)</t>
        </is>
      </c>
      <c r="G107" s="33" t="inlineStr">
        <is>
          <t>Inquiry</t>
        </is>
      </c>
      <c r="H107" s="33" t="inlineStr">
        <is>
          <t>Coverage Verification Request</t>
        </is>
      </c>
      <c r="I107" s="33" t="inlineStr">
        <is>
          <t>Product</t>
        </is>
      </c>
      <c r="J107" s="33" t="inlineStr">
        <is>
          <t>Alerting Gap</t>
        </is>
      </c>
      <c r="K107" s="33" t="inlineStr">
        <is>
          <t>Improvement</t>
        </is>
      </c>
      <c r="L107" s="33" t="inlineStr">
        <is>
          <t>RCA Shared</t>
        </is>
      </c>
      <c r="M107"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7" s="33" t="inlineStr">
        <is>
          <t>Yes</t>
        </is>
      </c>
      <c r="O107" s="33" t="inlineStr">
        <is>
          <t>The relevant TSMC article was captured by the feed-harvesting flow but did not appear on the analyst portal for review. The case was confirmed and closed as an Alerting Gap. Alerting Gap Type: Feed/Application-to-Analyst Handoff Gap. Evidence Status: Confirmed and Closed.</t>
        </is>
      </c>
      <c r="P107" s="33" t="n"/>
      <c r="Q107" s="33" t="inlineStr">
        <is>
          <t>No</t>
        </is>
      </c>
      <c r="R107" s="39" t="n">
        <v>9</v>
      </c>
      <c r="S107" s="39" t="n"/>
      <c r="T107" s="35" t="inlineStr">
        <is>
          <t>Sep 2026</t>
        </is>
      </c>
      <c r="U107" s="33" t="inlineStr">
        <is>
          <t>Medium</t>
        </is>
      </c>
      <c r="V107" s="33" t="inlineStr">
        <is>
          <t>Notification Visibility Monitoring</t>
        </is>
      </c>
      <c r="W107" s="33" t="inlineStr">
        <is>
          <t>EAO-39</t>
        </is>
      </c>
      <c r="X107"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7" s="33" t="inlineStr">
        <is>
          <t>Product &amp; Platform</t>
        </is>
      </c>
      <c r="Z107" s="37" t="n"/>
    </row>
    <row r="108">
      <c r="A108" s="35" t="n">
        <v>46266</v>
      </c>
      <c r="B108" s="37" t="n">
        <v>46276</v>
      </c>
      <c r="C108" s="33" t="inlineStr">
        <is>
          <t>Supply Shortage</t>
        </is>
      </c>
      <c r="D108" s="33" t="inlineStr">
        <is>
          <t>Belden Inc</t>
        </is>
      </c>
      <c r="E108" s="39" t="n">
        <v>1</v>
      </c>
      <c r="F108" s="33" t="inlineStr">
        <is>
          <t>Murata MLCC Product Line Discontinuation – No EventWatch Notification (Belden)</t>
        </is>
      </c>
      <c r="G108" s="33" t="inlineStr">
        <is>
          <t>Complaint</t>
        </is>
      </c>
      <c r="H108" s="33" t="inlineStr">
        <is>
          <t>Missed Event</t>
        </is>
      </c>
      <c r="I108" s="33" t="inlineStr">
        <is>
          <t>People</t>
        </is>
      </c>
      <c r="J108" s="33" t="inlineStr">
        <is>
          <t>Review</t>
        </is>
      </c>
      <c r="K108" s="33" t="inlineStr">
        <is>
          <t>Improvement</t>
        </is>
      </c>
      <c r="L108" s="33" t="inlineStr">
        <is>
          <t>RCA Shared</t>
        </is>
      </c>
      <c r="M108" s="33" t="inlineStr">
        <is>
          <t>Validation step on high-impact component end-of-life and discontinuation notices before an analyst can clear them, so a major supplier's EOL announcement cannot be dismissed at review</t>
        </is>
      </c>
      <c r="N108" s="33" t="inlineStr">
        <is>
          <t>Yes</t>
        </is>
      </c>
      <c r="O108"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8" s="33" t="n"/>
      <c r="Q108" s="33" t="inlineStr">
        <is>
          <t>Yes</t>
        </is>
      </c>
      <c r="R108" s="39" t="n">
        <v>9</v>
      </c>
      <c r="S108" s="39" t="n"/>
      <c r="T108" s="35" t="inlineStr">
        <is>
          <t>Sep 2026</t>
        </is>
      </c>
      <c r="U108" s="33" t="inlineStr">
        <is>
          <t>Medium</t>
        </is>
      </c>
      <c r="V108" s="33" t="inlineStr">
        <is>
          <t>WarRoom &amp; Decision Validation</t>
        </is>
      </c>
      <c r="W108" s="33" t="inlineStr">
        <is>
          <t>EAO-39</t>
        </is>
      </c>
      <c r="X108" s="33" t="inlineStr">
        <is>
          <t>Analyst miss. The event was available for review and was not escalated into EventWatch coverage. Ingestion and source coverage did not contribute.</t>
        </is>
      </c>
      <c r="Y108" s="33" t="inlineStr">
        <is>
          <t>EventWatch Ops - Nitin Rindhe</t>
        </is>
      </c>
      <c r="Z108" s="37" t="n"/>
    </row>
    <row r="109">
      <c r="A109" s="35" t="n">
        <v>46266</v>
      </c>
      <c r="B109" s="37" t="n">
        <v>46276</v>
      </c>
      <c r="C109" s="33" t="inlineStr">
        <is>
          <t>Factory Fire</t>
        </is>
      </c>
      <c r="D109" s="33" t="inlineStr">
        <is>
          <t>Ford</t>
        </is>
      </c>
      <c r="E109" s="39" t="n">
        <v>1</v>
      </c>
      <c r="F109" s="33" t="inlineStr">
        <is>
          <t>Precision Resource Facility Fire, Mt. Sterling, Kentucky – Deep-Tier Supplier Event Not Captured (Ford)</t>
        </is>
      </c>
      <c r="G109" s="33" t="inlineStr">
        <is>
          <t>Complaint</t>
        </is>
      </c>
      <c r="H109" s="33" t="inlineStr">
        <is>
          <t>Missed Event</t>
        </is>
      </c>
      <c r="I109" s="33" t="inlineStr">
        <is>
          <t>Product</t>
        </is>
      </c>
      <c r="J109" s="33" t="inlineStr">
        <is>
          <t>Source Coverage</t>
        </is>
      </c>
      <c r="K109" s="33" t="inlineStr">
        <is>
          <t>Improvement</t>
        </is>
      </c>
      <c r="L109" s="33" t="inlineStr">
        <is>
          <t>RCA Shared</t>
        </is>
      </c>
      <c r="M109" s="33" t="inlineStr">
        <is>
          <t>Monitoring of local and regional outlets covering industrial incidents at deep-tier supplier sites, with event-to-supply-chain correlation so a sub-tier fire is linked to the OEMs exposed through it</t>
        </is>
      </c>
      <c r="N109" s="33" t="inlineStr">
        <is>
          <t>Yes</t>
        </is>
      </c>
      <c r="O109"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9" s="33" t="n"/>
      <c r="Q109" s="33" t="inlineStr">
        <is>
          <t>Yes</t>
        </is>
      </c>
      <c r="R109" s="39" t="n">
        <v>9</v>
      </c>
      <c r="S109" s="39" t="n"/>
      <c r="T109" s="35" t="inlineStr">
        <is>
          <t>Sep 2026</t>
        </is>
      </c>
      <c r="U109" s="33" t="inlineStr">
        <is>
          <t>High</t>
        </is>
      </c>
      <c r="V109" s="33" t="inlineStr">
        <is>
          <t>Dynamic Source Discovery</t>
        </is>
      </c>
      <c r="W109" s="33" t="inlineStr">
        <is>
          <t>EAO-40</t>
        </is>
      </c>
      <c r="X109"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9" s="33" t="inlineStr">
        <is>
          <t>Product &amp; Platform</t>
        </is>
      </c>
      <c r="Z109" s="37" t="n"/>
    </row>
    <row r="110">
      <c r="A110" s="35" t="n">
        <v>46266</v>
      </c>
      <c r="B110" s="37" t="n">
        <v>46279</v>
      </c>
      <c r="C110" s="33" t="inlineStr">
        <is>
          <t>Bankruptcy</t>
        </is>
      </c>
      <c r="D110" s="33" t="inlineStr">
        <is>
          <t>Irving Oil</t>
        </is>
      </c>
      <c r="E110" s="39" t="n">
        <v>1</v>
      </c>
      <c r="F110" s="33" t="inlineStr">
        <is>
          <t>Paystone CCAA Filing – No EventWatch Notification (Irving Oil)</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such as CCAA is added, so the same class of filing is not missed twice</t>
        </is>
      </c>
      <c r="N110" s="33" t="inlineStr">
        <is>
          <t>Yes</t>
        </is>
      </c>
      <c r="O110"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10" s="33" t="n"/>
      <c r="Q110" s="33" t="inlineStr">
        <is>
          <t>Yes</t>
        </is>
      </c>
      <c r="R110" s="39" t="n">
        <v>9</v>
      </c>
      <c r="S110" s="39" t="n"/>
      <c r="T110" s="35" t="inlineStr">
        <is>
          <t>Sep 2026</t>
        </is>
      </c>
      <c r="U110" s="33" t="inlineStr">
        <is>
          <t>Medium</t>
        </is>
      </c>
      <c r="V110" s="33" t="inlineStr">
        <is>
          <t>Dynamic Source Discovery</t>
        </is>
      </c>
      <c r="W110" s="33" t="inlineStr">
        <is>
          <t>EAO-41</t>
        </is>
      </c>
      <c r="X110"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10" s="33" t="inlineStr">
        <is>
          <t>Product &amp; Platform</t>
        </is>
      </c>
      <c r="Z110" s="37" t="n">
        <v>46288</v>
      </c>
    </row>
    <row r="111">
      <c r="A111" s="35" t="n">
        <v>46266</v>
      </c>
      <c r="B111" s="37" t="n">
        <v>46281</v>
      </c>
      <c r="C111" s="33" t="inlineStr">
        <is>
          <t>Bankruptcy</t>
        </is>
      </c>
      <c r="D111" s="33" t="inlineStr">
        <is>
          <t>Eaton</t>
        </is>
      </c>
      <c r="E111" s="39" t="n">
        <v>1</v>
      </c>
      <c r="F111" s="33" t="inlineStr">
        <is>
          <t>Pollmann Austria GmbH Insolvency – No EventWatch Notification (Eaton)</t>
        </is>
      </c>
      <c r="G111" s="33" t="inlineStr">
        <is>
          <t>Complaint</t>
        </is>
      </c>
      <c r="H111" s="33" t="inlineStr">
        <is>
          <t>Missed insolvency alert</t>
        </is>
      </c>
      <c r="I111" s="33" t="inlineStr">
        <is>
          <t>Product</t>
        </is>
      </c>
      <c r="J111" s="33" t="inlineStr">
        <is>
          <t>Keyword Update</t>
        </is>
      </c>
      <c r="K111" s="33" t="inlineStr">
        <is>
          <t>Improvement</t>
        </is>
      </c>
      <c r="L111" s="33" t="inlineStr">
        <is>
          <t>RCA Shared</t>
        </is>
      </c>
      <c r="M111" s="33" t="inlineStr">
        <is>
          <t>Keyword coverage for insolvency and restructuring terminology in the bankruptcy algorithm, with a regression check when a filing type is added, so the same class of filing is not missed twice</t>
        </is>
      </c>
      <c r="N111" s="33" t="inlineStr">
        <is>
          <t>Yes</t>
        </is>
      </c>
      <c r="O111"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1" s="33" t="inlineStr">
        <is>
          <t>15 days (01-Sep proceedings - 15-Sep escalation, never published)</t>
        </is>
      </c>
      <c r="Q111" s="33" t="inlineStr">
        <is>
          <t>Yes</t>
        </is>
      </c>
      <c r="R111" s="39" t="n">
        <v>9</v>
      </c>
      <c r="S111" s="39" t="n"/>
      <c r="T111" s="35" t="inlineStr">
        <is>
          <t>Sep 2026</t>
        </is>
      </c>
      <c r="U111" s="33" t="inlineStr">
        <is>
          <t>Medium</t>
        </is>
      </c>
      <c r="V111" s="33" t="inlineStr">
        <is>
          <t>Dynamic Source Discovery</t>
        </is>
      </c>
      <c r="W111" s="33" t="inlineStr">
        <is>
          <t>EAO-42</t>
        </is>
      </c>
      <c r="X111"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1" s="33" t="inlineStr">
        <is>
          <t>Product &amp; Platform</t>
        </is>
      </c>
      <c r="Z111" s="37" t="n">
        <v>46288</v>
      </c>
    </row>
    <row r="112">
      <c r="A112" s="35" t="n">
        <v>46266</v>
      </c>
      <c r="B112" s="37" t="n">
        <v>46281</v>
      </c>
      <c r="C112" s="33" t="inlineStr">
        <is>
          <t>Cyber Attack</t>
        </is>
      </c>
      <c r="D112" s="33" t="inlineStr">
        <is>
          <t>General Mills</t>
        </is>
      </c>
      <c r="E112" s="39" t="n">
        <v>1</v>
      </c>
      <c r="F112" s="33" t="inlineStr">
        <is>
          <t>ADM Data Breach Exposes Personal Data - No WarRoom Created (General Mills)</t>
        </is>
      </c>
      <c r="G112" s="33" t="inlineStr">
        <is>
          <t>Complaint</t>
        </is>
      </c>
      <c r="H112" s="33" t="inlineStr">
        <is>
          <t>Missed Event</t>
        </is>
      </c>
      <c r="I112" s="33" t="inlineStr">
        <is>
          <t>Product</t>
        </is>
      </c>
      <c r="J112" s="33" t="inlineStr">
        <is>
          <t>Model Classification Defect</t>
        </is>
      </c>
      <c r="K112" s="33" t="inlineStr">
        <is>
          <t>Improvement</t>
        </is>
      </c>
      <c r="L112" s="33" t="inlineStr">
        <is>
          <t>RCA Shared</t>
        </is>
      </c>
      <c r="M112"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2" s="33" t="inlineStr">
        <is>
          <t>Yes</t>
        </is>
      </c>
      <c r="O112"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Internal RCA completed. EventWatch captured the relevant articles, but the AI classification models incorrectly categorized them as Not Impactful, and the subsequent human-in-the-loop review did not correct the misclassification. The event was re-evaluated and published following the customer inquiry. Current investigation loop closed; reopen only if additional customer questions require further review.</t>
        </is>
      </c>
      <c r="P112" s="33" t="n"/>
      <c r="Q112" s="33" t="inlineStr">
        <is>
          <t>Yes</t>
        </is>
      </c>
      <c r="R112" s="39" t="n">
        <v>9</v>
      </c>
      <c r="S112" s="39" t="n"/>
      <c r="T112" s="35" t="inlineStr">
        <is>
          <t>Sep 2026</t>
        </is>
      </c>
      <c r="U112" s="33" t="inlineStr">
        <is>
          <t>Medium</t>
        </is>
      </c>
      <c r="V112" s="33" t="inlineStr">
        <is>
          <t>Classification &amp; Impact Validation</t>
        </is>
      </c>
      <c r="W112" s="33" t="inlineStr">
        <is>
          <t>EAO-51</t>
        </is>
      </c>
      <c r="X112" s="33" t="inlineStr">
        <is>
          <t>EventWatch successfully captured the relevant articles. The AI classification models incorrectly categorized the feeds as Not Impactful. The subsequent human-in-the-loop review did not identify or correct the misclassification, so the event was excluded from publication despite meeting the applicable cybersecurity reporting criteria. Following the customer inquiry the event was re-evaluated and published. The internal RCA is complete and attached to EAO-51, and was reviewed for corrective and preventive measures. Four articles were raised with monitoring; engineering traced one of them (undercodenews) to cluster cyber_attack_dt_20260915155539357_not.impactful., and the other three remain open with PM.</t>
        </is>
      </c>
      <c r="Y112" s="33" t="inlineStr">
        <is>
          <t>Product &amp; Platform</t>
        </is>
      </c>
      <c r="Z112" s="37" t="n"/>
    </row>
    <row r="113">
      <c r="A113" s="35" t="n">
        <v>46266</v>
      </c>
      <c r="B113" s="37" t="n">
        <v>46283</v>
      </c>
      <c r="C113" s="33" t="inlineStr">
        <is>
          <t>Merger &amp; Acquisition</t>
        </is>
      </c>
      <c r="D113" s="33" t="inlineStr">
        <is>
          <t>Eaton</t>
        </is>
      </c>
      <c r="E113" s="39" t="n">
        <v>1</v>
      </c>
      <c r="F113" s="33" t="inlineStr">
        <is>
          <t>Clarification on Impact Confirmation Requests for Supplier Acquisitions (Eaton)</t>
        </is>
      </c>
      <c r="G113" s="33" t="inlineStr">
        <is>
          <t>Inquiry</t>
        </is>
      </c>
      <c r="H113" s="33" t="inlineStr">
        <is>
          <t>Monitoring Strategy RFI</t>
        </is>
      </c>
      <c r="I113" s="33" t="inlineStr">
        <is>
          <t>Process</t>
        </is>
      </c>
      <c r="J113" s="33" t="inlineStr">
        <is>
          <t>Process Clarification</t>
        </is>
      </c>
      <c r="K113" s="33" t="inlineStr">
        <is>
          <t>Improvement</t>
        </is>
      </c>
      <c r="L113" s="33" t="inlineStr">
        <is>
          <t>Clarification Provided</t>
        </is>
      </c>
      <c r="M113" s="33" t="inlineStr">
        <is>
          <t>Publish the M&amp;A impact-confirmation trigger criteria in-product, so the rationale for an acquiring-side outreach is visible on the request itself instead of being explained per account after the fact</t>
        </is>
      </c>
      <c r="N113" s="33" t="inlineStr">
        <is>
          <t>No</t>
        </is>
      </c>
      <c r="O113"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3" s="33" t="n"/>
      <c r="Q113" s="33" t="inlineStr">
        <is>
          <t>No</t>
        </is>
      </c>
      <c r="R113" s="39" t="n">
        <v>9</v>
      </c>
      <c r="S113" s="39" t="n"/>
      <c r="T113" s="35" t="inlineStr">
        <is>
          <t>Sep 2026</t>
        </is>
      </c>
      <c r="U113" s="33" t="inlineStr">
        <is>
          <t>Low</t>
        </is>
      </c>
      <c r="V113" s="33" t="inlineStr">
        <is>
          <t>WarRoom &amp; Decision Validation</t>
        </is>
      </c>
      <c r="W113" s="33" t="inlineStr">
        <is>
          <t>EAO-43</t>
        </is>
      </c>
      <c r="X113"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3" s="33" t="inlineStr">
        <is>
          <t>EventWatch Ops - Nitin Rindhe</t>
        </is>
      </c>
      <c r="Z113" s="37" t="n"/>
    </row>
    <row r="114">
      <c r="A114" s="35" t="n">
        <v>46266</v>
      </c>
      <c r="B114" s="37" t="n">
        <v>46289</v>
      </c>
      <c r="C114" s="33" t="inlineStr">
        <is>
          <t>Bankruptcy</t>
        </is>
      </c>
      <c r="D114" s="33" t="inlineStr">
        <is>
          <t>Eaton</t>
        </is>
      </c>
      <c r="E114" s="39" t="n">
        <v>1</v>
      </c>
      <c r="F114" s="33" t="inlineStr">
        <is>
          <t>UPG Enterprises Chapter 11 Mapped to Mapes &amp; Sprowl - Mapping and Severity Queried (Eaton)</t>
        </is>
      </c>
      <c r="G114" s="33" t="inlineStr">
        <is>
          <t>Inquiry</t>
        </is>
      </c>
      <c r="H114" s="33" t="inlineStr">
        <is>
          <t>Wrong Relevancy</t>
        </is>
      </c>
      <c r="I114" s="33" t="inlineStr">
        <is>
          <t>Process</t>
        </is>
      </c>
      <c r="J114" s="33" t="inlineStr">
        <is>
          <t>Deliberate Rule</t>
        </is>
      </c>
      <c r="K114" s="33" t="inlineStr">
        <is>
          <t>Improvement</t>
        </is>
      </c>
      <c r="L114" s="33" t="inlineStr">
        <is>
          <t>Clarification Provided</t>
        </is>
      </c>
      <c r="M114" s="33" t="inlineStr">
        <is>
          <t>Scope check on parent-subsidiary linkage for insolvency filings, so a WarRoom is not raised against a subsidiary the filing text explicitly excludes, plus a recorded basis for the severity grade</t>
        </is>
      </c>
      <c r="N114" s="33" t="inlineStr">
        <is>
          <t>No</t>
        </is>
      </c>
      <c r="O114"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4" s="33" t="n"/>
      <c r="Q114" s="33" t="inlineStr">
        <is>
          <t>No</t>
        </is>
      </c>
      <c r="R114" s="39" t="n">
        <v>9</v>
      </c>
      <c r="S114" s="39" t="n"/>
      <c r="T114" s="35" t="inlineStr">
        <is>
          <t>Sep 2026</t>
        </is>
      </c>
      <c r="U114" s="33" t="inlineStr">
        <is>
          <t>Medium</t>
        </is>
      </c>
      <c r="V114" s="33" t="inlineStr">
        <is>
          <t>Entity &amp; Supplier Resolution</t>
        </is>
      </c>
      <c r="W114" s="33" t="inlineStr">
        <is>
          <t>EAO-44</t>
        </is>
      </c>
      <c r="X114"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4" s="33" t="inlineStr">
        <is>
          <t>EventWatch Ops - Nitin Rindhe</t>
        </is>
      </c>
      <c r="Z114" s="37" t="n"/>
    </row>
    <row r="115">
      <c r="A115" s="35" t="n">
        <v>46266</v>
      </c>
      <c r="B115" s="37" t="n">
        <v>46289</v>
      </c>
      <c r="C115" s="33" t="inlineStr">
        <is>
          <t>Factory Fire</t>
        </is>
      </c>
      <c r="D115" s="33" t="inlineStr">
        <is>
          <t>Ford</t>
        </is>
      </c>
      <c r="E115" s="39" t="n">
        <v>1</v>
      </c>
      <c r="F115" s="33" t="inlineStr">
        <is>
          <t>Purflux Group Filter Systems Maroc Facility Fire - 10-11 Day Alert Delay (Ford)</t>
        </is>
      </c>
      <c r="G115" s="33" t="inlineStr">
        <is>
          <t>Complaint</t>
        </is>
      </c>
      <c r="H115" s="33" t="inlineStr">
        <is>
          <t>Delayed Event</t>
        </is>
      </c>
      <c r="I115" s="33" t="inlineStr">
        <is>
          <t>Product</t>
        </is>
      </c>
      <c r="J115" s="33" t="inlineStr">
        <is>
          <t>Source Coverage</t>
        </is>
      </c>
      <c r="K115" s="33" t="inlineStr">
        <is>
          <t>Improvement</t>
        </is>
      </c>
      <c r="L115" s="33" t="inlineStr">
        <is>
          <t>RCA Shared</t>
        </is>
      </c>
      <c r="M115" s="33" t="inlineStr">
        <is>
          <t>Latency monitoring on the gap between an incident's first public report and EventWatch publication, so a multi-day lag on a Tier-1 manufacturing site raises an internal alarm instead of waiting for the customer to notice</t>
        </is>
      </c>
      <c r="N115" s="33" t="inlineStr">
        <is>
          <t>Yes</t>
        </is>
      </c>
      <c r="O115"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5" s="33" t="inlineStr">
        <is>
          <t>~10-11 days (event 11/12-Sep-2026 -&gt; published 22-Sep-2026)</t>
        </is>
      </c>
      <c r="Q115" s="33" t="inlineStr">
        <is>
          <t>Yes</t>
        </is>
      </c>
      <c r="R115" s="39" t="n">
        <v>9</v>
      </c>
      <c r="S115" s="39" t="n">
        <v>252</v>
      </c>
      <c r="T115" s="35" t="inlineStr">
        <is>
          <t>Sep 2026</t>
        </is>
      </c>
      <c r="U115" s="33" t="inlineStr">
        <is>
          <t>High</t>
        </is>
      </c>
      <c r="V115" s="33" t="inlineStr">
        <is>
          <t>Dynamic Source Discovery</t>
        </is>
      </c>
      <c r="W115" s="33" t="inlineStr">
        <is>
          <t>EAO-45</t>
        </is>
      </c>
      <c r="X115"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5" s="33" t="inlineStr">
        <is>
          <t>Product &amp; Platform</t>
        </is>
      </c>
      <c r="Z115" s="37" t="n"/>
    </row>
    <row r="116">
      <c r="A116" s="35" t="n">
        <v>46266</v>
      </c>
      <c r="B116" s="37" t="n">
        <v>46293</v>
      </c>
      <c r="C116" s="33" t="inlineStr">
        <is>
          <t>Legal Action</t>
        </is>
      </c>
      <c r="D116" s="33" t="inlineStr">
        <is>
          <t>Eaton</t>
        </is>
      </c>
      <c r="E116" s="39" t="n">
        <v>1</v>
      </c>
      <c r="F116" s="33" t="inlineStr">
        <is>
          <t>USITC DRAM Patent Investigation - Duplicate WarRooms Published for One Event (Eaton)</t>
        </is>
      </c>
      <c r="G116" s="33" t="inlineStr">
        <is>
          <t>Complaint</t>
        </is>
      </c>
      <c r="H116" s="33" t="inlineStr">
        <is>
          <t>Duplicate WarRooms</t>
        </is>
      </c>
      <c r="I116" s="33" t="inlineStr">
        <is>
          <t>People</t>
        </is>
      </c>
      <c r="J116" s="33" t="inlineStr">
        <is>
          <t>Duplication</t>
        </is>
      </c>
      <c r="K116" s="33" t="inlineStr">
        <is>
          <t>Improvement</t>
        </is>
      </c>
      <c r="L116" s="33" t="inlineStr">
        <is>
          <t>Fixed</t>
        </is>
      </c>
      <c r="M116"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6" s="33" t="inlineStr">
        <is>
          <t>Yes</t>
        </is>
      </c>
      <c r="O116"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6" s="33" t="n"/>
      <c r="Q116" s="33" t="inlineStr">
        <is>
          <t>No</t>
        </is>
      </c>
      <c r="R116" s="39" t="n">
        <v>9</v>
      </c>
      <c r="S116" s="39" t="n"/>
      <c r="T116" s="35" t="inlineStr">
        <is>
          <t>Sep 2026</t>
        </is>
      </c>
      <c r="U116" s="33" t="inlineStr">
        <is>
          <t>Medium</t>
        </is>
      </c>
      <c r="V116" s="33" t="inlineStr">
        <is>
          <t>Cluster Integrity &amp; Duplicate Prevention</t>
        </is>
      </c>
      <c r="W116" s="33" t="inlineStr">
        <is>
          <t>EAO-46</t>
        </is>
      </c>
      <c r="X116"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6" s="33" t="inlineStr">
        <is>
          <t>EventWatch Ops - Nitin Rindhe</t>
        </is>
      </c>
      <c r="Z116" s="37" t="n"/>
    </row>
    <row r="117">
      <c r="A117" s="35" t="n">
        <v>46266</v>
      </c>
      <c r="B117" s="37" t="n">
        <v>46293</v>
      </c>
      <c r="C117" s="33" t="inlineStr">
        <is>
          <t>Financial Distress</t>
        </is>
      </c>
      <c r="D117" s="33" t="inlineStr">
        <is>
          <t>Western Digital</t>
        </is>
      </c>
      <c r="E117" s="39" t="n">
        <v>1</v>
      </c>
      <c r="F117" s="33" t="inlineStr">
        <is>
          <t>Nidec Reported 1tn Yen Impairment and CEO Dismissal - No EventWatch Event Created (Western Digital)</t>
        </is>
      </c>
      <c r="G117" s="33" t="inlineStr">
        <is>
          <t>Complaint</t>
        </is>
      </c>
      <c r="H117" s="33" t="inlineStr">
        <is>
          <t>Wrong Relevancy</t>
        </is>
      </c>
      <c r="I117" s="33" t="inlineStr">
        <is>
          <t>People</t>
        </is>
      </c>
      <c r="J117" s="33" t="inlineStr">
        <is>
          <t>Review</t>
        </is>
      </c>
      <c r="K117" s="33" t="inlineStr">
        <is>
          <t>Improvement</t>
        </is>
      </c>
      <c r="L117" s="33" t="inlineStr">
        <is>
          <t>Clarification Provided</t>
        </is>
      </c>
      <c r="M117" s="33" t="inlineStr">
        <is>
          <t>A mapped-partner check at the point an analyst marks an event Not Impactful, so an event touching a customer's own mapped supplier cannot be closed out of their feed without that being surfaced to the reviewer</t>
        </is>
      </c>
      <c r="N117" s="33" t="inlineStr">
        <is>
          <t>Yes</t>
        </is>
      </c>
      <c r="O117"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7" s="33" t="n"/>
      <c r="Q117" s="33" t="inlineStr">
        <is>
          <t>Yes</t>
        </is>
      </c>
      <c r="R117" s="39" t="n">
        <v>9</v>
      </c>
      <c r="S117" s="39" t="n"/>
      <c r="T117" s="35" t="inlineStr">
        <is>
          <t>Sep 2026</t>
        </is>
      </c>
      <c r="U117" s="33" t="inlineStr">
        <is>
          <t>Medium</t>
        </is>
      </c>
      <c r="V117" s="33" t="inlineStr">
        <is>
          <t>WarRoom &amp; Decision Validation</t>
        </is>
      </c>
      <c r="W117" s="33" t="inlineStr">
        <is>
          <t>EAO-47</t>
        </is>
      </c>
      <c r="X117"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7" s="33" t="inlineStr">
        <is>
          <t>EventWatch Ops - Nitin Rindhe</t>
        </is>
      </c>
      <c r="Z117" s="37" t="n"/>
    </row>
    <row r="118">
      <c r="A118" s="35" t="n">
        <v>46266</v>
      </c>
      <c r="B118" s="37" t="n">
        <v>46293</v>
      </c>
      <c r="C118" s="33" t="inlineStr">
        <is>
          <t>Port Disruption</t>
        </is>
      </c>
      <c r="D118" s="33" t="inlineStr">
        <is>
          <t>Ford</t>
        </is>
      </c>
      <c r="E118" s="39" t="n">
        <v>1</v>
      </c>
      <c r="F118" s="33" t="inlineStr">
        <is>
          <t>South Africa Port and Corridor Congestion - EWC Cargo Movement Update Not Flagged (Ford)</t>
        </is>
      </c>
      <c r="G118" s="33" t="inlineStr">
        <is>
          <t>Complaint</t>
        </is>
      </c>
      <c r="H118" s="33" t="inlineStr">
        <is>
          <t>Missed Event</t>
        </is>
      </c>
      <c r="I118" s="33" t="inlineStr">
        <is>
          <t>People</t>
        </is>
      </c>
      <c r="J118" s="33" t="inlineStr">
        <is>
          <t>Review</t>
        </is>
      </c>
      <c r="K118" s="33" t="inlineStr">
        <is>
          <t>Improvement</t>
        </is>
      </c>
      <c r="L118" s="33" t="inlineStr">
        <is>
          <t>RCA Shared</t>
        </is>
      </c>
      <c r="M118" s="33" t="inlineStr">
        <is>
          <t>Not Impactful decision validation for port and corridor congestion, so a multi-day vessel waiting or berthing delay reported by a regional logistics body is escalated for a second review rather than closed at editorial review</t>
        </is>
      </c>
      <c r="N118" s="33" t="inlineStr">
        <is>
          <t>Yes</t>
        </is>
      </c>
      <c r="O118" s="33" t="inlineStr">
        <is>
          <t>Staged from Jira EAO-48 (Open). 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8" s="33" t="n"/>
      <c r="Q118" s="33" t="inlineStr">
        <is>
          <t>Yes</t>
        </is>
      </c>
      <c r="R118" s="39" t="n">
        <v>9</v>
      </c>
      <c r="S118" s="39" t="n"/>
      <c r="T118" s="35" t="inlineStr">
        <is>
          <t>Sep 2026</t>
        </is>
      </c>
      <c r="U118" s="33" t="inlineStr">
        <is>
          <t>High</t>
        </is>
      </c>
      <c r="V118" s="33" t="inlineStr">
        <is>
          <t>WarRoom &amp; Decision Validation</t>
        </is>
      </c>
      <c r="W118" s="33" t="inlineStr">
        <is>
          <t>EAO-48</t>
        </is>
      </c>
      <c r="X118" s="33" t="inlineStr">
        <is>
          <t>RCA reviewed internally on 05-Oct-2026 and shared with the customer as a PDF attached to EAO-48; the document text is not in the ticket. Closed 07-Oct-2026 with no follow-up received.</t>
        </is>
      </c>
      <c r="Y118" s="33" t="inlineStr">
        <is>
          <t>EventWatch Ops - Nitin Rindhe</t>
        </is>
      </c>
      <c r="Z118" s="37" t="n">
        <v>46302</v>
      </c>
    </row>
    <row r="119">
      <c r="A119" s="35" t="n">
        <v>46266</v>
      </c>
      <c r="B119" s="37" t="n">
        <v>46295</v>
      </c>
      <c r="C119" s="33" t="inlineStr">
        <is>
          <t>Extreme Weather</t>
        </is>
      </c>
      <c r="D119" s="33" t="inlineStr">
        <is>
          <t>META</t>
        </is>
      </c>
      <c r="E119" s="39" t="n">
        <v>1</v>
      </c>
      <c r="F119" s="33" t="inlineStr">
        <is>
          <t>Disaster Zone Declared in Bangkok, Thailand, Following Widespread Flooding</t>
        </is>
      </c>
      <c r="G119" s="33" t="inlineStr">
        <is>
          <t>Complaint</t>
        </is>
      </c>
      <c r="H119" s="33" t="inlineStr">
        <is>
          <t>Impacted Supplier Missing</t>
        </is>
      </c>
      <c r="I119" s="33" t="inlineStr">
        <is>
          <t>People</t>
        </is>
      </c>
      <c r="J119" s="33" t="inlineStr">
        <is>
          <t>Supplier Selection Miss</t>
        </is>
      </c>
      <c r="K119" s="33" t="inlineStr">
        <is>
          <t>Improvement</t>
        </is>
      </c>
      <c r="L119" s="33" t="inlineStr">
        <is>
          <t>Clarification Provided</t>
        </is>
      </c>
      <c r="M119"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9" s="33" t="inlineStr">
        <is>
          <t>Yes</t>
        </is>
      </c>
      <c r="O119"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Analyst research and site-selection issue. Available reporting described flooding beyond Bangkok, but the initial assessment focused only on Bangkok and did not evaluate the other affected regions. The relevant Delta Electronics site was consequently omitted from the initial WarRoom. Ticket remains open with no formal RCA; status retained as Clarification Provided.</t>
        </is>
      </c>
      <c r="P119" s="33" t="n"/>
      <c r="Q119" s="33" t="inlineStr">
        <is>
          <t>No</t>
        </is>
      </c>
      <c r="R119" s="39" t="n">
        <v>9</v>
      </c>
      <c r="S119" s="39" t="n"/>
      <c r="T119" s="35" t="inlineStr">
        <is>
          <t>Sep 2026</t>
        </is>
      </c>
      <c r="U119" s="33" t="inlineStr">
        <is>
          <t>Medium</t>
        </is>
      </c>
      <c r="V119" s="33" t="inlineStr">
        <is>
          <t>Entity &amp; Supplier Resolution</t>
        </is>
      </c>
      <c r="W119" s="33" t="inlineStr">
        <is>
          <t>EAO-49</t>
        </is>
      </c>
      <c r="X119" s="33" t="inlineStr">
        <is>
          <t>The initial EventWatch assessment focused on Bangkok and did not sufficiently evaluate the broader affected geography identified in the available reporting. The articles indicated that flooding extended beyond Bangkok into other affected regions. However, the analyst did not complete the additional regional research required to assess those locations and identify the relevant Delta Electronics site for inclusion in the initial WarRoom. The relevant site was omitted because the initial assessment remained limited to Bangkok, rather than because of a Product mapping, geocoding, portal-visibility, or source-detection failure. The issue originated in incomplete analyst research and impacted-site selection.</t>
        </is>
      </c>
      <c r="Y119" s="33" t="inlineStr">
        <is>
          <t>EventWatch Ops - Nitin Rindhe</t>
        </is>
      </c>
      <c r="Z119" s="37" t="n"/>
    </row>
    <row r="120">
      <c r="A120" s="35" t="n">
        <v>46296</v>
      </c>
      <c r="B120" s="37" t="n">
        <v>46296</v>
      </c>
      <c r="C120" s="33" t="inlineStr">
        <is>
          <t>Labor Disruption</t>
        </is>
      </c>
      <c r="D120" s="33" t="inlineStr">
        <is>
          <t>Ford</t>
        </is>
      </c>
      <c r="E120" s="39" t="n">
        <v>1</v>
      </c>
      <c r="F120" s="33" t="inlineStr">
        <is>
          <t>Planned Strike at AGC Display Glass, Yunlin County, Taiwan (5 Oct 2026) Not Reported (Ford)</t>
        </is>
      </c>
      <c r="G120" s="33" t="inlineStr">
        <is>
          <t>Complaint</t>
        </is>
      </c>
      <c r="H120" s="33" t="inlineStr">
        <is>
          <t>Missed Event</t>
        </is>
      </c>
      <c r="I120" s="33" t="inlineStr">
        <is>
          <t>People</t>
        </is>
      </c>
      <c r="J120" s="33" t="inlineStr">
        <is>
          <t>Review</t>
        </is>
      </c>
      <c r="K120" s="33" t="inlineStr">
        <is>
          <t>Improvement</t>
        </is>
      </c>
      <c r="L120" s="33" t="inlineStr">
        <is>
          <t>RCA Shared</t>
        </is>
      </c>
      <c r="M120" s="33" t="inlineStr">
        <is>
          <t>Not Impactful decision validation for planned labour actions, so a strike carrying a published start date is escalated for a second review rather than closed at editorial review</t>
        </is>
      </c>
      <c r="N120" s="33" t="inlineStr">
        <is>
          <t>Yes</t>
        </is>
      </c>
      <c r="O120"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20" s="33" t="n"/>
      <c r="Q120" s="33" t="inlineStr">
        <is>
          <t>Yes</t>
        </is>
      </c>
      <c r="R120" s="39" t="n">
        <v>10</v>
      </c>
      <c r="S120" s="39" t="n"/>
      <c r="T120" s="35" t="inlineStr">
        <is>
          <t>Oct 2026</t>
        </is>
      </c>
      <c r="U120" s="33" t="inlineStr">
        <is>
          <t>Medium</t>
        </is>
      </c>
      <c r="V120" s="33" t="inlineStr">
        <is>
          <t>WarRoom &amp; Decision Validation</t>
        </is>
      </c>
      <c r="W120" s="33" t="inlineStr">
        <is>
          <t>EAO-50</t>
        </is>
      </c>
      <c r="X120"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is still open and the document text is not in the ticket.</t>
        </is>
      </c>
      <c r="Y120" s="33" t="inlineStr">
        <is>
          <t>EventWatch Ops - Nitin Rindhe</t>
        </is>
      </c>
      <c r="Z120" s="37" t="n">
        <v>46309</v>
      </c>
    </row>
    <row r="121">
      <c r="A121" s="35" t="n">
        <v>46296</v>
      </c>
      <c r="B121" s="37" t="n">
        <v>46303</v>
      </c>
      <c r="C121" s="33" t="inlineStr">
        <is>
          <t>Power Outage</t>
        </is>
      </c>
      <c r="D121" s="33" t="inlineStr">
        <is>
          <t>General Mills</t>
        </is>
      </c>
      <c r="E121" s="39" t="n">
        <v>1</v>
      </c>
      <c r="F121" s="33" t="inlineStr">
        <is>
          <t>Carlisle, Iowa Municipal Water Disruption – No WarRoom Created (General Mills)</t>
        </is>
      </c>
      <c r="G121" s="33" t="inlineStr">
        <is>
          <t>Complaint</t>
        </is>
      </c>
      <c r="H121" s="33" t="inlineStr">
        <is>
          <t>Missed WarRoom</t>
        </is>
      </c>
      <c r="I121" s="33" t="inlineStr">
        <is>
          <t>Product</t>
        </is>
      </c>
      <c r="J121" s="33" t="inlineStr">
        <is>
          <t>Keyword Update</t>
        </is>
      </c>
      <c r="K121" s="33" t="inlineStr">
        <is>
          <t>Improvement</t>
        </is>
      </c>
      <c r="L121" s="33" t="inlineStr">
        <is>
          <t>Pending</t>
        </is>
      </c>
      <c r="M121" s="33" t="inlineStr">
        <is>
          <t>Keyword coverage for municipal utility disruptions and do-not-use-water orders, so a named-locality utility failure is matched against mapped customer sites rather than passing the algorithm unrecognised</t>
        </is>
      </c>
      <c r="N121" s="33" t="inlineStr">
        <is>
          <t>Yes</t>
        </is>
      </c>
      <c r="O121" s="33" t="inlineStr">
        <is>
          <t>Staged from Jira EAO-52 (Open). 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that the keyword is being added, so the Sub-type is no longer a staging guess; the ticket is still open with PM and the geofencing and WarRoom questions have not been answered separately. Under investigation: no agreed RCA yet.</t>
        </is>
      </c>
      <c r="P121" s="33" t="n"/>
      <c r="Q121" s="33" t="inlineStr">
        <is>
          <t>Yes</t>
        </is>
      </c>
      <c r="R121" s="39" t="n">
        <v>10</v>
      </c>
      <c r="S121" s="39" t="n"/>
      <c r="T121" s="35" t="inlineStr">
        <is>
          <t>Oct 2026</t>
        </is>
      </c>
      <c r="U121" s="33" t="inlineStr">
        <is>
          <t>Medium</t>
        </is>
      </c>
      <c r="V121" s="33" t="inlineStr">
        <is>
          <t>Dynamic Source Discovery</t>
        </is>
      </c>
      <c r="W121" s="33" t="inlineStr">
        <is>
          <t>EAO-52</t>
        </is>
      </c>
      <c r="X121" s="33" t="inlineStr">
        <is>
          <t>Monitoring checked the Not Impacted tab and found no relevant article, then established the cause as a keyword miss: the Carlisle coverage was not matched by the algorithm's keyword set. The keyword is being added. Not a source-coverage gap - the row was staged as one before the investigation reported, and is corrected here.</t>
        </is>
      </c>
      <c r="Y121" s="33" t="inlineStr">
        <is>
          <t>Product &amp; Platform</t>
        </is>
      </c>
      <c r="Z121" s="37" t="n"/>
    </row>
    <row r="122">
      <c r="A122" s="35" t="n">
        <v>46296</v>
      </c>
      <c r="B122" s="37" t="n">
        <v>46304</v>
      </c>
      <c r="C122" s="33" t="inlineStr">
        <is>
          <t>Price Fluctuation</t>
        </is>
      </c>
      <c r="D122" s="33" t="inlineStr">
        <is>
          <t>META</t>
        </is>
      </c>
      <c r="E122" s="39" t="n">
        <v>1</v>
      </c>
      <c r="F122" s="33" t="inlineStr">
        <is>
          <t>Nvidia Shield TV Pro Price Increase WarRoom Trigger Clarification (META)</t>
        </is>
      </c>
      <c r="G122" s="33" t="inlineStr">
        <is>
          <t>Inquiry</t>
        </is>
      </c>
      <c r="H122" s="33" t="inlineStr">
        <is>
          <t>WarRoom Timing/Trigger Criteria Clarification</t>
        </is>
      </c>
      <c r="I122" s="33" t="inlineStr">
        <is>
          <t>Process</t>
        </is>
      </c>
      <c r="J122" s="33" t="inlineStr">
        <is>
          <t>Process Clarification</t>
        </is>
      </c>
      <c r="K122" s="33" t="inlineStr">
        <is>
          <t>Improvement</t>
        </is>
      </c>
      <c r="L122" s="33" t="inlineStr">
        <is>
          <t>Clarification Provided</t>
        </is>
      </c>
      <c r="M122" s="33" t="inlineStr">
        <is>
          <t>Product-level relevance check before WarRoom creation on a price fluctuation event, so a mapped supplier's price move raises a WarRoom only where the affected product is one the customer procures</t>
        </is>
      </c>
      <c r="N122" s="33" t="inlineStr">
        <is>
          <t>No</t>
        </is>
      </c>
      <c r="O122"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2" s="33" t="n"/>
      <c r="Q122" s="33" t="inlineStr">
        <is>
          <t>No</t>
        </is>
      </c>
      <c r="R122" s="39" t="n">
        <v>10</v>
      </c>
      <c r="S122" s="39" t="n"/>
      <c r="T122" s="35" t="inlineStr">
        <is>
          <t>Oct 2026</t>
        </is>
      </c>
      <c r="U122" s="33" t="inlineStr">
        <is>
          <t>Medium</t>
        </is>
      </c>
      <c r="V122" s="33" t="inlineStr">
        <is>
          <t>WarRoom &amp; Decision Validation</t>
        </is>
      </c>
      <c r="W122" s="33" t="n"/>
      <c r="X122"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2" s="33" t="inlineStr">
        <is>
          <t>EventWatch Ops - Nitin Rindhe</t>
        </is>
      </c>
      <c r="Z122" s="37" t="n"/>
    </row>
    <row r="123">
      <c r="A123" s="35" t="n">
        <v>46296</v>
      </c>
      <c r="B123" s="37" t="n">
        <v>46304</v>
      </c>
      <c r="C123" s="33" t="inlineStr">
        <is>
          <t>Labor Disruption</t>
        </is>
      </c>
      <c r="D123" s="33" t="inlineStr">
        <is>
          <t>NVR</t>
        </is>
      </c>
      <c r="E123" s="39" t="n">
        <v>1</v>
      </c>
      <c r="F123" s="33" t="inlineStr">
        <is>
          <t>MasterBrand Cabinets to Lay Off Employees at Its Facility in Kinston, North Carolina, USA</t>
        </is>
      </c>
      <c r="G123" s="33" t="inlineStr">
        <is>
          <t>Inquiry</t>
        </is>
      </c>
      <c r="H123" s="33" t="inlineStr">
        <is>
          <t>Supplier Impact Mapping Clarification</t>
        </is>
      </c>
      <c r="I123" s="33" t="inlineStr">
        <is>
          <t>Process</t>
        </is>
      </c>
      <c r="J123" s="33" t="inlineStr">
        <is>
          <t>Supplier / Site Not Shared</t>
        </is>
      </c>
      <c r="K123" s="33" t="inlineStr">
        <is>
          <t>Improvement</t>
        </is>
      </c>
      <c r="L123" s="33" t="inlineStr">
        <is>
          <t>Clarification Provided</t>
        </is>
      </c>
      <c r="M123" s="33" t="inlineStr">
        <is>
          <t>A site-data completeness review with the customer, so facilities of an already-mapped supplier are shared and on file before an event names one, rather than the gap surfacing when a WarRoom does not appear</t>
        </is>
      </c>
      <c r="N123" s="33" t="inlineStr">
        <is>
          <t>No</t>
        </is>
      </c>
      <c r="O123" s="33" t="inlineStr">
        <is>
          <t>NVR raised two separate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the Kinston layoffs were reported by multiple news outlets. EventWatch confirmed the Kinston event was identified and published. A customer-specific WarRoom is created only where the affected supplier site is mapped in the Resilinc database, and the Kinston site was not among the sites NVR had shared, so a bulletin published and no WarRoom followed. This was not a missed EventWatch event, and it is neither a platform nor an analyst failure: the site was never shared with us, so there was nothing for the event to match against. ASK 2, whether Neuse News, Triangle Business Journal, Woodworking Network and WITN are part of the monitoring vendor network and can be added going forward. Nitin Rindhe asked Ankit Gupta to verify. This is a source-coverage validation question, not an allegation that the event was missed: EventWatch had already published a bulletin on the Kinston event, so monitoring did carry it. No confirmation appears in the thread reviewed, so that verification is still outstanding and is recorded here rather than in the status field. The row is Clarification Provided because that is what went back to NVR on ask 1. It is not Pending: this was raised by email with no Jira ticket, so the daily Pending re-check would have no ticket to pull and nothing would ever move the flag off. The open source check is a manual follow-up with Ankit Gupta.</t>
        </is>
      </c>
      <c r="P123" s="33" t="n"/>
      <c r="Q123" s="33" t="inlineStr">
        <is>
          <t>No</t>
        </is>
      </c>
      <c r="R123" s="39" t="n">
        <v>10</v>
      </c>
      <c r="S123" s="39" t="n"/>
      <c r="T123" s="35" t="inlineStr">
        <is>
          <t>Oct 2026</t>
        </is>
      </c>
      <c r="U123" s="33" t="inlineStr">
        <is>
          <t>Low</t>
        </is>
      </c>
      <c r="V123" s="33" t="inlineStr">
        <is>
          <t>Entity &amp; Supplier Resolution</t>
        </is>
      </c>
      <c r="W123" s="33" t="n"/>
      <c r="X123" s="33" t="inlineStr">
        <is>
          <t>The Kinston event was identified and published as an EventWatch bulletin, so monitoring carried it. A customer-specific WarRoom is raised only where the affected supplier site is mapped in the Resilinc database, and the MasterBrand Kinston site was not among the sites NVR had shared, so no WarRoom could be created for them. Nothing in the platform or in analyst review failed here. What is missing is a process for collecting a customer's facility data completely enough that a site of a mapped supplier is on file before an event names it. The source-coverage question NVR raised alongside is being verified separately and carries no finding of a miss, since the event was published.</t>
        </is>
      </c>
      <c r="Y123" s="33" t="inlineStr">
        <is>
          <t>EventWatch Ops - Nitin Rindhe</t>
        </is>
      </c>
      <c r="Z123" s="37" t="n"/>
    </row>
    <row r="124">
      <c r="A124" s="35" t="n">
        <v>46296</v>
      </c>
      <c r="B124" s="37" t="n">
        <v>46304</v>
      </c>
      <c r="C124" s="33" t="inlineStr">
        <is>
          <t>FDA/EMA/OSHA Action</t>
        </is>
      </c>
      <c r="D124" s="33" t="inlineStr">
        <is>
          <t>Suntory Spirits</t>
        </is>
      </c>
      <c r="E124" s="39" t="n">
        <v>1</v>
      </c>
      <c r="F124" s="33" t="inlineStr">
        <is>
          <t>Antitrust Raids at Suntory Spirits, Asahi Breweries, Kirin Brewery, and Sapporo Breweries in Japan</t>
        </is>
      </c>
      <c r="G124" s="33" t="inlineStr">
        <is>
          <t>Complaint</t>
        </is>
      </c>
      <c r="H124" s="33" t="inlineStr">
        <is>
          <t>Missing EventWatch coverage / feeds not captured</t>
        </is>
      </c>
      <c r="I124" s="33" t="inlineStr">
        <is>
          <t>People</t>
        </is>
      </c>
      <c r="J124" s="33" t="inlineStr">
        <is>
          <t>Analyst Review Miss</t>
        </is>
      </c>
      <c r="K124" s="33" t="inlineStr">
        <is>
          <t>Improvement</t>
        </is>
      </c>
      <c r="L124" s="33" t="inlineStr">
        <is>
          <t>RCA Shared</t>
        </is>
      </c>
      <c r="M124" s="33" t="inlineStr">
        <is>
          <t>Timeliness monitoring for regulator and competition-authority actions against mapped suppliers, so a publicly reported raid or probe is matched and published before a customer asks where the coverage is</t>
        </is>
      </c>
      <c r="N124" s="33" t="inlineStr">
        <is>
          <t>Yes</t>
        </is>
      </c>
      <c r="O124" s="33" t="inlineStr">
        <is>
          <t>Suntory Spirits raised two asks by email on 09-Oct-2026 about the Japanese antitrust investigation into four major brewers. ASK 1, why there was no EventWatch coverage. The customer saw news of the investigation naming Suntory Spirits and could not find corresponding coverage in EventWatch, and questioned whether this event type is monitored at all. ASK 2, whether the sources reporting the investigation are inside the monitoring ecosystem, and whether monitoring can be expanded so future developments are captured earlier. The timeline is what makes this a miss rather than a coverage question. Authorities conducted searches on 07-Oct-2026 and the investigation was publicly reported before any EventWatch bulletin existed. The customer wrote in on 09-Oct. The bulletin, titled Antitrust Raids at Suntory Spirits, Asahi Breweries, Kirin Brewery, and Sapporo Breweries in Japan, published at 12:07 AM IST on 10-Oct-2026 - after the escalation. So ask 2 is not a generic source-coverage question: the customer is asking whether sources that already carried the story were being monitored, which makes it a monitoring-gap inquiry. Under investigation and deliberately left open; the Sub-type is a staging guess. Captured Late is the one reading the timeline supports on its own, since a bulletin did publish, and it does not prejudge whether the delay came from a source gap, a keyword gap or pipeline lag - which is exactly what is still being established. Raised by email; no Jira ticket has been opened, so the daily Pending re-check has no ticket to pull and this row needs a human to carry it.</t>
        </is>
      </c>
      <c r="P124" s="33" t="n"/>
      <c r="Q124" s="33" t="inlineStr">
        <is>
          <t>Yes</t>
        </is>
      </c>
      <c r="R124" s="39" t="n">
        <v>10</v>
      </c>
      <c r="S124" s="39" t="n"/>
      <c r="T124" s="35" t="inlineStr">
        <is>
          <t>Oct 2026</t>
        </is>
      </c>
      <c r="U124" s="33" t="inlineStr">
        <is>
          <t>Medium</t>
        </is>
      </c>
      <c r="V124" s="33" t="inlineStr">
        <is>
          <t>WarRoom &amp; Decision Validation</t>
        </is>
      </c>
      <c r="W124" s="33" t="n"/>
      <c r="X124" s="33" t="inlineStr">
        <is>
          <t>EventWatch captured the relevant articles on 07-Oct-2026 and 08-Oct-2026. The event was classified Not Impactful during human-in-the-loop review. The customer inquiry was received on 09-Oct-2026, the event was re-evaluated and a WarRoom was created, and the bulletin published on 10-Oct-2026. The RCA identifies incorrect human assessment as the root cause.</t>
        </is>
      </c>
      <c r="Y124" s="33" t="inlineStr">
        <is>
          <t>EventWatch Ops - Nitin Rindhe</t>
        </is>
      </c>
      <c r="Z124" s="37" t="n"/>
    </row>
    <row r="125">
      <c r="A125" s="35" t="n">
        <v>46296</v>
      </c>
      <c r="B125" s="37" t="n">
        <v>46307</v>
      </c>
      <c r="C125" s="33" t="inlineStr">
        <is>
          <t>Bankruptcy</t>
        </is>
      </c>
      <c r="D125" s="33" t="inlineStr">
        <is>
          <t>Ford</t>
        </is>
      </c>
      <c r="E125" s="39" t="n">
        <v>1</v>
      </c>
      <c r="F125" s="33" t="inlineStr">
        <is>
          <t>BER Automotive Bankruptcy, Bursa Türkiye – No EventWatch Alert (Ford)</t>
        </is>
      </c>
      <c r="G125" s="33" t="inlineStr">
        <is>
          <t>Complaint</t>
        </is>
      </c>
      <c r="H125" s="33" t="inlineStr">
        <is>
          <t>Missed insolvency alert</t>
        </is>
      </c>
      <c r="I125" s="33" t="inlineStr">
        <is>
          <t>Product</t>
        </is>
      </c>
      <c r="J125" s="33" t="inlineStr">
        <is>
          <t>Source Coverage</t>
        </is>
      </c>
      <c r="K125" s="33" t="inlineStr">
        <is>
          <t>Improvement</t>
        </is>
      </c>
      <c r="L125" s="33" t="inlineStr">
        <is>
          <t>Pending</t>
        </is>
      </c>
      <c r="M125" s="33" t="inlineStr">
        <is>
          <t>Source onboarding and feed-receipt verification for Turkish-language business and regional news covering the Bursa automotive cluster, so a filing at a sub-tier supplier is carried when it is published rather than found when the customer raises it</t>
        </is>
      </c>
      <c r="N125" s="33" t="inlineStr">
        <is>
          <t>Yes</t>
        </is>
      </c>
      <c r="O125" s="33" t="inlineStr">
        <is>
          <t>Staged from Jira EAO-53 (Open). 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only cited source is a Turkish-language report of alleged billion-lira fraud in the Bursa automotive sector, offered as customer evidence rather than verified fact. The ticket asks for an RCA plus interim and permanent corrective actions. Under investigation: no RCA yet, and the Sub-type is a staging guess - source coverage and a keyword gap are both open, as EAO-52 has just shown.</t>
        </is>
      </c>
      <c r="P125" s="33" t="n"/>
      <c r="Q125" s="33" t="inlineStr">
        <is>
          <t>Yes</t>
        </is>
      </c>
      <c r="R125" s="39" t="n">
        <v>10</v>
      </c>
      <c r="S125" s="39" t="n"/>
      <c r="T125" s="35" t="inlineStr">
        <is>
          <t>Oct 2026</t>
        </is>
      </c>
      <c r="U125" s="33" t="inlineStr">
        <is>
          <t>High</t>
        </is>
      </c>
      <c r="V125" s="33" t="inlineStr">
        <is>
          <t>Dynamic Source Discovery</t>
        </is>
      </c>
      <c r="W125" s="33" t="inlineStr">
        <is>
          <t>EAO-53</t>
        </is>
      </c>
      <c r="X125" s="33" t="inlineStr">
        <is>
          <t>Neither of the two Turkish-language sources carrying the Bursa fraud allegations is part of the vendor's monitoring network, established by Ankit Gupta on the ticket on 16-Oct-2026. The vendor has been asked to add them and is working on it. Not a keyword gap: the story never reached the application.</t>
        </is>
      </c>
      <c r="Y125" s="33" t="inlineStr">
        <is>
          <t>Product &amp; Platform</t>
        </is>
      </c>
      <c r="Z125" s="37" t="n"/>
    </row>
    <row r="126">
      <c r="A126" s="35" t="n">
        <v>46296</v>
      </c>
      <c r="B126" s="37" t="n">
        <v>46310</v>
      </c>
      <c r="C126" s="33" t="inlineStr">
        <is>
          <t>Supply Shortage</t>
        </is>
      </c>
      <c r="D126" s="33" t="inlineStr">
        <is>
          <t>Belden Inc</t>
        </is>
      </c>
      <c r="E126" s="39" t="n">
        <v>1</v>
      </c>
      <c r="F126" s="33" t="inlineStr">
        <is>
          <t>Gallium and Germanium Supply Risk Under Chinese Export Curbs - No EventWatch Notification (Belden)</t>
        </is>
      </c>
      <c r="G126" s="33" t="inlineStr">
        <is>
          <t>Complaint</t>
        </is>
      </c>
      <c r="H126" s="33" t="inlineStr">
        <is>
          <t>Missed Event</t>
        </is>
      </c>
      <c r="I126" s="33" t="inlineStr">
        <is>
          <t>Product</t>
        </is>
      </c>
      <c r="J126" s="33" t="inlineStr">
        <is>
          <t>Keyword Update</t>
        </is>
      </c>
      <c r="K126" s="33" t="inlineStr">
        <is>
          <t>Improvement</t>
        </is>
      </c>
      <c r="L126" s="33" t="inlineStr">
        <is>
          <t>Pending</t>
        </is>
      </c>
      <c r="M126" s="33" t="inlineStr">
        <is>
          <t>Keyword coverage for critical-minerals export controls and compound-semiconductor feedstock risk, so a story worded around export curbs and niche metals is matched rather than passing through an ingested feed unrecognised</t>
        </is>
      </c>
      <c r="N126" s="33" t="inlineStr">
        <is>
          <t>Yes</t>
        </is>
      </c>
      <c r="O126" s="33" t="inlineStr">
        <is>
          <t>Staged from Jira EAO-54 (Open). One of two events Belden raised in a single ticket about gallium arsenide, indium phosphide and semiconductor supply-chain risk; see the companion row for the epiwafer price increases. This row covers the Reuters report of 18-Sep-2026 on continued high prices and supply shortages for gallium and germanium under Chinese export curbs, with AI, fibre-optic and infrared-imaging demand adding pressure.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Reuters is in the monitoring network, which rules out a source gap and establishes the Sub-type as a keyword gap rather than leaving it a staging guess.</t>
        </is>
      </c>
      <c r="P126" s="33" t="n"/>
      <c r="Q126" s="33" t="inlineStr">
        <is>
          <t>Yes</t>
        </is>
      </c>
      <c r="R126" s="39" t="n">
        <v>10</v>
      </c>
      <c r="S126" s="39" t="n"/>
      <c r="T126" s="35" t="inlineStr">
        <is>
          <t>Oct 2026</t>
        </is>
      </c>
      <c r="U126" s="33" t="inlineStr">
        <is>
          <t>Medium</t>
        </is>
      </c>
      <c r="V126" s="33" t="inlineStr">
        <is>
          <t>Dynamic Source Discovery</t>
        </is>
      </c>
      <c r="W126" s="33" t="inlineStr">
        <is>
          <t>EAO-54</t>
        </is>
      </c>
      <c r="X126" s="33" t="inlineStr">
        <is>
          <t>Keyword gap, not a source gap. Reuters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t>
        </is>
      </c>
      <c r="Y126" s="33" t="inlineStr">
        <is>
          <t>Product &amp; Platform</t>
        </is>
      </c>
      <c r="Z126" s="37" t="n"/>
    </row>
    <row r="127">
      <c r="A127" s="35" t="n">
        <v>46296</v>
      </c>
      <c r="B127" s="37" t="n">
        <v>46310</v>
      </c>
      <c r="C127" s="33" t="inlineStr">
        <is>
          <t>Supply Shortage</t>
        </is>
      </c>
      <c r="D127" s="33" t="inlineStr">
        <is>
          <t>Belden Inc</t>
        </is>
      </c>
      <c r="E127" s="39" t="n">
        <v>1</v>
      </c>
      <c r="F127" s="33" t="inlineStr">
        <is>
          <t>GaAs and InP Epiwafer Price Increases in the Taiwan Supply Chain - No EventWatch Notification (Belden)</t>
        </is>
      </c>
      <c r="G127" s="33" t="inlineStr">
        <is>
          <t>Complaint</t>
        </is>
      </c>
      <c r="H127" s="33" t="inlineStr">
        <is>
          <t>Missed Event</t>
        </is>
      </c>
      <c r="I127" s="33" t="inlineStr">
        <is>
          <t>Product</t>
        </is>
      </c>
      <c r="J127" s="33" t="inlineStr">
        <is>
          <t>Keyword Update</t>
        </is>
      </c>
      <c r="K127" s="33" t="inlineStr">
        <is>
          <t>Improvement</t>
        </is>
      </c>
      <c r="L127" s="33" t="inlineStr">
        <is>
          <t>Pending</t>
        </is>
      </c>
      <c r="M127" s="33" t="inlineStr">
        <is>
          <t>Keyword coverage for compound-semiconductor epiwafer and substrate pricing terminology, so a trade-press story on GaAs and InP price increases is matched rather than passing through an ingested feed unrecognised</t>
        </is>
      </c>
      <c r="N127" s="33" t="inlineStr">
        <is>
          <t>Yes</t>
        </is>
      </c>
      <c r="O127" s="33" t="inlineStr">
        <is>
          <t>Staged from Jira EAO-54 (Open). The second of two events Belden raised in a single ticket; see the companion row for the gallium and germanium export-curb risk. This row covers the DigiTimes report of 02-Jul-2026 that compound-semiconductor epitaxy makers are raising GaAs and InP epiwafer prices amid rising input costs, supply-chain shortages and inflation.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DigiTimes is in the monitoring network, which rules out a source gap and establishes the Sub-type as a keyword gap. Recorded as a counterpoint on the same subject: DigiTimes of 04-May-2026 carried WIN Semiconductors stating that GaAs and InP supply still meets production demand despite higher substrate costs. That statement is not itself a reportable disruption, so it takes no row of its own.</t>
        </is>
      </c>
      <c r="P127" s="33" t="n"/>
      <c r="Q127" s="33" t="inlineStr">
        <is>
          <t>Yes</t>
        </is>
      </c>
      <c r="R127" s="39" t="n">
        <v>10</v>
      </c>
      <c r="S127" s="39" t="n"/>
      <c r="T127" s="35" t="inlineStr">
        <is>
          <t>Oct 2026</t>
        </is>
      </c>
      <c r="U127" s="33" t="inlineStr">
        <is>
          <t>Medium</t>
        </is>
      </c>
      <c r="V127" s="33" t="inlineStr">
        <is>
          <t>Dynamic Source Discovery</t>
        </is>
      </c>
      <c r="W127" s="33" t="inlineStr">
        <is>
          <t>EAO-54</t>
        </is>
      </c>
      <c r="X127" s="33" t="inlineStr">
        <is>
          <t>Keyword gap, not a source gap. DigiTimes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t>
        </is>
      </c>
      <c r="Y127" s="33" t="inlineStr">
        <is>
          <t>Product &amp; Platform</t>
        </is>
      </c>
      <c r="Z127" s="37" t="n"/>
    </row>
    <row r="128">
      <c r="A128" s="35" t="n">
        <v>46296</v>
      </c>
      <c r="B128" s="37" t="n">
        <v>46311</v>
      </c>
      <c r="C128" s="33" t="inlineStr">
        <is>
          <t>Merger &amp; Acquisition</t>
        </is>
      </c>
      <c r="D128" s="33" t="inlineStr">
        <is>
          <t>Irving Oil</t>
        </is>
      </c>
      <c r="E128" s="39" t="n">
        <v>1</v>
      </c>
      <c r="F128" s="33" t="inlineStr">
        <is>
          <t>WSP Acquisition of GCM Corpo - No EventWatch Notification (Irving Oil)</t>
        </is>
      </c>
      <c r="G128" s="33" t="inlineStr">
        <is>
          <t>Complaint</t>
        </is>
      </c>
      <c r="H128" s="33" t="inlineStr">
        <is>
          <t>Missed Event</t>
        </is>
      </c>
      <c r="I128" s="33" t="inlineStr">
        <is>
          <t>Product</t>
        </is>
      </c>
      <c r="J128" s="33" t="inlineStr">
        <is>
          <t>Keyword Update</t>
        </is>
      </c>
      <c r="K128" s="33" t="inlineStr">
        <is>
          <t>Improvement</t>
        </is>
      </c>
      <c r="L128" s="33" t="inlineStr">
        <is>
          <t>Pending</t>
        </is>
      </c>
      <c r="M128" s="33" t="inlineStr">
        <is>
          <t>Coverage check for acquisition announcements carried only in French-language Canadian business press</t>
        </is>
      </c>
      <c r="N128" s="33" t="inlineStr">
        <is>
          <t>Yes</t>
        </is>
      </c>
      <c r="O128" s="33" t="inlineStr">
        <is>
          <t>Staged from Jira EAO-55 (In Progress). Irving Oil reported that no event was published for WSP's acquisition of GCM Corpo. Customer Support checked the backend and found no event matching that title in the database. The supporting article is a French-language release in Le Devoir. No investigation has been done and no RCA exists. The Sub-type is a staging guess: the ticket does not say the feed was not received, so Source Coverage is not supported on the evidence available. If the investigation names language as the cause, the Standard Automation Focus becomes Multilingual Keyword Expansion.</t>
        </is>
      </c>
      <c r="P128" s="33" t="n"/>
      <c r="Q128" s="33" t="inlineStr">
        <is>
          <t>Yes</t>
        </is>
      </c>
      <c r="R128" s="39" t="n">
        <v>10</v>
      </c>
      <c r="S128" s="39" t="n"/>
      <c r="T128" s="35" t="inlineStr">
        <is>
          <t>Oct 2026</t>
        </is>
      </c>
      <c r="U128" s="33" t="inlineStr">
        <is>
          <t>Medium</t>
        </is>
      </c>
      <c r="V128" s="33" t="inlineStr">
        <is>
          <t>Dynamic Source Discovery</t>
        </is>
      </c>
      <c r="W128" s="33" t="inlineStr">
        <is>
          <t>EAO-55</t>
        </is>
      </c>
      <c r="X128" s="33" t="n"/>
      <c r="Y128" s="33" t="inlineStr">
        <is>
          <t>Product &amp; Platform</t>
        </is>
      </c>
      <c r="Z128"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35</v>
      </c>
      <c r="C67" s="23" t="n" cm="1">
        <f t="array" ref="C67:C76">_xlfn.ANCHORARRAY(B67)/COUNTIF(ComplaintTracker[Issue Type],"Complaint")</f>
        <v>0.33980582524271846</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3">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13</v>
      </c>
      <c r="K67" s="75" t="n">
        <v>2</v>
      </c>
      <c r="L67" s="75" t="n">
        <v>15</v>
      </c>
    </row>
    <row r="68" ht="23.25" customHeight="1">
      <c r="A68" s="20" t="inlineStr">
        <is>
          <t>Eaton</t>
        </is>
      </c>
      <c r="B68" s="22" t="n">
        <v>13</v>
      </c>
      <c r="C68" s="24" t="n">
        <v>0.1262135922330097</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0.06796116504854369</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5</v>
      </c>
      <c r="C70" s="24" t="n">
        <v>0.04854368932038835</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2</v>
      </c>
      <c r="L70" s="76" t="n">
        <v>15</v>
      </c>
    </row>
    <row r="71" ht="23.25" customHeight="1">
      <c r="A71" s="20" t="inlineStr">
        <is>
          <t>GM</t>
        </is>
      </c>
      <c r="B71" s="22" t="n">
        <v>4</v>
      </c>
      <c r="C71" s="24" t="n">
        <v>0.038834951456310676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Belden Inc</t>
        </is>
      </c>
      <c r="B72" s="22" t="n">
        <v>3</v>
      </c>
      <c r="C72" s="24" t="n">
        <v>0.02912621359223301</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Ford/GM</t>
        </is>
      </c>
      <c r="B73" s="22" t="n">
        <v>3</v>
      </c>
      <c r="C73" s="24" t="n">
        <v>0.02912621359223301</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FDA/EMA/OSHA Action</t>
        </is>
      </c>
      <c r="J73" s="76" t="n">
        <v>1</v>
      </c>
      <c r="K73" s="76" t="n">
        <v>0</v>
      </c>
      <c r="L73" s="76" t="n">
        <v>1</v>
      </c>
    </row>
    <row r="74" ht="23.25" customHeight="1">
      <c r="A74" s="20" t="inlineStr">
        <is>
          <t>General Mills</t>
        </is>
      </c>
      <c r="B74" s="22" t="n">
        <v>2</v>
      </c>
      <c r="C74" s="24" t="n">
        <v>0.019417475728155338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Closure</t>
        </is>
      </c>
      <c r="J74" s="76" t="n">
        <v>1</v>
      </c>
      <c r="K74" s="76" t="n">
        <v>0</v>
      </c>
      <c r="L74" s="76" t="n">
        <v>1</v>
      </c>
    </row>
    <row r="75" ht="18" customHeight="1">
      <c r="A75" s="20" t="inlineStr">
        <is>
          <t>Irving Oil</t>
        </is>
      </c>
      <c r="B75" s="22" t="n">
        <v>2</v>
      </c>
      <c r="C75" s="24" t="n">
        <v>0.019417475728155338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Disruption</t>
        </is>
      </c>
      <c r="J75" s="76" t="n">
        <v>1</v>
      </c>
      <c r="K75" s="76" t="n">
        <v>0</v>
      </c>
      <c r="L75" s="76" t="n">
        <v>1</v>
      </c>
    </row>
    <row r="76" ht="23.25" customHeight="1">
      <c r="A76" s="20" t="inlineStr">
        <is>
          <t>META</t>
        </is>
      </c>
      <c r="B76" s="22" t="n">
        <v>2</v>
      </c>
      <c r="C76" s="24" t="n">
        <v>0.019417475728155338</v>
      </c>
      <c r="D76" s="3" t="n"/>
      <c r="E76" s="20" t="inlineStr">
        <is>
          <t>Classification &amp; Impact Validation</t>
        </is>
      </c>
      <c r="F76" s="22">
        <f>COUNTIFS(ComplaintTracker[Issue Type],"Complaint",ComplaintTracker[Standard Automation Focus],E76)</f>
        <v/>
      </c>
      <c r="G76" s="24">
        <f>F76/COUNTIF(ComplaintTracker[Issue Type],"Complaint")</f>
        <v/>
      </c>
      <c r="H76" s="3" t="n"/>
      <c r="I76" s="20" t="inlineStr">
        <is>
          <t>Factory Fire</t>
        </is>
      </c>
      <c r="J76" s="76" t="n">
        <v>14</v>
      </c>
      <c r="K76" s="76" t="n">
        <v>2</v>
      </c>
      <c r="L76" s="76" t="n">
        <v>16</v>
      </c>
    </row>
    <row r="77" ht="23.25" customHeight="1">
      <c r="A77" s="20" t="inlineStr">
        <is>
          <t>Other customers</t>
        </is>
      </c>
      <c r="B77" s="22">
        <f>COUNTIF(ComplaintTracker[Issue Type],"Complaint")-SUM(B67:B76)</f>
        <v/>
      </c>
      <c r="C77" s="24">
        <f>B77/COUNTIF(ComplaintTracker[Issue Type],"Complaint")</f>
        <v/>
      </c>
      <c r="D77" s="3" t="n"/>
      <c r="E77" s="25" t="inlineStr">
        <is>
          <t>Total</t>
        </is>
      </c>
      <c r="F77" s="26">
        <f>SUM(F67:F76)</f>
        <v/>
      </c>
      <c r="G77" s="27">
        <f>SUM(G67:G76)</f>
        <v/>
      </c>
      <c r="H77" s="3" t="n"/>
      <c r="I77" s="20" t="inlineStr">
        <is>
          <t>Financial Distress</t>
        </is>
      </c>
      <c r="J77" s="76" t="n">
        <v>2</v>
      </c>
      <c r="K77" s="76" t="n">
        <v>0</v>
      </c>
      <c r="L77" s="76" t="n">
        <v>2</v>
      </c>
    </row>
    <row r="78" ht="18" customHeight="1">
      <c r="A78" s="25" t="inlineStr">
        <is>
          <t>Total</t>
        </is>
      </c>
      <c r="B78" s="26">
        <f>SUM(B67:B77)</f>
        <v/>
      </c>
      <c r="C78" s="27">
        <f>SUM(C67:C77)</f>
        <v/>
      </c>
      <c r="D78" s="3" t="n"/>
      <c r="E78" s="3" t="n"/>
      <c r="F78" s="3" t="n"/>
      <c r="G78" s="3" t="n"/>
      <c r="H78" s="3" t="n"/>
      <c r="I78" s="20" t="inlineStr">
        <is>
          <t>Geopolitical</t>
        </is>
      </c>
      <c r="J78" s="76" t="n">
        <v>5</v>
      </c>
      <c r="K78" s="76" t="n">
        <v>2</v>
      </c>
      <c r="L78" s="76" t="n">
        <v>7</v>
      </c>
    </row>
    <row r="79" ht="23.25" customHeight="1">
      <c r="A79" s="3" t="n"/>
      <c r="B79" s="3" t="n"/>
      <c r="C79" s="3" t="n"/>
      <c r="D79" s="3" t="n"/>
      <c r="E79" s="3" t="n"/>
      <c r="F79" s="3" t="n"/>
      <c r="G79" s="3" t="n"/>
      <c r="H79" s="3" t="n"/>
      <c r="I79" s="20" t="inlineStr">
        <is>
          <t>Hurricane/Typhoon</t>
        </is>
      </c>
      <c r="J79" s="76" t="n">
        <v>0</v>
      </c>
      <c r="K79" s="76" t="n">
        <v>2</v>
      </c>
      <c r="L79" s="76" t="n">
        <v>2</v>
      </c>
    </row>
    <row r="80" ht="23.25" customHeight="1">
      <c r="A80" s="3" t="n"/>
      <c r="B80" s="3" t="n"/>
      <c r="C80" s="3" t="n"/>
      <c r="D80" s="3" t="n"/>
      <c r="E80" s="3" t="n"/>
      <c r="F80" s="3" t="n"/>
      <c r="G80" s="3" t="n"/>
      <c r="H80" s="3" t="n"/>
      <c r="I80" s="20" t="inlineStr">
        <is>
          <t>Labor Disruption</t>
        </is>
      </c>
      <c r="J80" s="76" t="n">
        <v>7</v>
      </c>
      <c r="K80" s="76" t="n">
        <v>1</v>
      </c>
      <c r="L80" s="76" t="n">
        <v>8</v>
      </c>
    </row>
    <row r="81" ht="18" customHeight="1">
      <c r="A81" s="3" t="n"/>
      <c r="B81" s="3" t="n"/>
      <c r="C81" s="3" t="n"/>
      <c r="D81" s="3" t="n"/>
      <c r="E81" s="3" t="n"/>
      <c r="F81" s="3" t="n"/>
      <c r="G81" s="3" t="n"/>
      <c r="H81" s="3" t="n"/>
      <c r="I81" s="20" t="inlineStr">
        <is>
          <t>Leadership Transition</t>
        </is>
      </c>
      <c r="J81" s="76" t="n">
        <v>1</v>
      </c>
      <c r="K81" s="76" t="n">
        <v>0</v>
      </c>
      <c r="L81" s="76" t="n">
        <v>1</v>
      </c>
    </row>
    <row r="82" ht="23.25" customHeight="1">
      <c r="A82" s="3" t="n"/>
      <c r="B82" s="3" t="n"/>
      <c r="C82" s="3" t="n"/>
      <c r="D82" s="3" t="n"/>
      <c r="E82" s="3" t="n"/>
      <c r="F82" s="3" t="n"/>
      <c r="G82" s="3" t="n"/>
      <c r="H82" s="3" t="n"/>
      <c r="I82" s="20" t="inlineStr">
        <is>
          <t>Legal Action</t>
        </is>
      </c>
      <c r="J82" s="76" t="n">
        <v>2</v>
      </c>
      <c r="K82" s="76" t="n">
        <v>0</v>
      </c>
      <c r="L82" s="76" t="n">
        <v>2</v>
      </c>
    </row>
    <row r="83" ht="23.25" customHeight="1">
      <c r="A83" s="3" t="n"/>
      <c r="B83" s="3" t="n"/>
      <c r="C83" s="3" t="n"/>
      <c r="D83" s="3" t="n"/>
      <c r="E83" s="3" t="n"/>
      <c r="F83" s="3" t="n"/>
      <c r="G83" s="3" t="n"/>
      <c r="H83" s="3" t="n"/>
      <c r="I83" s="20" t="inlineStr">
        <is>
          <t>Merger &amp; Acquisition</t>
        </is>
      </c>
      <c r="J83" s="76" t="n">
        <v>4</v>
      </c>
      <c r="K83" s="76" t="n">
        <v>2</v>
      </c>
      <c r="L83" s="76" t="n">
        <v>6</v>
      </c>
    </row>
    <row r="84" ht="18" customHeight="1">
      <c r="A84" s="3" t="n"/>
      <c r="B84" s="3" t="n"/>
      <c r="C84" s="3" t="n"/>
      <c r="D84" s="3" t="n"/>
      <c r="E84" s="3" t="n"/>
      <c r="F84" s="3" t="n"/>
      <c r="G84" s="3" t="n"/>
      <c r="H84" s="3" t="n"/>
      <c r="I84" s="20" t="inlineStr">
        <is>
          <t>Platform/Data Quality</t>
        </is>
      </c>
      <c r="J84" s="76" t="n">
        <v>2</v>
      </c>
      <c r="K84" s="76" t="n">
        <v>0</v>
      </c>
      <c r="L84" s="76" t="n">
        <v>2</v>
      </c>
    </row>
    <row r="85" ht="23.25" customHeight="1">
      <c r="A85" s="3" t="n"/>
      <c r="B85" s="3" t="n"/>
      <c r="C85" s="3" t="n"/>
      <c r="D85" s="3" t="n"/>
      <c r="E85" s="3" t="n"/>
      <c r="F85" s="3" t="n"/>
      <c r="G85" s="3" t="n"/>
      <c r="H85" s="3" t="n"/>
      <c r="I85" s="20" t="inlineStr">
        <is>
          <t>Port Disruption</t>
        </is>
      </c>
      <c r="J85" s="76" t="n">
        <v>2</v>
      </c>
      <c r="K85" s="76" t="n">
        <v>1</v>
      </c>
      <c r="L85" s="76" t="n">
        <v>3</v>
      </c>
    </row>
    <row r="86" ht="23.25" customHeight="1">
      <c r="A86" s="3" t="n"/>
      <c r="B86" s="3" t="n"/>
      <c r="C86" s="3" t="n"/>
      <c r="D86" s="3" t="n"/>
      <c r="E86" s="3" t="n"/>
      <c r="F86" s="3" t="n"/>
      <c r="G86" s="3" t="n"/>
      <c r="H86" s="3" t="n"/>
      <c r="I86" s="20" t="inlineStr">
        <is>
          <t>Power Outage</t>
        </is>
      </c>
      <c r="J86" s="76" t="n">
        <v>2</v>
      </c>
      <c r="K86" s="76" t="n">
        <v>1</v>
      </c>
      <c r="L86" s="76" t="n">
        <v>3</v>
      </c>
    </row>
    <row r="87" ht="18" customHeight="1">
      <c r="A87" s="3" t="n"/>
      <c r="B87" s="3" t="n"/>
      <c r="C87" s="3" t="n"/>
      <c r="D87" s="3" t="n"/>
      <c r="E87" s="3" t="n"/>
      <c r="F87" s="3" t="n"/>
      <c r="G87" s="3" t="n"/>
      <c r="H87" s="3" t="n"/>
      <c r="I87" s="20" t="inlineStr">
        <is>
          <t>Price Fluctuation</t>
        </is>
      </c>
      <c r="J87" s="76" t="n">
        <v>0</v>
      </c>
      <c r="K87" s="76" t="n">
        <v>1</v>
      </c>
      <c r="L87" s="76" t="n">
        <v>1</v>
      </c>
      <c r="M87" s="3" t="n"/>
      <c r="N87" s="3" t="n"/>
      <c r="O87" s="3" t="n"/>
      <c r="P87" s="3" t="n"/>
      <c r="Q87" s="3" t="n"/>
      <c r="R87" s="3" t="n"/>
    </row>
    <row r="88" ht="18" customHeight="1">
      <c r="A88" s="3" t="n"/>
      <c r="B88" s="3" t="n"/>
      <c r="C88" s="3" t="n"/>
      <c r="D88" s="3" t="n"/>
      <c r="E88" s="3" t="n"/>
      <c r="F88" s="3" t="n"/>
      <c r="G88" s="3" t="n"/>
      <c r="H88" s="3" t="n"/>
      <c r="I88" s="20" t="inlineStr">
        <is>
          <t>Protest/Riot</t>
        </is>
      </c>
      <c r="J88" s="76" t="n">
        <v>5</v>
      </c>
      <c r="K88" s="76" t="n">
        <v>0</v>
      </c>
      <c r="L88" s="76" t="n">
        <v>5</v>
      </c>
      <c r="M88" s="3" t="n"/>
      <c r="N88" s="3" t="n"/>
      <c r="O88" s="3" t="n"/>
      <c r="P88" s="3" t="n"/>
      <c r="Q88" s="3" t="n"/>
      <c r="R88" s="3" t="n"/>
    </row>
    <row r="89" ht="18" customHeight="1">
      <c r="A89" s="3" t="n"/>
      <c r="B89" s="3" t="n"/>
      <c r="C89" s="3" t="n"/>
      <c r="D89" s="3" t="n"/>
      <c r="E89" s="3" t="n"/>
      <c r="F89" s="3" t="n"/>
      <c r="G89" s="3" t="n"/>
      <c r="H89" s="3" t="n"/>
      <c r="I89" s="20" t="inlineStr">
        <is>
          <t>Regulatory Change</t>
        </is>
      </c>
      <c r="J89" s="76" t="n">
        <v>5</v>
      </c>
      <c r="K89" s="76" t="n">
        <v>1</v>
      </c>
      <c r="L89" s="76" t="n">
        <v>6</v>
      </c>
      <c r="M89" s="3" t="n"/>
      <c r="N89" s="3" t="n"/>
      <c r="O89" s="3" t="n"/>
      <c r="P89" s="3" t="n"/>
      <c r="Q89" s="3" t="n"/>
      <c r="R89" s="3" t="n"/>
    </row>
    <row r="90" ht="18" customHeight="1">
      <c r="A90" s="3" t="n"/>
      <c r="B90" s="3" t="n"/>
      <c r="C90" s="3" t="n"/>
      <c r="D90" s="3" t="n"/>
      <c r="E90" s="3" t="n"/>
      <c r="F90" s="3" t="n"/>
      <c r="G90" s="3" t="n"/>
      <c r="H90" s="3" t="n"/>
      <c r="I90" s="20" t="inlineStr">
        <is>
          <t>Supply Shortage</t>
        </is>
      </c>
      <c r="J90" s="76" t="n">
        <v>7</v>
      </c>
      <c r="K90" s="76" t="n">
        <v>3</v>
      </c>
      <c r="L90" s="76" t="n">
        <v>10</v>
      </c>
      <c r="M90" s="3" t="n"/>
      <c r="N90" s="3" t="n"/>
      <c r="O90" s="3" t="n"/>
      <c r="P90" s="3" t="n"/>
      <c r="Q90" s="3" t="n"/>
      <c r="R90" s="3" t="n"/>
    </row>
    <row r="91" ht="18" customHeight="1">
      <c r="A91" s="3" t="n"/>
      <c r="B91" s="3" t="n"/>
      <c r="C91" s="3" t="n"/>
      <c r="D91" s="3" t="n"/>
      <c r="E91" s="3" t="n"/>
      <c r="F91" s="3" t="n"/>
      <c r="G91" s="3" t="n"/>
      <c r="H91" s="3" t="n"/>
      <c r="I91" s="20" t="inlineStr">
        <is>
          <t>Tornado</t>
        </is>
      </c>
      <c r="J91" s="76" t="n">
        <v>3</v>
      </c>
      <c r="K91" s="76" t="n">
        <v>0</v>
      </c>
      <c r="L91" s="76" t="n">
        <v>3</v>
      </c>
      <c r="M91" s="3" t="n"/>
      <c r="N91" s="3" t="n"/>
      <c r="O91" s="3" t="n"/>
      <c r="P91" s="3" t="n"/>
      <c r="Q91" s="3" t="n"/>
      <c r="R91" s="3" t="n"/>
    </row>
    <row r="92" ht="18" customHeight="1">
      <c r="A92" s="3" t="n"/>
      <c r="B92" s="3" t="n"/>
      <c r="C92" s="3" t="n"/>
      <c r="D92" s="3" t="n"/>
      <c r="E92" s="3" t="n"/>
      <c r="F92" s="3" t="n"/>
      <c r="G92" s="3" t="n"/>
      <c r="H92" s="3" t="n"/>
      <c r="I92" s="20" t="inlineStr">
        <is>
          <t>Wildfire</t>
        </is>
      </c>
      <c r="J92" s="76" t="n">
        <v>3</v>
      </c>
      <c r="K92" s="76" t="n">
        <v>1</v>
      </c>
      <c r="L92" s="76" t="n">
        <v>4</v>
      </c>
      <c r="M92" s="3" t="n"/>
      <c r="N92" s="3" t="n"/>
      <c r="O92" s="3" t="n"/>
      <c r="P92" s="3" t="n"/>
      <c r="Q92" s="3" t="n"/>
      <c r="R92" s="3" t="n"/>
    </row>
    <row r="93" ht="18" customHeight="1">
      <c r="A93" s="3" t="n"/>
      <c r="B93" s="3" t="n"/>
      <c r="C93" s="3" t="n"/>
      <c r="D93" s="3" t="n"/>
      <c r="E93" s="3" t="n"/>
      <c r="F93" s="3" t="n"/>
      <c r="G93" s="3" t="n"/>
      <c r="H93" s="3" t="n"/>
      <c r="I93" s="25" t="inlineStr">
        <is>
          <t>Total</t>
        </is>
      </c>
      <c r="J93" s="77" t="n">
        <v>103</v>
      </c>
      <c r="K93" s="77" t="n">
        <v>24</v>
      </c>
      <c r="L93" s="77" t="n">
        <v>127</v>
      </c>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66"/>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row r="154" ht="30.75" customHeight="1">
      <c r="A154" s="42" t="inlineStr">
        <is>
          <t>Event type</t>
        </is>
      </c>
      <c r="B154" s="41" t="inlineStr">
        <is>
          <t>FDA/EMA/OSHA Action</t>
        </is>
      </c>
      <c r="C154" s="41" t="inlineStr">
        <is>
          <t>Enforcement or investigative action by a regulator or competition authority against a company, such as an inspection, raid, recall order, warning letter or antitrust probe.</t>
        </is>
      </c>
      <c r="D154" s="41" t="inlineStr">
        <is>
          <t>Standard event category. Use for an authority acting against a named company; use Regulatory Change where a rule or policy itself changes, and Legal Action for private or commercial litigation.</t>
        </is>
      </c>
      <c r="E154" s="41" t="inlineStr">
        <is>
          <t>Event type</t>
        </is>
      </c>
    </row>
    <row r="155" ht="30.75" customHeight="1">
      <c r="A155" s="42" t="inlineStr">
        <is>
          <t>Sub-type</t>
        </is>
      </c>
      <c r="B155" s="41" t="inlineStr">
        <is>
          <t>Alerting Gap</t>
        </is>
      </c>
      <c r="C155" s="41" t="inlineStr">
        <is>
          <t>A relevant article or feed was captured by the Product-controlled harvesting or monitoring flow, but an ingestion, database, portal, UI or workflow failure prevented it from reaching analysts as a usable item in time for review and escalation.</t>
        </is>
      </c>
      <c r="D155" s="41" t="inlineStr">
        <is>
          <t>Detailed cause/handling category. Include: feed identified upstream but not ingested into the portal; algorithm captured the article but it did not reach the application or analyst queue; a captured feed that surfaced in the analyst workflow only after a Product-caused delay. Exclude: source or vendor never captured it, a keyword or language-detection miss, Product's first usable capture being late, wrong clustering, incorrect AI classification, an analyst marking it Not Impactful, an analyst deprioritising an available event, a published item the customer could not see, and customer configuration filtering it out.</t>
        </is>
      </c>
      <c r="E155" s="41" t="inlineStr">
        <is>
          <t>Sub-type</t>
        </is>
      </c>
    </row>
    <row r="156" ht="30.75" customHeight="1">
      <c r="A156" s="42" t="inlineStr">
        <is>
          <t>Sub-type</t>
        </is>
      </c>
      <c r="B156" s="41" t="inlineStr">
        <is>
          <t>Published Late</t>
        </is>
      </c>
      <c r="C156" s="41" t="inlineStr">
        <is>
          <t>The event was available to analysts in time for review, but publication or escalation occurred materially late because of delayed analysis, prioritization, research, or operational handling.</t>
        </is>
      </c>
      <c r="D156" s="41" t="inlineStr">
        <is>
          <t>Detailed cause/handling category. The story reached a person in time; what was late was the decision to raise it. Use Alerting Gap where the item never reached the analyst, and Captured Late where our own first usable capture came late.</t>
        </is>
      </c>
      <c r="E156" s="41" t="inlineStr">
        <is>
          <t>Sub-type</t>
        </is>
      </c>
    </row>
    <row r="157" ht="30.75" customHeight="1">
      <c r="A157" s="42" t="inlineStr">
        <is>
          <t>Sub-type</t>
        </is>
      </c>
      <c r="B157" s="41" t="inlineStr">
        <is>
          <t>Methodology Weakness</t>
        </is>
      </c>
      <c r="C157" s="41" t="inlineStr">
        <is>
          <t>The available methodology, reporting guidance, or evaluation approach was inadequate and led to the wrong outcome, even though the workflow was performed as designed.</t>
        </is>
      </c>
      <c r="D157" s="41" t="inlineStr">
        <is>
          <t>Detailed cause/handling category. Nobody departed from the guidance; the guidance itself was deficient and the deficiency was accepted. Use Deliberate Rule where the rule was adequate and the customer simply queried it.</t>
        </is>
      </c>
      <c r="E157" s="41" t="inlineStr">
        <is>
          <t>Sub-type</t>
        </is>
      </c>
    </row>
    <row r="158" ht="30.75" customHeight="1">
      <c r="A158" s="42" t="inlineStr">
        <is>
          <t>Sub-type</t>
        </is>
      </c>
      <c r="B158" s="41" t="inlineStr">
        <is>
          <t>Deliberate Rule</t>
        </is>
      </c>
      <c r="C158" s="41" t="inlineStr">
        <is>
          <t>The system or team acted according to an approved reporting rule, threshold, or internal convention. The customer questioned the rule, but no miss or defect occurred under the rule then in force.</t>
        </is>
      </c>
      <c r="D158" s="41" t="inlineStr">
        <is>
          <t>Detailed cause/handling category. A rule changed afterwards is an enhancement, not a fault, and the record stays here. Use Methodology Weakness where the rule itself was accepted as deficient.</t>
        </is>
      </c>
      <c r="E158" s="41" t="inlineStr">
        <is>
          <t>Sub-type</t>
        </is>
      </c>
    </row>
    <row r="159" ht="30.75" customHeight="1">
      <c r="A159" s="42" t="inlineStr">
        <is>
          <t>Sub-type</t>
        </is>
      </c>
      <c r="B159" s="41" t="inlineStr">
        <is>
          <t>Platform Bug</t>
        </is>
      </c>
      <c r="C159" s="41" t="inlineStr">
        <is>
          <t>A confirmed software, code, system, or data-processing defect produced incorrect Product behavior and does not fit the more specific categories of Alerting Gap, Clustering / Duplication Defect, Model Classification Defect, or Mapping / Routing Defect.</t>
        </is>
      </c>
      <c r="D159" s="41" t="inlineStr">
        <is>
          <t>Detailed cause/handling category. The residual Product defect category, used only once the four specific defect categories have been ruled out. Requires a confirmed defect, not a suspected one.</t>
        </is>
      </c>
      <c r="E159" s="41" t="inlineStr">
        <is>
          <t>Sub-type</t>
        </is>
      </c>
    </row>
    <row r="160" ht="30.75" customHeight="1">
      <c r="A160" s="42" t="inlineStr">
        <is>
          <t>Sub-type</t>
        </is>
      </c>
      <c r="B160" s="41" t="inlineStr">
        <is>
          <t>Mapping / Routing Defect</t>
        </is>
      </c>
      <c r="C160" s="41" t="inlineStr">
        <is>
          <t>Incorrect system data, association, coordinates, tenant linkage, entity linkage, or routing caused the wrong customer, supplier, site, or destination to be selected or displayed.</t>
        </is>
      </c>
      <c r="D160" s="41" t="inlineStr">
        <is>
          <t>Detailed cause/handling category. The data the platform acted on was wrong, so correct logic produced a wrong selection. Covers geocoding and address-to-coordinate mismatches, cross-tenant leakage and entity mislinkage. Use Supplier / Site Not Shared where the data was never provided at all.</t>
        </is>
      </c>
      <c r="E160" s="41" t="inlineStr">
        <is>
          <t>Sub-type</t>
        </is>
      </c>
    </row>
    <row r="161" ht="30.75" customHeight="1">
      <c r="A161" s="42" t="inlineStr">
        <is>
          <t>Sub-type</t>
        </is>
      </c>
      <c r="B161" s="41" t="inlineStr">
        <is>
          <t>Supplier / Site Not Shared</t>
        </is>
      </c>
      <c r="C161" s="41" t="inlineStr">
        <is>
          <t>The affected supplier, company, or site was not present in the customer-provided or customer-maintained data available to EventWatch. The issue is an input-data dependency rather than a Product or analyst failure.</t>
        </is>
      </c>
      <c r="D161" s="41" t="inlineStr">
        <is>
          <t>Detailed cause/handling category. There was nothing for the event to match against, so neither the platform nor analyst review failed. The remedy is our process for collecting the customer's facility data.</t>
        </is>
      </c>
      <c r="E161" s="41" t="inlineStr">
        <is>
          <t>Sub-type</t>
        </is>
      </c>
    </row>
    <row r="162" ht="30.75" customHeight="1">
      <c r="A162" s="42" t="inlineStr">
        <is>
          <t>Sub-type</t>
        </is>
      </c>
      <c r="B162" s="41" t="inlineStr">
        <is>
          <t>Analyst Review Miss</t>
        </is>
      </c>
      <c r="C162" s="41" t="inlineStr">
        <is>
          <t>The relevant story was available for human review, but it was incorrectly rejected, closed, deprioritized, or insufficiently researched, resulting in a missed customer notification.</t>
        </is>
      </c>
      <c r="D162" s="41" t="inlineStr">
        <is>
          <t>Detailed cause/handling category. A person had it in front of them and the quality of that look is the failure. Use Model Classification Defect where an automated model made the call, and Published Late where the item was eventually raised but too late.</t>
        </is>
      </c>
      <c r="E162" s="41" t="inlineStr">
        <is>
          <t>Sub-type</t>
        </is>
      </c>
    </row>
    <row r="163" ht="30.75" customHeight="1">
      <c r="A163" s="42" t="inlineStr">
        <is>
          <t>Sub-type</t>
        </is>
      </c>
      <c r="B163" s="41" t="inlineStr">
        <is>
          <t>Supplier Selection Miss</t>
        </is>
      </c>
      <c r="C163" s="41" t="inlineStr">
        <is>
          <t>The relevant supplier, company, facility, location, or impact area was available during bulletin or WarRoom preparation but was omitted from the initial impacted selection.</t>
        </is>
      </c>
      <c r="D163" s="41" t="inlineStr">
        <is>
          <t>Detailed cause/handling category. The event was published and the supplier data was on file; an analyst left it out of the initial selection or geofence. Normally carries Missed_Flag No, since the customer did receive the event.</t>
        </is>
      </c>
      <c r="E163" s="41" t="inlineStr">
        <is>
          <t>Sub-type</t>
        </is>
      </c>
    </row>
    <row r="164" ht="30.75" customHeight="1">
      <c r="A164" s="42" t="inlineStr">
        <is>
          <t>Sub-type</t>
        </is>
      </c>
      <c r="B164" s="41" t="inlineStr">
        <is>
          <t>Clustering / Duplication Defect</t>
        </is>
      </c>
      <c r="C164" s="41" t="inlineStr">
        <is>
          <t>Product incorrectly grouped, split, duplicated, or associated stories or bulletins across clusters or WarRooms, resulting in incomplete, duplicate, or disrupted event handling.</t>
        </is>
      </c>
      <c r="D164" s="41" t="inlineStr">
        <is>
          <t>Detailed cause/handling category. Covers a split update sequence, a duplicated WarRoom and a cluster state that mishandles a correctly captured story.</t>
        </is>
      </c>
      <c r="E164" s="41" t="inlineStr">
        <is>
          <t>Sub-type</t>
        </is>
      </c>
    </row>
    <row r="165" ht="30.75" customHeight="1">
      <c r="A165" s="42" t="inlineStr">
        <is>
          <t>Sub-type</t>
        </is>
      </c>
      <c r="B165" s="41" t="inlineStr">
        <is>
          <t>Model Classification Defect</t>
        </is>
      </c>
      <c r="C165" s="41" t="inlineStr">
        <is>
          <t>The relevant article or event was captured and entered the Product workflow, but an automated classification model assigned an incorrect event, relevance, or impact outcome, causing the item to be excluded, misrouted, or handled incorrectly.</t>
        </is>
      </c>
      <c r="D165" s="41" t="inlineStr">
        <is>
          <t>Detailed cause/handling category. The model made the call. A human review that failed to correct the model is a contributing factor recorded in Comments, not a reason to file the record under Analyst Review Miss.</t>
        </is>
      </c>
      <c r="E165" s="41" t="inlineStr">
        <is>
          <t>Sub-type</t>
        </is>
      </c>
    </row>
    <row r="166" ht="30.75" customHeight="1">
      <c r="A166" s="42" t="inlineStr">
        <is>
          <t>Automation focus</t>
        </is>
      </c>
      <c r="B166" s="41" t="inlineStr">
        <is>
          <t>Classification &amp; Impact Validation</t>
        </is>
      </c>
      <c r="C166" s="41" t="inlineStr">
        <is>
          <t>Controls that validate automated event, relevance, and impact classifications and identify cases where model output requires correction before final disposition.</t>
        </is>
      </c>
      <c r="D166" s="41" t="inlineStr">
        <is>
          <t>Standardized dashboard category</t>
        </is>
      </c>
      <c r="E166" s="41" t="inlineStr">
        <is>
          <t>Standard Automation Focus</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