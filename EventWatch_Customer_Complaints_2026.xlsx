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2.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defaultThemeVersion="124226"/>
  <xr:revisionPtr revIDLastSave="0" documentId="8_{78606B10-0C93-468A-B267-C61A0CB07363}" xr6:coauthVersionLast="47" xr6:coauthVersionMax="47" xr10:uidLastSave="{00000000-0000-0000-0000-000000000000}"/>
  <bookViews>
    <workbookView xWindow="-120" yWindow="-120" windowWidth="20730" windowHeight="11040" firstSheet="1" xr2:uid="{00000000-000D-0000-FFFF-FFFF00000000}"/>
  </bookViews>
  <sheets>
    <sheet name="Data" sheetId="1" r:id="rId1"/>
    <sheet name="Dashboard" sheetId="3" r:id="rId2"/>
    <sheet name="Definitions" sheetId="4" r:id="rId3"/>
    <sheet name="Management Readout" sheetId="5" r:id="rId4"/>
  </sheets>
  <definedNames>
    <definedName name="_xlnm._FilterDatabase" localSheetId="0" hidden="1">Data!$A$1:$S$81</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4" i="3" l="1" a="1"/>
  <c r="I64" i="3"/>
  <c r="A19" i="5" a="1"/>
  <c r="A19" i="5"/>
  <c r="A16" i="5" a="1"/>
  <c r="A16" i="5"/>
  <c r="A13" i="5" a="1"/>
  <c r="A13" i="5"/>
  <c r="A28" i="5" a="1"/>
  <c r="A28" i="5"/>
  <c r="A25" i="5"/>
  <c r="A22" i="5" a="1"/>
  <c r="A22" i="5"/>
  <c r="A10" i="5"/>
  <c r="G5" i="5"/>
  <c r="E5" i="5"/>
  <c r="C5" i="5"/>
  <c r="A5" i="5"/>
  <c r="A2" i="5"/>
  <c r="M5" i="3"/>
  <c r="G5" i="3"/>
  <c r="A64" i="3" a="1"/>
  <c r="A64" i="3"/>
  <c r="J5" i="3"/>
  <c r="J52" i="3"/>
  <c r="K52" i="3" s="1"/>
  <c r="J51" i="3"/>
  <c r="K51" i="3" s="1"/>
  <c r="J50" i="3"/>
  <c r="F52" i="3"/>
  <c r="G52" i="3" s="1"/>
  <c r="F51" i="3"/>
  <c r="G51" i="3" s="1"/>
  <c r="F50" i="3"/>
  <c r="D5" i="3"/>
  <c r="A5" i="3"/>
  <c r="M8" i="3" l="1"/>
  <c r="A2" i="3"/>
  <c r="P8" i="3"/>
  <c r="D8" i="3"/>
  <c r="J8" i="3"/>
  <c r="B64" i="3" a="1"/>
  <c r="P5" i="3"/>
  <c r="F72" i="3"/>
  <c r="G72" i="3" s="1"/>
  <c r="F71" i="3"/>
  <c r="G71" i="3" s="1"/>
  <c r="F70" i="3"/>
  <c r="G70" i="3" s="1"/>
  <c r="F69" i="3"/>
  <c r="G69" i="3" s="1"/>
  <c r="F68" i="3"/>
  <c r="G68" i="3" s="1"/>
  <c r="F67" i="3"/>
  <c r="G67" i="3" s="1"/>
  <c r="F66" i="3"/>
  <c r="G66" i="3" s="1"/>
  <c r="F65" i="3"/>
  <c r="G65" i="3" s="1"/>
  <c r="F64" i="3"/>
  <c r="B57" i="3"/>
  <c r="B56" i="3"/>
  <c r="B55" i="3"/>
  <c r="B54" i="3"/>
  <c r="B53" i="3"/>
  <c r="B52" i="3"/>
  <c r="B51" i="3"/>
  <c r="B50" i="3"/>
  <c r="B58" i="3" s="1"/>
  <c r="C57" i="3"/>
  <c r="C56" i="3"/>
  <c r="C55" i="3"/>
  <c r="C54" i="3"/>
  <c r="C53" i="3"/>
  <c r="C52" i="3"/>
  <c r="C51" i="3"/>
  <c r="C50" i="3"/>
  <c r="C58" i="3" s="1"/>
  <c r="N53" i="3"/>
  <c r="O53" i="3" s="1"/>
  <c r="N52" i="3"/>
  <c r="O52" i="3" s="1"/>
  <c r="N51" i="3"/>
  <c r="O51" i="3" s="1"/>
  <c r="N50" i="3"/>
  <c r="G8" i="3"/>
  <c r="F53" i="3"/>
  <c r="G50" i="3"/>
  <c r="J54" i="3"/>
  <c r="K50" i="3"/>
  <c r="K54" i="3" s="1"/>
  <c r="N54" i="3"/>
  <c r="O50" i="3"/>
  <c r="O54" i="3" s="1"/>
  <c r="F73" i="3"/>
  <c r="G64" i="3"/>
  <c r="G73" i="3" s="1"/>
  <c r="G53" i="3" l="1"/>
  <c r="B64" i="3"/>
  <c r="B74" i="3" l="1"/>
  <c r="C64" i="3" a="1"/>
  <c r="C64" i="3" s="1"/>
  <c r="C74" i="3" l="1"/>
  <c r="C75" i="3" s="1"/>
  <c r="B7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<sst xmlns="http://schemas.openxmlformats.org/spreadsheetml/2006/main" count="1991" uniqueCount="572">
  <si>
    <t>Month</t>
  </si>
  <si>
    <t>Email/JIRA Date</t>
  </si>
  <si>
    <t>Event type</t>
  </si>
  <si>
    <t>Customer</t>
  </si>
  <si>
    <t>Number of Customers</t>
  </si>
  <si>
    <t>Event/Bulletin Title</t>
  </si>
  <si>
    <t>Issue Type</t>
  </si>
  <si>
    <t>Reason</t>
  </si>
  <si>
    <t>Root Cause</t>
  </si>
  <si>
    <t>Sub-type</t>
  </si>
  <si>
    <t>Improvement VS Bug</t>
  </si>
  <si>
    <t>Short Term Fix Status</t>
  </si>
  <si>
    <t>Automation Opportunity</t>
  </si>
  <si>
    <t>RCA Requested</t>
  </si>
  <si>
    <t>Comments</t>
  </si>
  <si>
    <t>Delay</t>
  </si>
  <si>
    <t>Missed_Flag</t>
  </si>
  <si>
    <t>Month_Sort</t>
  </si>
  <si>
    <t>Delay (Hours)</t>
  </si>
  <si>
    <t>Reporting Month</t>
  </si>
  <si>
    <t>Severity</t>
  </si>
  <si>
    <t>Standard Automation Focus</t>
  </si>
  <si>
    <t>Factory Fire</t>
  </si>
  <si>
    <t>International Motor</t>
  </si>
  <si>
    <t>INTERNATIONAL MOTOR: missed events</t>
  </si>
  <si>
    <t>Complaint</t>
  </si>
  <si>
    <t>Missed Event</t>
  </si>
  <si>
    <t>Product</t>
  </si>
  <si>
    <t>Keyword Update</t>
  </si>
  <si>
    <t>Improvement</t>
  </si>
  <si>
    <t>Fixed</t>
  </si>
  <si>
    <t>Dynamic Source Discovery</t>
  </si>
  <si>
    <t>No</t>
  </si>
  <si>
    <t>Swedish keyword variation caused miss; variation added.</t>
  </si>
  <si>
    <t>Yes</t>
  </si>
  <si>
    <t>Medium</t>
  </si>
  <si>
    <t>Protest/Riot</t>
  </si>
  <si>
    <t>Eaton</t>
  </si>
  <si>
    <t>Western Balkans Truckers Block Freight Borders</t>
  </si>
  <si>
    <t>Source Coverage</t>
  </si>
  <si>
    <t>Feed harvesting gap; WarRoom created after escalation.</t>
  </si>
  <si>
    <t>Factory Closure</t>
  </si>
  <si>
    <t>Ford</t>
  </si>
  <si>
    <t>Stark Manufacturing closure</t>
  </si>
  <si>
    <t>Event Identification</t>
  </si>
  <si>
    <t>Customer link ingestion</t>
  </si>
  <si>
    <t>Other Control Automation</t>
  </si>
  <si>
    <t>Extreme Weather</t>
  </si>
  <si>
    <t>Penske/Ford</t>
  </si>
  <si>
    <t>Winter Storm Fern Geofencing</t>
  </si>
  <si>
    <t>Incorrect Action</t>
  </si>
  <si>
    <t>People</t>
  </si>
  <si>
    <t>Review</t>
  </si>
  <si>
    <t>Validation automation</t>
  </si>
  <si>
    <t>Geofence validation missed; regions updated after customer email.</t>
  </si>
  <si>
    <t>6 hours</t>
  </si>
  <si>
    <t>WarRoom &amp; Decision Validation</t>
  </si>
  <si>
    <t>Labor Disruption</t>
  </si>
  <si>
    <t>Caterpillar</t>
  </si>
  <si>
    <t>Spain railway strike escalation (initial NC trigger)</t>
  </si>
  <si>
    <t>WarRoom should have been created but was not</t>
  </si>
  <si>
    <t>Process control strengthening + reviewer accountability</t>
  </si>
  <si>
    <t>WarRoom should have been created at initial bulletin; failure attributed to publisher and reviewer. NC raised.</t>
  </si>
  <si>
    <t>Bankruptcy</t>
  </si>
  <si>
    <t>Schneider Electric</t>
  </si>
  <si>
    <t>Insolvency event (supplier not captured)</t>
  </si>
  <si>
    <t>Missed insolvency alert</t>
  </si>
  <si>
    <t>Insolvency miss due to source gap; RCA finalized and shared with customer.</t>
  </si>
  <si>
    <t>Geopolitical</t>
  </si>
  <si>
    <t>Nestle Global</t>
  </si>
  <si>
    <t>"Update 7: US Armed Forces Capture Venezuelan President…"</t>
  </si>
  <si>
    <t>Severity / consolidation handling concern</t>
  </si>
  <si>
    <t>Process</t>
  </si>
  <si>
    <t>Strategy</t>
  </si>
  <si>
    <t>Clarification Provided</t>
  </si>
  <si>
    <t>Severity logic transparency for API/control tower users</t>
  </si>
  <si>
    <t>Customer questioned severity/consolidation handling; rationale explained for single-thread WarRoom approach.</t>
  </si>
  <si>
    <t>Snowstorm Forecast Not Captured</t>
  </si>
  <si>
    <t>Forecast classification logic</t>
  </si>
  <si>
    <t>Snowstorm moved to monitoring incorrectly; decision explained to customer.</t>
  </si>
  <si>
    <t>Spain railway strike (event not converted to WarRoom)</t>
  </si>
  <si>
    <t>WarRoom not created despite nationwide disruption</t>
  </si>
  <si>
    <t>Escalation automation</t>
  </si>
  <si>
    <t>AI classification bias + missed human escalation; WarRoom created after reassessment. NC issued.</t>
  </si>
  <si>
    <t>Roche</t>
  </si>
  <si>
    <t>"Military Operation Against CJNG Cartel Triggers Multi-State Violence in Mexico"</t>
  </si>
  <si>
    <t>Coverage Verification Request</t>
  </si>
  <si>
    <t>Visibility</t>
  </si>
  <si>
    <t>Customer said event not reported; EW confirmed WarRoom already published and delivery verified.</t>
  </si>
  <si>
    <t>Notification Visibility Monitoring</t>
  </si>
  <si>
    <t>Leadership Transition</t>
  </si>
  <si>
    <t>Duplicate WarRooms: "Xometry Announces CEO Succession Plan" + "Xometry Appoints New CEO"</t>
  </si>
  <si>
    <t>Duplicate WarRooms</t>
  </si>
  <si>
    <t>Duplication</t>
  </si>
  <si>
    <t>Duplicate detection</t>
  </si>
  <si>
    <t>Duplicate WarRooms created; control failure acknowledged. NC raised for decision-making gap.</t>
  </si>
  <si>
    <t>Cluster Integrity &amp; Duplicate Prevention</t>
  </si>
  <si>
    <t>"Transporters Threaten Potential Border Blockades Across Bosnia and Herzegovina"</t>
  </si>
  <si>
    <t>Missed alert / event not captured</t>
  </si>
  <si>
    <t>Feeds not ingested; vendor source and keywords added after customer escalation.</t>
  </si>
  <si>
    <t>"DRUTEC Druckguss &amp; Montagetechnik GmbH + Co. KG Files for Insolvency in Germany"</t>
  </si>
  <si>
    <t>Missed insolvency event</t>
  </si>
  <si>
    <t>DRUTEC bankruptcy feeds not captured; sources not in vendor network. Vendor addition requested.</t>
  </si>
  <si>
    <t>"Eason &amp; Co Notifies Of Fire Incident In Area Its Factory" (customer wording)</t>
  </si>
  <si>
    <t>Inquiry</t>
  </si>
  <si>
    <t>Event not triggered / not notified</t>
  </si>
  <si>
    <t>Mapping</t>
  </si>
  <si>
    <t>Customer-facing "not mapped" explanation template + What-If guidance</t>
  </si>
  <si>
    <t>Event not triggered due to company not mapped as Ford supplier; explanation provided.</t>
  </si>
  <si>
    <t>Entity &amp; Supplier Resolution</t>
  </si>
  <si>
    <t>"French Court Declines Accelerated Safeguard Plan for Saint Jean Industries"</t>
  </si>
  <si>
    <t>Missing Resilinc alert / insolvency not captured</t>
  </si>
  <si>
    <t>Insolvency feeds not captured; vendor working on adding source.</t>
  </si>
  <si>
    <t>Cyber Attack</t>
  </si>
  <si>
    <t>UVM Health Network</t>
  </si>
  <si>
    <t>WarRoom visibility: "Cyber Attack Disrupts Operations at Stryker Corporation"</t>
  </si>
  <si>
    <t>WarRoom visibility affected by customer profile filters</t>
  </si>
  <si>
    <t>Preventive UI prompt: "Unsaved preference changes" + default include Resilinc for WarRoom view</t>
  </si>
  <si>
    <t>WarRoom not visible due to user preference filtering out Resilinc; customer advised to update settings.</t>
  </si>
  <si>
    <t>"Data Breach Reported at Intuitive Surgical Following Phishing Attack"</t>
  </si>
  <si>
    <t>Missing EventWatch coverage / feeds not captured</t>
  </si>
  <si>
    <t>Phishing incident feeds not captured; WarRoom published after investigation.</t>
  </si>
  <si>
    <t>Supply Shortage</t>
  </si>
  <si>
    <t>"LPG and LNG Gas Shortage Triggers Nationwide Industrial Disruptions Across India"</t>
  </si>
  <si>
    <t>Delay in creating separate WarRoom / delayed escalation</t>
  </si>
  <si>
    <t>AI classified LPG shortage as Non-Event; human review missed embedded company-impact articles. Dedicated WarRoom created.</t>
  </si>
  <si>
    <t>"Fire at the Fuyao Glass America Site in Moraine, Ohio, USA"</t>
  </si>
  <si>
    <t>Bug</t>
  </si>
  <si>
    <t>Open-source articles not ingested; Engineering bug identified in feed harvesting. Patch planned.</t>
  </si>
  <si>
    <t>Regulatory Change</t>
  </si>
  <si>
    <t>HPE</t>
  </si>
  <si>
    <t>"Microsoft Azure account raised SEC notification delay (Jan 2025)"</t>
  </si>
  <si>
    <t>SEC notification not captured/provided on time</t>
  </si>
  <si>
    <t>Process Clarification</t>
  </si>
  <si>
    <t>Regulatory feed timeliness checks + publication timestamp comparison</t>
  </si>
  <si>
    <t>SEC notification delay investigation requested; awaiting closure inputs.</t>
  </si>
  <si>
    <t>"Workers Strike at Freudenberg-NOK Sealing Technologies in Findlay, Ohio, USA"</t>
  </si>
  <si>
    <t>Missing Automotive industry tag (customer tracking missed it)</t>
  </si>
  <si>
    <t>Tagging</t>
  </si>
  <si>
    <t>Auto-tagging</t>
  </si>
  <si>
    <t>Automotive tag missed during publishing; oversight acknowledged. Review process reinforced.</t>
  </si>
  <si>
    <t>Automated Industry Tagging</t>
  </si>
  <si>
    <t>"Missed Severe Weather Alert – Midwest USA (March 26, 2026)" (customer wording)</t>
  </si>
  <si>
    <t>Missed severe weather alert</t>
  </si>
  <si>
    <t>Severe weather alert missed; response already provided on 27-Mar-26.</t>
  </si>
  <si>
    <t>"RESILINC - Delayed Alert for Murata Manufacturing Cyber Attack"</t>
  </si>
  <si>
    <t>Delayed alert / WarRoom created late</t>
  </si>
  <si>
    <t>25-day delay: Initial source blocked + misclassification. RCA shared with retraining plan.</t>
  </si>
  <si>
    <t>25 days</t>
  </si>
  <si>
    <t>Delay in Alert Issuance and WarRoom Creation – Murata Cyber Attack</t>
  </si>
  <si>
    <t>Delayed Event</t>
  </si>
  <si>
    <t>Prioritization</t>
  </si>
  <si>
    <t>Source coverage expansion</t>
  </si>
  <si>
    <t>25-day delay flagged by customer; blocked source + misclassification. Retraining completed.</t>
  </si>
  <si>
    <t>FORD MOTOR– Missing Automotive Tag in Event Watch Alert</t>
  </si>
  <si>
    <t>Incorrect Industry selection</t>
  </si>
  <si>
    <t>Industry selection</t>
  </si>
  <si>
    <t>Missing Automotive tag; long-term enhancement roadmap communicated.</t>
  </si>
  <si>
    <t>Truckers and Farmers Block Highways Across Mexico in Nationwide Strike</t>
  </si>
  <si>
    <t>Geo-detection enhancement</t>
  </si>
  <si>
    <t>AI correctly classified, but analyst assessed as localized/temporary. NC logged; post-incident review done.</t>
  </si>
  <si>
    <t>AI-Assisted Geofencing</t>
  </si>
  <si>
    <t>Fire at the Linamar Corporation Facility in Fruitport, Michigan, USA</t>
  </si>
  <si>
    <t>Signal extraction for company/facility + location confidence + incident cues</t>
  </si>
  <si>
    <t>AI correctly classified, but human review missed company-facility validation. NC logged.</t>
  </si>
  <si>
    <t>EATON – Missed event RCA request (Bankruptcy event)</t>
  </si>
  <si>
    <t>Bankruptcy miss due to vendor source gap; sources added by vendor.</t>
  </si>
  <si>
    <t>EATON – Missed event RCA request (Border closing event)</t>
  </si>
  <si>
    <t>Keyword expansion</t>
  </si>
  <si>
    <t>Border closing miss due to foreign-language keyword gap; keywords added.</t>
  </si>
  <si>
    <t>Multilingual Keyword Expansion</t>
  </si>
  <si>
    <t>Customer Query: Missing EventWatch Coverage for Hengli Hydraulic Incident</t>
  </si>
  <si>
    <t>3/4 articles not captured by vendor; 1 Chinese article missed due to keyword gap. Enhancement planned.</t>
  </si>
  <si>
    <t>Earthquake</t>
  </si>
  <si>
    <t>Missing Alerts - 5.0 Magnitude Earthquake in San Carlos, Mexico - INC5833769</t>
  </si>
  <si>
    <t>Automated disruption-signal checklist before NI closure for borderline EQs</t>
  </si>
  <si>
    <t>Feeds captured but no confirmed disruptions found; magnitude alone not sufficient per thresholds.</t>
  </si>
  <si>
    <t>Hitachi</t>
  </si>
  <si>
    <t>HITACHI: Missing WarRoom Event for Japan Earthquake</t>
  </si>
  <si>
    <t>Geographic Coverage Clarification</t>
  </si>
  <si>
    <t>Polygon methodology explained per Thresholds &amp; Guidelines; radius standardized by magnitude/depth.</t>
  </si>
  <si>
    <t>Missed Event Alert – Deltal Otomotiv Insolvency Filing (Ford Otosan Impact)</t>
  </si>
  <si>
    <t>Turkish keyword miss + source outside vendor network; keyword update + vendor request initiated.</t>
  </si>
  <si>
    <t>Urgent Review Required – Missed Insolvency Event | AluTec GmbH (FORD Escalation)</t>
  </si>
  <si>
    <t>Insolvency missed due to unmapped supplier + niche-source limits; bulletin published after escalation. ~28 days delay.</t>
  </si>
  <si>
    <t>~28 days (Apr 1 proceedings → Apr 29 publish)</t>
  </si>
  <si>
    <t>Collins Aerospace</t>
  </si>
  <si>
    <t>Delay in WarRoom Creation – Tornado Event (Mineral Wells, Texas): Ticket#11211</t>
  </si>
  <si>
    <t>Captured Late</t>
  </si>
  <si>
    <t>WarRoom created ~18 hours after tornado; investigation acknowledged.</t>
  </si>
  <si>
    <t>18 hours</t>
  </si>
  <si>
    <t>Tornado (Mineral Wells, Texas)</t>
  </si>
  <si>
    <t>Delayed WarRoom</t>
  </si>
  <si>
    <t>Tornado occurred Apr 28, WarRoom created Apr 29 (~18 hr delay). System detected but team deprioritized</t>
  </si>
  <si>
    <t>~18 hours</t>
  </si>
  <si>
    <t>AluTec GmbH Insolvency (Fürth, Germany)</t>
  </si>
  <si>
    <t>Critical missed alert flagged; insolvency opened Apr 1. Source onboarding initiated. ~30 days delay.</t>
  </si>
  <si>
    <t>~30 days (Apr 1 → May 1)</t>
  </si>
  <si>
    <t>Fedrigoni Group</t>
  </si>
  <si>
    <t>Six paper makers price-fixing fines (South Korea)</t>
  </si>
  <si>
    <t>Missed WarRoom</t>
  </si>
  <si>
    <t>WarRoom not found for paper firms; keyword gap confirmed. WarRoom created Apr 30; keywords updated.</t>
  </si>
  <si>
    <t>Trinseo "Misses Interest Payments…" (SIC not triggered)</t>
  </si>
  <si>
    <t>Policy/Logic</t>
  </si>
  <si>
    <t>SIC trigger logic review for financial risk events</t>
  </si>
  <si>
    <t>Customer asked if SIC can be enabled for financial risk events; policy clarification provided.</t>
  </si>
  <si>
    <t>GM</t>
  </si>
  <si>
    <t>OFAC alert: "Sanctions Risks of Iranian Demands for Strait of Hormuz Passage"</t>
  </si>
  <si>
    <t>Feeds captured but classified as not impactful; NI review missed. Re-evaluated and published</t>
  </si>
  <si>
    <t>Yangzhou Yangjie EU sanctions listing</t>
  </si>
  <si>
    <t>Missed / Delayed Event</t>
  </si>
  <si>
    <t>Sanctions compliance demanded; keyword gap confirmed. WarRoom created after customer email.</t>
  </si>
  <si>
    <t>Axios npm package compromise (Mar 31)</t>
  </si>
  <si>
    <t>Relevancy logic review</t>
  </si>
  <si>
    <t>Customer asked RCA for Axios npm compromise; classified not relevant based on mapping + no operational disruption.</t>
  </si>
  <si>
    <t>NVIDIA</t>
  </si>
  <si>
    <t>Foxconn cyber incident (outage → ransomware confirmation)</t>
  </si>
  <si>
    <t>Missed + Delayed Reporting</t>
  </si>
  <si>
    <t>Outage should have been reported May 6 but missed; cyber reporting delayed ~6 days. Data Science review ongoing.</t>
  </si>
  <si>
    <t>~6 days (May 6 outage → May 12 report)</t>
  </si>
  <si>
    <t>High</t>
  </si>
  <si>
    <t>Oakland County Water Main Break</t>
  </si>
  <si>
    <t>Water main break began May 10; WarRoom not until May 12 (~48 hr delay). Escalation judgment lapse; NC raised + coaching.</t>
  </si>
  <si>
    <t>~48 hours</t>
  </si>
  <si>
    <t>Metal sector strike (Pontevedra/Vigo, Galicia)</t>
  </si>
  <si>
    <t>Strike caused total industrial paralysis; sources not monitored. Vendor source request raised.</t>
  </si>
  <si>
    <t>Bombardier</t>
  </si>
  <si>
    <t>STELIA North America ransomware attack</t>
  </si>
  <si>
    <t>Missed WarRoom / No notification</t>
  </si>
  <si>
    <t>Mapping validation</t>
  </si>
  <si>
    <t>STELIA is listed supplier but no WarRoom/notification created. Investigation and portal checks requested.</t>
  </si>
  <si>
    <t>"Eggs/Chicken/FMCG" alerts vs. cyber/software supply-chain events</t>
  </si>
  <si>
    <t>Wrong Relevancy</t>
  </si>
  <si>
    <t>Relevancy</t>
  </si>
  <si>
    <t>Digital vs physical risk threshold consistency review</t>
  </si>
  <si>
    <t>Customer argued physical commodity alerts irrelevant while software supply-chain risk should be prioritized. Relevancy review initiated.</t>
  </si>
  <si>
    <t>Highway 57 blockade (Querétaro–San Luis Potosí)</t>
  </si>
  <si>
    <t>RCA Shared</t>
  </si>
  <si>
    <t>RCA shared with customer; source coverage + keyword gap identified. Blockade lasted 27+ hours; impacted suppliers in Santa Rosa Jáuregui.</t>
  </si>
  <si>
    <t>Merger &amp; Acquisition</t>
  </si>
  <si>
    <t>NVR</t>
  </si>
  <si>
    <t>SRS Distribution completes acquisition of Mingledorff's</t>
  </si>
  <si>
    <t>Delayed / Missing WarRoom</t>
  </si>
  <si>
    <t>Supplier mapped but WarRoom delayed ~9 days; internal notes mention erosion of trust. RCA requested.</t>
  </si>
  <si>
    <t>~9 days (May 11 → May 20)</t>
  </si>
  <si>
    <t>Wildfire</t>
  </si>
  <si>
    <t>Sandy Fire (Simi Valley, CA)</t>
  </si>
  <si>
    <t>Fire started May 18 11am; WarRoom created May 19 9:30am (~22.5 hr delay). Investigation pending.</t>
  </si>
  <si>
    <t>~22.5 hours</t>
  </si>
  <si>
    <t>Bain Fire (Jurupa Valley/Riverside, CA)</t>
  </si>
  <si>
    <t>Fire started May 19 11am; WarRoom created next day ~8am (~21 hr delay). Investigation pending.</t>
  </si>
  <si>
    <t>~21 hours</t>
  </si>
  <si>
    <t>Financial Distress</t>
  </si>
  <si>
    <t>Otto Bihler Maschinenfabrik in restructuring</t>
  </si>
  <si>
    <t>Missed Relevant Event</t>
  </si>
  <si>
    <t>Otto Bihler restructuring relevant but not alerted; irrelevant sector alerts received. Feed ingestion investigation raised.</t>
  </si>
  <si>
    <t>ANTAC Transport Blockades in Mexico</t>
  </si>
  <si>
    <t>RCA completed; keyword gap identified and corrective actions implemented. Spanish-language detection logic did not recognize transportation disruption and protest terminology. Relevant keywords were added.</t>
  </si>
  <si>
    <t>Supplier Impact Mapping Clarification – Sandy Fire (Simi Valley, California, USA)</t>
  </si>
  <si>
    <t>Supplier Impact Mapping Clarification</t>
  </si>
  <si>
    <t>Geofencing validation enhancement</t>
  </si>
  <si>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</si>
  <si>
    <t>Low</t>
  </si>
  <si>
    <t>CROMTRYCK s.r.o. Insolvency (Czech Republic)</t>
  </si>
  <si>
    <t>Missed insolvency event due to regional insolvency source coverage limitations and restricted/paywalled source visibility. Vendor source expansion requested.</t>
  </si>
  <si>
    <t>Factory Disruption</t>
  </si>
  <si>
    <t>Burnstein von Seelen Precision Casting Operational Disruption</t>
  </si>
  <si>
    <t>Supplier-aware escalation model + Not Impactful override validation</t>
  </si>
  <si>
    <t>RCA shared; analyst classified event as Not Impactful. Event was successfully received and reviewed but incorrectly classified and therefore not escalated.</t>
  </si>
  <si>
    <t>Chemical Spill</t>
  </si>
  <si>
    <t>CO₂ Leak at Schaeffler India Plant, Pune</t>
  </si>
  <si>
    <t>Hazardous gas leak detection + mapped supplier escalation model</t>
  </si>
  <si>
    <t>RCA document prepared and shared with customer. Customer reported missing EventWatch coverage related to a CO₂ leak involving fatalities at a mapped supplier facility.</t>
  </si>
  <si>
    <t>Dana Incorporated to Merge with Eaton's Mobility Business</t>
  </si>
  <si>
    <t>Impacted Supplier Missing</t>
  </si>
  <si>
    <t>Supplier relationship validation + impacted entity completeness checks</t>
  </si>
  <si>
    <t>Customer-facing RCA requested and RCA document prepared. Dana Holding Corporation was not included in impacted supplier selection during initial WarRoom creation and was subsequently added.</t>
  </si>
  <si>
    <t>Other</t>
  </si>
  <si>
    <t>Western Digital</t>
  </si>
  <si>
    <t>Inquiry on Route Disruption – Sepone Bridge, Laos</t>
  </si>
  <si>
    <t>Customer Requested Verification</t>
  </si>
  <si>
    <t>Route-risk monitoring enhancement</t>
  </si>
  <si>
    <t>Review of English and local-language sources did not identify any verified disruption, closure, or logistic impact.</t>
  </si>
  <si>
    <t>Belden Inc</t>
  </si>
  <si>
    <t>MLCC Supply Chain Alert Related to AI Demand Growth</t>
  </si>
  <si>
    <t>Forecast vs Event differentiation</t>
  </si>
  <si>
    <t>Article was an investment and market outlook discussing future MLCC demand and did not meet EventWatch reporting thresholds.</t>
  </si>
  <si>
    <t>Fire at the Isselguss GmbH Facility in Isselburg, Germany</t>
  </si>
  <si>
    <t>Entity-location-aware clustering + cluster separation validation</t>
  </si>
  <si>
    <t>RCA PDF prepared and approved for customer sharing. Event was captured by feeds but incorrectly clustered with another unrelated factory fire in Germany, preventing separate WarRoom creation.</t>
  </si>
  <si>
    <t>Nidec Chaun Choung Technology Suffers Ransomware Attack</t>
  </si>
  <si>
    <t>Supplier-aware cyber incident escalation model</t>
  </si>
  <si>
    <t>RCA prepared; analyst impact-assessment failure identified. Event was captured successfully but incorrectly assessed as Not Impactful during analyst review and therefore not escalated.</t>
  </si>
  <si>
    <t>Woodward</t>
  </si>
  <si>
    <t>Severe Storms Trigger Disruptions Across the Midwest USA – Geographic Misclassification</t>
  </si>
  <si>
    <t>Geographic Misclassification</t>
  </si>
  <si>
    <t>Cluster integrity validation + geographic consistency checks</t>
  </si>
  <si>
    <t>California sites were incorrectly included because two different events were merged into the same WarRoom.</t>
  </si>
  <si>
    <t>Isselguss / Isselburg Foundry Naming Clarification</t>
  </si>
  <si>
    <t>Customer Terminology Preference</t>
  </si>
  <si>
    <t>Company alias management</t>
  </si>
  <si>
    <t>Isselguss and Isselburg Foundry refer to the same facility. Title updated to align with customer terminology preference and not due to a reporting error.</t>
  </si>
  <si>
    <t>BorgWarner Indefinite Strike – Vigo Metropolitan Area, Spain</t>
  </si>
  <si>
    <t>Vendor-to-portal feed validation + cluster state integrity monitoring</t>
  </si>
  <si>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</si>
  <si>
    <t>Fire at FXI Foam Manufacturing Plant in Cuautitlan, Mexico</t>
  </si>
  <si>
    <t>Supplier-aware factory fire escalation model + Not Impactful override validation</t>
  </si>
  <si>
    <t>Customer reported fire at FXI (Tier 2 supplier) causing Force Majeure at Sage Automotive Interiors. No matching EventWatch notification/WarRoom found during investigation.</t>
  </si>
  <si>
    <t>New World International Co. Factory Fire, Thailand</t>
  </si>
  <si>
    <t>Feeds were received and event was reportedly marked Not Impactful despite destruction of production/storage facility. Investigation ongoing.</t>
  </si>
  <si>
    <t>META</t>
  </si>
  <si>
    <t>Samsung DRAM Price Increase Alert – WarRoom Not Created</t>
  </si>
  <si>
    <t>WarRoom Creation</t>
  </si>
  <si>
    <t>Site Selection Suggestion based on unnormalized supplier names</t>
  </si>
  <si>
    <t>EventWatch alert published but corresponding WarRoom not created despite supplier normalization. Investigation ongoing.</t>
  </si>
  <si>
    <t>China MOFCOM Announcement No. 30 of 2026 (Export Control Watchlist)</t>
  </si>
  <si>
    <t>Not Impactful Decision Validation</t>
  </si>
  <si>
    <t>EAO-23: News was captured but initially classified as Not Impactful by AI. Human-in-the-loop review did not escalate the event. RCA shared based on the investigation trail.</t>
  </si>
  <si>
    <t>TOHOKU Chemical Japan Fire – Sub-tier Cashew Dust Supplier</t>
  </si>
  <si>
    <t>EAO-24: No proactive alert was generated for the July 21 fire. Customer requested RCA, ICA, and PCA for the missed coverage. RCA shared.</t>
  </si>
  <si>
    <t>Transport Disruption</t>
  </si>
  <si>
    <t>World Trade Bridge Closed in Laredo, Texas</t>
  </si>
  <si>
    <t>EAO-25: Event was missed due to a keyword gap. Keyword was added and the article is now being captured.</t>
  </si>
  <si>
    <t>Fire at Nemak Factory in Monterrey, Mexico</t>
  </si>
  <si>
    <t>EAO-25: News processing captured the article and attached it to an updated factory-fire cluster. The event was later marked Not Impactful by the analyst. RCA shared based on the investigation trail.</t>
  </si>
  <si>
    <t>Fire at FXI de Cuautitlán, S.A. de C.V.</t>
  </si>
  <si>
    <t>EAO-25: Event was not captured by the vendor due to a source coverage gap. Vendor was asked to add the sources to its network. RCA shared based on the investigation trail.</t>
  </si>
  <si>
    <t>Sasol Polyethylene Plant Fire / Shutdown</t>
  </si>
  <si>
    <t>EAO-26: Customer reported a missed EventWatch alert for the Sasol polyethylene plant fire and shutdown. Investigation and RCA were requested; RCA shared.</t>
  </si>
  <si>
    <t>Ceuta Border Security &amp; Humanitarian Crisis</t>
  </si>
  <si>
    <t>WarRoom Trigger Automation</t>
  </si>
  <si>
    <t>EAO-27: Customer reported a missed EventWatch alert and requested an update. RCA shared following review of the event.</t>
  </si>
  <si>
    <t>Hurricane/Typhoon</t>
  </si>
  <si>
    <t>Typhoon Dolphin Bulletins Distributed Across Two WarRooms</t>
  </si>
  <si>
    <t>Cluster Integrity Validation</t>
  </si>
  <si>
    <t>EAO-29: Bulletins were distributed across two WarRooms, resulting in gaps in the update sequence. Customer requested RCA; RCA shared.</t>
  </si>
  <si>
    <t>The American National Red Cross</t>
  </si>
  <si>
    <t>Uber Freight Investigates Reported Cyberattack After Hackers Claim Data Breach</t>
  </si>
  <si>
    <t>WarRoom not visible in customer profile</t>
  </si>
  <si>
    <t>EAO-30: EventWatch news was published on August 13 but was not visible on the customer portal. Portal visibility investigation completed and clarification provided.</t>
  </si>
  <si>
    <t>Gindre India Data Breach – EventWatch Alert/WarRoom Missing</t>
  </si>
  <si>
    <t>EAO-31: No corresponding EventWatch event or WarRoom was found for the reported data breach. Source coverage review completed and RCA shared.</t>
  </si>
  <si>
    <t>Merck</t>
  </si>
  <si>
    <t>Baxter International Reports a Cybersecurity Incident</t>
  </si>
  <si>
    <t>Customer reported the missed Baxter ransomware incident. EventWatch captured the report on August 14, but human review incorrectly marked it Not Impactful; the event was re-evaluated, a WarRoom was created, and an NC was raised.</t>
  </si>
  <si>
    <t>McKesson Corporation Confirms Data Breach Following a Cybersecurity Incident</t>
  </si>
  <si>
    <t>Entity &amp; Duplicate Decision Validation</t>
  </si>
  <si>
    <t>Customer reported the missed McKesson data-breach incident. EventWatch captured the report on August 28, but human review assumed it was already covered; the event was re-evaluated, a WarRoom was created, and an NC was raised.</t>
  </si>
  <si>
    <t>EVENTWATCH OPERATIONS CONTROL CENTER</t>
  </si>
  <si>
    <t>TOTAL RECORDS</t>
  </si>
  <si>
    <t>COMPLAINTS</t>
  </si>
  <si>
    <t>MEDIUM RECORDS</t>
  </si>
  <si>
    <t>RCA REQUESTED (ALL)</t>
  </si>
  <si>
    <t>CLARIFICATION PROVIDED (ALL)</t>
  </si>
  <si>
    <t>MEDIAN DELAY (HRS)</t>
  </si>
  <si>
    <t>All tracker rows</t>
  </si>
  <si>
    <t>01 · MONTHLY COMPLAINT TREND</t>
  </si>
  <si>
    <t>02 · FIX STATUS</t>
  </si>
  <si>
    <t>03 · SEVERITY PROFILE</t>
  </si>
  <si>
    <t>04 · ROOT CAUSE MIX</t>
  </si>
  <si>
    <t>05 · TOP COMPLAINING CUSTOMERS</t>
  </si>
  <si>
    <t>06 · AUTOMATION FOCUS</t>
  </si>
  <si>
    <t>AUDITABLE CHART SOURCE TABLES · Each numbered table feeds the matching chart above</t>
  </si>
  <si>
    <t>SOURCE 01 · Monthly trend</t>
  </si>
  <si>
    <t>SOURCE 04 · Root cause</t>
  </si>
  <si>
    <t>SOURCE 02 · Fix status</t>
  </si>
  <si>
    <t>SOURCE 03 · Severity</t>
  </si>
  <si>
    <t>Complaints</t>
  </si>
  <si>
    <t>Inquiries</t>
  </si>
  <si>
    <t>% of Complaints</t>
  </si>
  <si>
    <t>Fix Status</t>
  </si>
  <si>
    <t>Records</t>
  </si>
  <si>
    <t>% of Records</t>
  </si>
  <si>
    <t>Critical</t>
  </si>
  <si>
    <t>Total</t>
  </si>
  <si>
    <t>SOURCE 05 · Top customers</t>
  </si>
  <si>
    <t>SOURCE 06 · Automation focus</t>
  </si>
  <si>
    <t>DETAIL · Event type workload</t>
  </si>
  <si>
    <t>Automation Focus</t>
  </si>
  <si>
    <t>Event Type</t>
  </si>
  <si>
    <t>Other customers</t>
  </si>
  <si>
    <t>EVENTWATCH DATA DICTIONARY</t>
  </si>
  <si>
    <t>Definitions for all tracker fields and standardized operational terms · aligned to ComplaintTracker</t>
  </si>
  <si>
    <t>Section</t>
  </si>
  <si>
    <t>Term / Field</t>
  </si>
  <si>
    <t>Definition</t>
  </si>
  <si>
    <t>Allowed values / interpretation</t>
  </si>
  <si>
    <t>Source column</t>
  </si>
  <si>
    <t>Field definition</t>
  </si>
  <si>
    <t>Calendar month assigned to the record.</t>
  </si>
  <si>
    <t>Displayed as mmm yyyy; used for chronological reporting.</t>
  </si>
  <si>
    <t>Date the customer email or JIRA item was received or logged.</t>
  </si>
  <si>
    <t>Use a true Excel date in dd-mmm-yyyy format.</t>
  </si>
  <si>
    <t>Operational event category associated with the record.</t>
  </si>
  <si>
    <t>Select the closest standard event category.</t>
  </si>
  <si>
    <t>Customer account that raised or is associated with the record.</t>
  </si>
  <si>
    <t>Use the agreed customer name consistently.</t>
  </si>
  <si>
    <t>Count of customer accounts affected or represented.</t>
  </si>
  <si>
    <t>Whole number; normally 1 unless multiple customers are combined.</t>
  </si>
  <si>
    <t>Title identifying the event, bulletin, or customer query.</t>
  </si>
  <si>
    <t>Use a concise, specific title.</t>
  </si>
  <si>
    <t>Whether the record is a complaint or an inquiry.</t>
  </si>
  <si>
    <t>Complaint indicates a service concern; Inquiry requests information or verification.</t>
  </si>
  <si>
    <t>Customer-facing description of what prompted the record.</t>
  </si>
  <si>
    <t>Use the most specific reason label supported by the facts.</t>
  </si>
  <si>
    <t>Primary accountable cause domain.</t>
  </si>
  <si>
    <t>People, Process, or Product.</t>
  </si>
  <si>
    <t>Detailed cause or handling category beneath Root Cause.</t>
  </si>
  <si>
    <t>Use the category that best describes the failure mechanism.</t>
  </si>
  <si>
    <t>Classifies the response as an enhancement or defect correction.</t>
  </si>
  <si>
    <t>Improvement enhances controls; Bug indicates a product defect.</t>
  </si>
  <si>
    <t>Current customer-facing resolution state.</t>
  </si>
  <si>
    <t>Fixed, RCA Shared, or Clarification Provided.</t>
  </si>
  <si>
    <t>Specific automation or control proposed for the case.</t>
  </si>
  <si>
    <t>Free-text action; use standardized wording where possible.</t>
  </si>
  <si>
    <t>Indicates whether a root cause analysis was requested.</t>
  </si>
  <si>
    <t>Yes or No.</t>
  </si>
  <si>
    <t>Concise factual summary of the issue, finding, and action.</t>
  </si>
  <si>
    <t>Must support the Reason, Root Cause, status, and automation fields.</t>
  </si>
  <si>
    <t>Human-readable delay description where applicable.</t>
  </si>
  <si>
    <t>May contain duration text or a Yes/No legacy value.</t>
  </si>
  <si>
    <t>Indicates whether expected EventWatch coverage, alerting, or WarRoom action was missed.</t>
  </si>
  <si>
    <t>Yes only for an actual miss; No for clarification, relevancy, or mapping-only cases.</t>
  </si>
  <si>
    <t>Numeric month order used for sorting.</t>
  </si>
  <si>
    <t>January=1 through December=12.</t>
  </si>
  <si>
    <t>Numeric delay duration in hours.</t>
  </si>
  <si>
    <t>Keep numeric for SLA analysis; blank when not measured.</t>
  </si>
  <si>
    <t>Standard month date used for dashboard aggregation.</t>
  </si>
  <si>
    <t>True Excel month date formatted mmm yyyy.</t>
  </si>
  <si>
    <t>Business impact or operational priority level.</t>
  </si>
  <si>
    <t>High, Medium, or Low.</t>
  </si>
  <si>
    <t>Normalized automation theme used for dashboard reporting.</t>
  </si>
  <si>
    <t>Select one of the approved focus categories.</t>
  </si>
  <si>
    <t>Operational term</t>
  </si>
  <si>
    <t>EventWatch</t>
  </si>
  <si>
    <t>Operational monitoring service that identifies, assesses, and reports events relevant to customers.</t>
  </si>
  <si>
    <t>Common EventWatch terminology</t>
  </si>
  <si>
    <t>Various</t>
  </si>
  <si>
    <t>WarRoom</t>
  </si>
  <si>
    <t>Central event workspace used to publish, organize, and update an operational event.</t>
  </si>
  <si>
    <t>RCA</t>
  </si>
  <si>
    <t>Root Cause Analysis; a documented explanation of why an issue occurred and the corrective/preventive actions.</t>
  </si>
  <si>
    <t>NC</t>
  </si>
  <si>
    <t>Non-Conformance; an internal quality record raised when required process or control performance was not met.</t>
  </si>
  <si>
    <t>Not Impactful</t>
  </si>
  <si>
    <t>Review outcome indicating that available evidence did not meet the threshold for EventWatch escalation.</t>
  </si>
  <si>
    <t>Feed harvesting</t>
  </si>
  <si>
    <t>Automated collection of articles or reports from monitored information sources.</t>
  </si>
  <si>
    <t>Source coverage</t>
  </si>
  <si>
    <t>Availability and monitoring of relevant websites, feeds, registries, or publications.</t>
  </si>
  <si>
    <t>Addition or refinement of search terms when available content was not identified correctly.</t>
  </si>
  <si>
    <t>Geofencing</t>
  </si>
  <si>
    <t>Geographic impact logic used to associate an event area with customer or supplier locations.</t>
  </si>
  <si>
    <t>Cluster</t>
  </si>
  <si>
    <t>Grouping of related articles or bulletins into one event record or WarRoom.</t>
  </si>
  <si>
    <t>Human-in-the-loop review</t>
  </si>
  <si>
    <t>Analyst review that validates automated detection and decides whether to escalate or publish.</t>
  </si>
  <si>
    <t>Impacted supplier</t>
  </si>
  <si>
    <t>Customer-mapped supplier assessed as potentially affected by an event.</t>
  </si>
  <si>
    <t>Formal insolvency, bankruptcy filing, restructuring, or equivalent proceeding.</t>
  </si>
  <si>
    <t>Standard event category</t>
  </si>
  <si>
    <t>Release or leak of a hazardous chemical substance.</t>
  </si>
  <si>
    <t>Cybersecurity incident such as ransomware, intrusion, compromise, or data breach.</t>
  </si>
  <si>
    <t>Seismic event with potential operational or supply-chain impact.</t>
  </si>
  <si>
    <t>Severe weather such as storms, tornadoes, typhoons, flooding, or snowstorms.</t>
  </si>
  <si>
    <t>Planned or unplanned closure of a manufacturing facility.</t>
  </si>
  <si>
    <t>Operational interruption at a manufacturing facility that is not classified as closure or fire.</t>
  </si>
  <si>
    <t>Fire affecting a manufacturing, production, or storage facility.</t>
  </si>
  <si>
    <t>Material financial difficulty that does not yet constitute a formal bankruptcy event.</t>
  </si>
  <si>
    <t>Political, border, security, conflict, or humanitarian development affecting operations.</t>
  </si>
  <si>
    <t>Strike, work stoppage, industrial action, or labor-related disruption.</t>
  </si>
  <si>
    <t>Change in senior executive or organizational leadership.</t>
  </si>
  <si>
    <t>Merger, acquisition, divestiture, or comparable corporate transaction.</t>
  </si>
  <si>
    <t>N/A</t>
  </si>
  <si>
    <t>No applicable event category, generally used for non-event inquiries.</t>
  </si>
  <si>
    <t>Demonstration, civil unrest, riot, or blockade driven by protest activity.</t>
  </si>
  <si>
    <t>Government rule, sanction, export control, or regulatory action.</t>
  </si>
  <si>
    <t>Shortage or constrained availability of materials, components, energy, or goods.</t>
  </si>
  <si>
    <t>Disruption to roads, bridges, ports, rail, air, or logistics routes.</t>
  </si>
  <si>
    <t>Uncontrolled vegetation fire with potential geographic or operational impact.</t>
  </si>
  <si>
    <t>Issue type</t>
  </si>
  <si>
    <t>Customer reports a service failure, miss, delay, incorrect action, or other concern.</t>
  </si>
  <si>
    <t>Included in complaint metrics</t>
  </si>
  <si>
    <t>Customer requests verification, explanation, or information without a confirmed service failure.</t>
  </si>
  <si>
    <t>Tracked separately from complaints</t>
  </si>
  <si>
    <t>Root cause</t>
  </si>
  <si>
    <t>Human judgment, review, prioritization, publishing, or execution was the primary cause.</t>
  </si>
  <si>
    <t>Primary cause domain</t>
  </si>
  <si>
    <t>Policy, workflow, threshold, mapping method, or procedural design was the primary cause.</t>
  </si>
  <si>
    <t>Technology, data ingestion, source coverage, detection, clustering, or platform behavior was the primary cause.</t>
  </si>
  <si>
    <t>Relevant information entered the workflow later than required.</t>
  </si>
  <si>
    <t>Detailed cause/handling category</t>
  </si>
  <si>
    <t>Related content was split into duplicate WarRooms or event records.</t>
  </si>
  <si>
    <t>The relevant event was not recognized or converted into reportable coverage.</t>
  </si>
  <si>
    <t>An incorrect or missing industry classification affected tracking.</t>
  </si>
  <si>
    <t>Search or detection terms required addition or refinement.</t>
  </si>
  <si>
    <t>Customer, supplier, company, facility, or impact relationship was missing or incorrect.</t>
  </si>
  <si>
    <t>A rule, threshold, or decision logic produced or explained the outcome.</t>
  </si>
  <si>
    <t>A detected item was not handled with the required urgency.</t>
  </si>
  <si>
    <t>The case required explanation of policy, thresholds, or workflow rather than defect correction.</t>
  </si>
  <si>
    <t>The item’s relevance to the customer or EventWatch scope was disputed or incorrectly assessed.</t>
  </si>
  <si>
    <t>Human assessment or quality review led to the issue.</t>
  </si>
  <si>
    <t>The relevant source was unavailable, unmonitored, restricted, or not harvested.</t>
  </si>
  <si>
    <t>The concern relates to reporting or consolidation strategy.</t>
  </si>
  <si>
    <t>A required category or industry tag was missing or incorrect.</t>
  </si>
  <si>
    <t>Published content was not visible because of profile, portal, notification, or display conditions.</t>
  </si>
  <si>
    <t>A required WarRoom was not created despite available EventWatch coverage.</t>
  </si>
  <si>
    <t>Improvement classification</t>
  </si>
  <si>
    <t>Control, workflow, model, or monitoring enhancement rather than correction of a confirmed defect.</t>
  </si>
  <si>
    <t>Enhancement</t>
  </si>
  <si>
    <t>Confirmed product or engineering defect requiring correction.</t>
  </si>
  <si>
    <t>Defect</t>
  </si>
  <si>
    <t>Fix status</t>
  </si>
  <si>
    <t>Immediate corrective action was completed.</t>
  </si>
  <si>
    <t>Current resolution state</t>
  </si>
  <si>
    <t>The root cause analysis was completed and shared with the customer.</t>
  </si>
  <si>
    <t>The customer received an explanation, verification result, or policy/process clarification.</t>
  </si>
  <si>
    <t>Boolean flag</t>
  </si>
  <si>
    <t>Yes — RCA Requested</t>
  </si>
  <si>
    <t>A formal root cause analysis was requested.</t>
  </si>
  <si>
    <t>No — RCA Requested</t>
  </si>
  <si>
    <t>No formal root cause analysis was requested.</t>
  </si>
  <si>
    <t>Yes — Missed_Flag</t>
  </si>
  <si>
    <t>Expected coverage, alerting, escalation, or WarRoom action was missed or materially delayed.</t>
  </si>
  <si>
    <t>No — Missed_Flag</t>
  </si>
  <si>
    <t>No confirmed reporting miss; the case concerns clarification, relevancy, mapping, duplication, or another non-miss issue.</t>
  </si>
  <si>
    <t>Material impact or priority requiring elevated management attention.</t>
  </si>
  <si>
    <t>Priority level</t>
  </si>
  <si>
    <t>Standard operational complaint or issue requiring tracked response.</t>
  </si>
  <si>
    <t>Limited-impact inquiry or quality issue with lower operational urgency.</t>
  </si>
  <si>
    <t>Automation focus</t>
  </si>
  <si>
    <t>Automate or improve impact-area creation and location validation.</t>
  </si>
  <si>
    <t>Standardized dashboard category</t>
  </si>
  <si>
    <t>Automatically assign and validate industry classifications.</t>
  </si>
  <si>
    <t>Detect duplicate/split clusters and preserve one coherent event sequence.</t>
  </si>
  <si>
    <t>Identify, onboard, and monitor new or missing sources dynamically.</t>
  </si>
  <si>
    <t>Resolve company, facility, supplier, and customer relationships accurately.</t>
  </si>
  <si>
    <t>Expand and maintain detection terms across languages and regional variations.</t>
  </si>
  <si>
    <t>Monitor whether published alerts and WarRooms are visible and delivered to the customer.</t>
  </si>
  <si>
    <t>Automation that does not fit another standardized focus category.</t>
  </si>
  <si>
    <t>Validate impact decisions, escalation, publishing, and WarRoom creation.</t>
  </si>
  <si>
    <t>Reason label</t>
  </si>
  <si>
    <t>Customer requested confirmation of coverage, facts, or system behavior.</t>
  </si>
  <si>
    <t>Use only when supported by Comments and Missed_Flag</t>
  </si>
  <si>
    <t>Customer requested wording or naming alignment rather than correction of a reporting failure.</t>
  </si>
  <si>
    <t>Expected reporting, escalation, notification, or WarRoom creation occurred later than required.</t>
  </si>
  <si>
    <t>Related content was distributed across more than one WarRoom.</t>
  </si>
  <si>
    <t>Expected EventWatch coverage, alerting, notification, or WarRoom action did not occur.</t>
  </si>
  <si>
    <t>Customer requested explanation of the geographic scope or impact-area method.</t>
  </si>
  <si>
    <t>An event or location was assigned to an incorrect geographic impact area.</t>
  </si>
  <si>
    <t>A relevant mapped supplier was omitted from the impacted-supplier selection.</t>
  </si>
  <si>
    <t>EventWatch action or handling was incorrect even though the event itself may not have been missed.</t>
  </si>
  <si>
    <t>The expected industry classification was missing or incorrect.</t>
  </si>
  <si>
    <t>Specific customer-reported reason recorded in the tracker.</t>
  </si>
  <si>
    <t>Customer questioned the severity level or consolidation of event coverage.</t>
  </si>
  <si>
    <t>Customer requested explanation of why suppliers were included or excluded from the impact area.</t>
  </si>
  <si>
    <t>Published content was not visible in the customer profile or portal.</t>
  </si>
  <si>
    <t>Available information met the escalation criteria, but the required WarRoom was not created.</t>
  </si>
  <si>
    <t>The relevance classification of an event or alert was disputed or incorrect.</t>
  </si>
  <si>
    <t>Tropical cyclone classified as a hurricane or typhoon, with potential geographic, operational, or supply-chain impact.</t>
  </si>
  <si>
    <t>Use specifically for hurricanes and typhoons rather than the broader Extreme Weather category.</t>
  </si>
  <si>
    <t>Event or inquiry category that does not fit any available standardized Event type.</t>
  </si>
  <si>
    <t>Use only when no specific standard category applies; explain the subject in the title and comments.</t>
  </si>
  <si>
    <t>EVENTWATCH MANAGEMENT READOUT</t>
  </si>
  <si>
    <t>RCA REQUESTED</t>
  </si>
  <si>
    <t>SEVERITY</t>
  </si>
  <si>
    <t>CUSTOMER CONCENTRATION</t>
  </si>
  <si>
    <t>ROOT CAUSE</t>
  </si>
  <si>
    <t>AUTOMATION PRIORITY</t>
  </si>
  <si>
    <t>RESOLUTION STATUS</t>
  </si>
  <si>
    <t>DELAY COVERAGE</t>
  </si>
  <si>
    <t>DATA QUALITY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</si>
</sst>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yyyy"/>
    <numFmt numFmtId="165" formatCode="dd\-mmm\-yyyy"/>
  </numFmts>
  <fonts count="28">
    <font>
      <sz val="11"/>
      <color theme="1"/>
      <name val="Calibri"/>
      <family val="2"/>
      <scheme val="minor"/>
    </font>
    <font>
      <b/>
      <sz val="10"/>
      <color rgb="FFFFFFFF"/>
      <name val="Aptos"/>
    </font>
    <font>
      <sz val="10"/>
      <color theme="1"/>
      <name val="Aptos"/>
    </font>
    <font>
      <sz val="10"/>
      <color rgb="FF243447"/>
      <name val="Aptos"/>
    </font>
    <font>
      <b/>
      <sz val="20"/>
      <color rgb="FF243447"/>
      <name val="Aptos"/>
    </font>
    <font>
      <sz val="11"/>
      <color rgb="FF243447"/>
      <name val="Aptos"/>
    </font>
    <font>
      <b/>
      <sz val="9"/>
      <color rgb="FF243447"/>
      <name val="Aptos"/>
    </font>
    <font>
      <b/>
      <sz val="24"/>
      <color rgb="FF243447"/>
      <name val="Aptos"/>
    </font>
    <font>
      <b/>
      <sz val="11"/>
      <color rgb="FF243447"/>
      <name val="Aptos"/>
    </font>
    <font>
      <b/>
      <sz val="10"/>
      <color rgb="FF243447"/>
      <name val="Aptos"/>
    </font>
    <font>
      <b/>
      <sz val="22"/>
      <color rgb="FF17324D"/>
      <name val="Aptos"/>
    </font>
    <font>
      <sz val="10"/>
      <color rgb="FF637083"/>
      <name val="Aptos"/>
    </font>
    <font>
      <b/>
      <sz val="9"/>
      <color rgb="FF607086"/>
      <name val="Aptos"/>
    </font>
    <font>
      <b/>
      <sz val="25"/>
      <color rgb="FF17324D"/>
      <name val="Aptos"/>
    </font>
    <font>
      <b/>
      <sz val="25"/>
      <color rgb="FFD64545"/>
      <name val="Aptos"/>
    </font>
    <font>
      <b/>
      <sz val="25"/>
      <color rgb="FFD97706"/>
      <name val="Aptos"/>
    </font>
    <font>
      <sz val="9"/>
      <color rgb="FF718096"/>
      <name val="Aptos"/>
    </font>
    <font>
      <b/>
      <sz val="11"/>
      <color rgb="FF244A6B"/>
      <name val="Aptos"/>
    </font>
    <font>
      <b/>
      <sz val="10"/>
      <color rgb="FF244A6B"/>
      <name val="Aptos"/>
    </font>
    <font>
      <b/>
      <sz val="18"/>
      <color rgb="FFFFFFFF"/>
      <name val="Calibri"/>
      <family val="2"/>
      <scheme val="minor"/>
    </font>
    <font>
      <sz val="11"/>
      <color rgb="FF637083"/>
      <name val="Calibri"/>
      <family val="2"/>
      <scheme val="minor"/>
    </font>
    <font>
      <b/>
      <sz val="11"/>
      <color theme="1"/>
      <name val="Calibri"/>
      <family val="2"/>
      <scheme val="minor"/>
    </font>
    <font>
      <b/>
      <sz val="20"/>
      <color rgb="FFFFFFFF"/>
      <name val="Aptos"/>
    </font>
    <font>
      <sz val="11"/>
      <color rgb="FF637083"/>
      <name val="Aptos"/>
    </font>
    <font>
      <sz val="11"/>
      <color theme="1"/>
      <name val="Aptos"/>
    </font>
    <font>
      <b/>
      <sz val="11"/>
      <color rgb="FFFFFFFF"/>
      <name val="Aptos"/>
    </font>
    <font>
      <b/>
      <sz val="24"/>
      <color rgb="FF17324D"/>
      <name val="Aptos"/>
    </font>
    <font>
      <sz val="11"/>
      <color rgb="FF34495E"/>
      <name val="Aptos"/>
    </font>
  </fonts>
  <fills count="11">
    <fill>
      <patternFill patternType="none"/>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27">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s>
  <cellStyleXfs count="1">
    <xf numFmtId="0" fontId="0" fillId="0" borderId="0"/>
  </cellStyleXfs>
  <cellXfs count="93">
    <xf numFmtId="0" fontId="0" fillId="0" borderId="0" xfId="0"/>
    <xf numFmtId="0" fontId="2" fillId="0" borderId="0" xfId="0" applyFont="1" applyAlignment="1">
      <alignment horizontal="left"/>
    </xf>
    <xf numFmtId="0" fontId="2" fillId="0" borderId="0" xfId="0" applyFont="1" applyAlignment="1">
      <alignment horizontal="left" vertical="center"/>
    </xf>
    <xf numFmtId="0" fontId="3" fillId="5" borderId="0" xfId="0" applyFont="1" applyFill="1"/>
    <xf numFmtId="0" fontId="3" fillId="4" borderId="0" xfId="0" applyFont="1" applyFill="1"/>
    <xf numFmtId="0" fontId="3" fillId="4" borderId="7" xfId="0" applyFont="1" applyFill="1" applyBorder="1"/>
    <xf numFmtId="0" fontId="3" fillId="4" borderId="12" xfId="0" applyFont="1" applyFill="1" applyBorder="1"/>
    <xf numFmtId="0" fontId="3" fillId="4" borderId="15" xfId="0" applyFont="1" applyFill="1" applyBorder="1"/>
    <xf numFmtId="0" fontId="3" fillId="4" borderId="10" xfId="0" applyFont="1" applyFill="1" applyBorder="1"/>
    <xf numFmtId="0" fontId="16" fillId="4" borderId="10" xfId="0" applyFont="1" applyFill="1" applyBorder="1" applyAlignment="1">
      <alignment horizontal="center"/>
    </xf>
    <xf numFmtId="0" fontId="3" fillId="4" borderId="14" xfId="0" applyFont="1" applyFill="1" applyBorder="1"/>
    <xf numFmtId="0" fontId="16" fillId="6" borderId="10" xfId="0" applyFont="1" applyFill="1" applyBorder="1" applyAlignment="1">
      <alignment horizontal="center"/>
    </xf>
    <xf numFmtId="0" fontId="3" fillId="6" borderId="0" xfId="0" applyFont="1" applyFill="1"/>
    <xf numFmtId="0" fontId="16" fillId="7" borderId="10" xfId="0" applyFont="1" applyFill="1" applyBorder="1" applyAlignment="1">
      <alignment horizontal="center"/>
    </xf>
    <xf numFmtId="0" fontId="3" fillId="7" borderId="0" xfId="0" applyFont="1" applyFill="1"/>
    <xf numFmtId="0" fontId="1" fillId="9" borderId="0" xfId="0" applyFont="1" applyFill="1" applyAlignment="1">
      <alignment horizontal="center"/>
    </xf>
    <xf numFmtId="0" fontId="1" fillId="9" borderId="0" xfId="0" applyFont="1" applyFill="1"/>
    <xf numFmtId="164" fontId="3" fillId="4" borderId="24" xfId="0" applyNumberFormat="1" applyFont="1" applyFill="1" applyBorder="1"/>
    <xf numFmtId="0" fontId="3" fillId="4" borderId="24" xfId="0" applyFont="1" applyFill="1" applyBorder="1"/>
    <xf numFmtId="164" fontId="3" fillId="4" borderId="25" xfId="0" applyNumberFormat="1" applyFont="1" applyFill="1" applyBorder="1"/>
    <xf numFmtId="0" fontId="3" fillId="4" borderId="25" xfId="0" applyFont="1" applyFill="1" applyBorder="1"/>
    <xf numFmtId="0" fontId="3" fillId="4" borderId="24" xfId="0" applyFont="1" applyFill="1" applyBorder="1" applyAlignment="1">
      <alignment horizontal="right"/>
    </xf>
    <xf numFmtId="0" fontId="3" fillId="4" borderId="25" xfId="0" applyFont="1" applyFill="1" applyBorder="1" applyAlignment="1">
      <alignment horizontal="right"/>
    </xf>
    <xf numFmtId="9" fontId="3" fillId="4" borderId="24" xfId="0" applyNumberFormat="1" applyFont="1" applyFill="1" applyBorder="1" applyAlignment="1">
      <alignment horizontal="right"/>
    </xf>
    <xf numFmtId="9" fontId="3" fillId="4" borderId="25" xfId="0" applyNumberFormat="1" applyFont="1" applyFill="1" applyBorder="1" applyAlignment="1">
      <alignment horizontal="right"/>
    </xf>
    <xf numFmtId="0" fontId="9" fillId="4" borderId="26" xfId="0" applyFont="1" applyFill="1" applyBorder="1"/>
    <xf numFmtId="0" fontId="9" fillId="4" borderId="26" xfId="0" applyFont="1" applyFill="1" applyBorder="1" applyAlignment="1">
      <alignment horizontal="right"/>
    </xf>
    <xf numFmtId="9" fontId="9" fillId="4" borderId="26" xfId="0" applyNumberFormat="1" applyFont="1" applyFill="1" applyBorder="1" applyAlignment="1">
      <alignment horizontal="right"/>
    </xf>
    <xf numFmtId="15" fontId="2" fillId="0" borderId="0" xfId="0" applyNumberFormat="1" applyFont="1" applyAlignment="1">
      <alignment horizontal="left" vertical="top"/>
    </xf>
    <xf numFmtId="0" fontId="0" fillId="2" borderId="0" xfId="0" applyFill="1"/>
    <xf numFmtId="0" fontId="2" fillId="0" borderId="0" xfId="0" applyFont="1"/>
    <xf numFmtId="0" fontId="1" fillId="9" borderId="1" xfId="0" applyFont="1" applyFill="1" applyBorder="1" applyAlignment="1">
      <alignment horizontal="center" vertical="center" wrapText="1"/>
    </xf>
    <xf numFmtId="0" fontId="1" fillId="9" borderId="0" xfId="0" applyFont="1" applyFill="1" applyAlignment="1">
      <alignment horizontal="center" vertical="center" wrapText="1"/>
    </xf>
    <xf numFmtId="0" fontId="2" fillId="0" borderId="0" xfId="0" applyFont="1" applyAlignment="1">
      <alignment horizontal="left" vertical="top"/>
    </xf>
    <xf numFmtId="0" fontId="2" fillId="2" borderId="0" xfId="0" applyFont="1" applyFill="1" applyAlignment="1">
      <alignment horizontal="left" vertical="top"/>
    </xf>
    <xf numFmtId="164" fontId="2" fillId="0" borderId="0" xfId="0" applyNumberFormat="1" applyFont="1" applyAlignment="1">
      <alignment horizontal="right" vertical="top"/>
    </xf>
    <xf numFmtId="164" fontId="2" fillId="2" borderId="0" xfId="0" applyNumberFormat="1" applyFont="1" applyFill="1" applyAlignment="1">
      <alignment horizontal="right" vertical="top"/>
    </xf>
    <xf numFmtId="165" fontId="2" fillId="0" borderId="0" xfId="0" applyNumberFormat="1" applyFont="1" applyAlignment="1">
      <alignment horizontal="right" vertical="top"/>
    </xf>
    <xf numFmtId="165" fontId="2" fillId="2" borderId="0" xfId="0" applyNumberFormat="1" applyFont="1" applyFill="1" applyAlignment="1">
      <alignment horizontal="right" vertical="top"/>
    </xf>
    <xf numFmtId="0" fontId="2" fillId="0" borderId="0" xfId="0" applyFont="1" applyAlignment="1">
      <alignment horizontal="right" vertical="top"/>
    </xf>
    <xf numFmtId="0" fontId="2" fillId="2" borderId="0" xfId="0" applyFont="1" applyFill="1" applyAlignment="1">
      <alignment horizontal="right" vertical="top"/>
    </xf>
    <xf numFmtId="0" fontId="0" fillId="0" borderId="0" xfId="0" applyAlignment="1">
      <alignment vertical="top" wrapText="1"/>
    </xf>
    <xf numFmtId="0" fontId="21" fillId="0" borderId="0" xfId="0" applyFont="1" applyAlignment="1">
      <alignment vertical="top" wrapText="1"/>
    </xf>
    <xf numFmtId="0" fontId="24" fillId="0" borderId="0" xfId="0" applyFont="1"/>
    <xf numFmtId="0" fontId="25" fillId="10" borderId="0" xfId="0" applyFont="1" applyFill="1" applyAlignment="1">
      <alignment horizontal="center"/>
    </xf>
    <xf numFmtId="0" fontId="12" fillId="4" borderId="9" xfId="0" applyFont="1" applyFill="1" applyBorder="1" applyAlignment="1">
      <alignment horizontal="center"/>
    </xf>
    <xf numFmtId="0" fontId="6" fillId="4" borderId="8" xfId="0" applyFont="1" applyFill="1" applyBorder="1" applyAlignment="1">
      <alignment horizontal="center"/>
    </xf>
    <xf numFmtId="0" fontId="13" fillId="4" borderId="10" xfId="0" applyFont="1" applyFill="1" applyBorder="1" applyAlignment="1">
      <alignment horizontal="center" vertical="center"/>
    </xf>
    <xf numFmtId="0" fontId="7" fillId="4" borderId="0" xfId="0" applyFont="1" applyFill="1" applyAlignment="1">
      <alignment horizontal="center" vertical="center"/>
    </xf>
    <xf numFmtId="0" fontId="7" fillId="4" borderId="10" xfId="0" applyFont="1" applyFill="1" applyBorder="1" applyAlignment="1">
      <alignment horizontal="center" vertical="center"/>
    </xf>
    <xf numFmtId="0" fontId="7" fillId="4" borderId="17" xfId="0" applyFont="1" applyFill="1" applyBorder="1" applyAlignment="1">
      <alignment horizontal="center" vertical="center"/>
    </xf>
    <xf numFmtId="0" fontId="7" fillId="4" borderId="4" xfId="0" applyFont="1" applyFill="1" applyBorder="1" applyAlignment="1">
      <alignment horizontal="center" vertical="center"/>
    </xf>
    <xf numFmtId="0" fontId="12" fillId="7" borderId="9" xfId="0" applyFont="1" applyFill="1" applyBorder="1" applyAlignment="1">
      <alignment horizontal="center"/>
    </xf>
    <xf numFmtId="0" fontId="6" fillId="7" borderId="8" xfId="0" applyFont="1" applyFill="1" applyBorder="1" applyAlignment="1">
      <alignment horizontal="center"/>
    </xf>
    <xf numFmtId="0" fontId="15" fillId="7" borderId="10" xfId="0" applyFont="1" applyFill="1" applyBorder="1" applyAlignment="1">
      <alignment horizontal="center" vertical="center"/>
    </xf>
    <xf numFmtId="0" fontId="7" fillId="7" borderId="0" xfId="0" applyFont="1" applyFill="1" applyAlignment="1">
      <alignment horizontal="center" vertical="center"/>
    </xf>
    <xf numFmtId="0" fontId="7" fillId="7" borderId="10"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5" xfId="0" applyFont="1" applyFill="1" applyBorder="1" applyAlignment="1">
      <alignment horizontal="center" vertical="center"/>
    </xf>
    <xf numFmtId="0" fontId="6" fillId="4" borderId="13" xfId="0" applyFont="1" applyFill="1" applyBorder="1" applyAlignment="1">
      <alignment horizontal="center"/>
    </xf>
    <xf numFmtId="0" fontId="7" fillId="4" borderId="14" xfId="0" applyFont="1" applyFill="1" applyBorder="1" applyAlignment="1">
      <alignment horizontal="center" vertical="center"/>
    </xf>
    <xf numFmtId="0" fontId="7" fillId="4" borderId="19" xfId="0" applyFont="1" applyFill="1" applyBorder="1" applyAlignment="1">
      <alignment horizontal="center" vertical="center"/>
    </xf>
    <xf numFmtId="0" fontId="7" fillId="4" borderId="6" xfId="0" applyFont="1" applyFill="1" applyBorder="1" applyAlignment="1">
      <alignment horizontal="center" vertical="center"/>
    </xf>
    <xf numFmtId="0" fontId="7" fillId="4" borderId="20" xfId="0" applyFont="1" applyFill="1" applyBorder="1" applyAlignment="1">
      <alignment horizontal="center" vertical="center"/>
    </xf>
    <xf numFmtId="0" fontId="7" fillId="4" borderId="11" xfId="0" applyFont="1" applyFill="1" applyBorder="1" applyAlignment="1">
      <alignment horizontal="center" vertical="center"/>
    </xf>
    <xf numFmtId="0" fontId="7" fillId="4" borderId="2" xfId="0" applyFont="1" applyFill="1" applyBorder="1" applyAlignment="1">
      <alignment horizontal="center" vertical="center"/>
    </xf>
    <xf numFmtId="0" fontId="12" fillId="6" borderId="9" xfId="0" applyFont="1" applyFill="1" applyBorder="1" applyAlignment="1">
      <alignment horizontal="center"/>
    </xf>
    <xf numFmtId="0" fontId="6" fillId="6" borderId="8" xfId="0" applyFont="1" applyFill="1" applyBorder="1" applyAlignment="1">
      <alignment horizontal="center"/>
    </xf>
    <xf numFmtId="0" fontId="14" fillId="6" borderId="10" xfId="0" applyFont="1" applyFill="1" applyBorder="1" applyAlignment="1">
      <alignment horizontal="center" vertical="center"/>
    </xf>
    <xf numFmtId="0" fontId="7" fillId="6" borderId="0" xfId="0" applyFont="1" applyFill="1" applyAlignment="1">
      <alignment horizontal="center" vertical="center"/>
    </xf>
    <xf numFmtId="0" fontId="7" fillId="6" borderId="10" xfId="0" applyFont="1" applyFill="1" applyBorder="1" applyAlignment="1">
      <alignment horizontal="center" vertical="center"/>
    </xf>
    <xf numFmtId="0" fontId="7" fillId="6" borderId="16" xfId="0" applyFont="1" applyFill="1" applyBorder="1" applyAlignment="1">
      <alignment horizontal="center" vertical="center"/>
    </xf>
    <xf numFmtId="0" fontId="7" fillId="6" borderId="3" xfId="0" applyFont="1" applyFill="1" applyBorder="1" applyAlignment="1">
      <alignment horizontal="center" vertical="center"/>
    </xf>
    <xf numFmtId="0" fontId="27" fillId="4" borderId="0" xfId="0" applyFont="1" applyFill="1" applyAlignment="1">
      <alignment wrapText="1"/>
    </xf>
    <xf numFmtId="0" fontId="26" fillId="4" borderId="0" xfId="0" applyFont="1" applyFill="1" applyAlignment="1">
      <alignment horizontal="center" vertical="center"/>
    </xf>
    <xf numFmtId="3" fontId="3" fillId="4" borderId="24" xfId="0" applyNumberFormat="1" applyFont="1" applyFill="1" applyBorder="1" applyAlignment="1">
      <alignment horizontal="right"/>
    </xf>
    <xf numFmtId="3" fontId="3" fillId="4" borderId="25" xfId="0" applyNumberFormat="1" applyFont="1" applyFill="1" applyBorder="1" applyAlignment="1">
      <alignment horizontal="right"/>
    </xf>
    <xf numFmtId="3" fontId="9" fillId="4" borderId="26" xfId="0" applyNumberFormat="1" applyFont="1" applyFill="1" applyBorder="1" applyAlignment="1">
      <alignment horizontal="right"/>
    </xf>
    <xf numFmtId="3" fontId="3" fillId="5" borderId="0" xfId="0" applyNumberFormat="1" applyFont="1" applyFill="1"/>
    <xf numFmtId="0" fontId="10" fillId="4" borderId="0" xfId="0" applyFont="1" applyFill="1" applyAlignment="1"/>
    <xf numFmtId="0" fontId="4" fillId="4" borderId="0" xfId="0" applyFont="1" applyFill="1" applyAlignment="1"/>
    <xf numFmtId="0" fontId="11" fillId="4" borderId="7" xfId="0" applyFont="1" applyFill="1" applyBorder="1" applyAlignment="1"/>
    <xf numFmtId="0" fontId="5" fillId="4" borderId="7" xfId="0" applyFont="1" applyFill="1" applyBorder="1" applyAlignment="1"/>
    <xf numFmtId="0" fontId="18" fillId="8" borderId="22" xfId="0" applyFont="1" applyFill="1" applyBorder="1" applyAlignment="1"/>
    <xf numFmtId="0" fontId="18" fillId="8" borderId="21" xfId="0" applyFont="1" applyFill="1" applyBorder="1" applyAlignment="1"/>
    <xf numFmtId="0" fontId="18" fillId="8" borderId="23" xfId="0" applyFont="1" applyFill="1" applyBorder="1" applyAlignment="1"/>
    <xf numFmtId="0" fontId="1" fillId="3" borderId="0" xfId="0" applyFont="1" applyFill="1" applyAlignment="1"/>
    <xf numFmtId="0" fontId="8" fillId="3" borderId="0" xfId="0" applyFont="1" applyFill="1" applyAlignment="1"/>
    <xf numFmtId="0" fontId="17" fillId="8" borderId="0" xfId="0" applyFont="1" applyFill="1" applyAlignment="1"/>
    <xf numFmtId="0" fontId="19" fillId="3" borderId="0" xfId="0" applyFont="1" applyFill="1" applyAlignment="1"/>
    <xf numFmtId="0" fontId="20" fillId="8" borderId="0" xfId="0" applyFont="1" applyFill="1" applyAlignment="1"/>
    <xf numFmtId="0" fontId="22" fillId="3" borderId="0" xfId="0" applyFont="1" applyFill="1" applyAlignment="1"/>
    <xf numFmtId="0" fontId="23" fillId="8" borderId="0" xfId="0" applyFont="1" applyFill="1" applyAlignment="1"/>
  </cellXfs>
  <cellStyles count="1">
    <cellStyle name="Normal" xfId="0" builtinId="0"/>
  </cellStyles>
  <dxfs count="35">
    <dxf>
      <alignment vertical="top" wrapText="1"/>
    </dxf>
    <dxf>
      <alignment vertical="top" wrapText="1"/>
    </dxf>
    <dxf>
      <alignment vertical="top" wrapText="1"/>
    </dxf>
    <dxf>
      <alignment vertical="top" wrapText="1"/>
    </dxf>
    <dxf>
      <font>
        <b/>
      </font>
      <alignment vertical="top" wrapText="1"/>
    </dxf>
    <dxf>
      <alignment vertical="top" wrapText="1"/>
    </dxf>
    <dxf>
      <alignment vertical="top" wrapText="1"/>
    </dxf>
    <dxf>
      <font>
        <sz val="10"/>
        <name val="Aptos"/>
      </font>
      <alignment horizontal="left" vertical="top" wrapText="0"/>
    </dxf>
    <dxf>
      <font>
        <sz val="10"/>
        <name val="Aptos"/>
      </font>
      <alignment horizontal="left" vertical="top" wrapText="0"/>
    </dxf>
    <dxf>
      <font>
        <sz val="10"/>
        <name val="Aptos"/>
      </font>
      <numFmt numFmtId="164" formatCode="mmm\ yyyy"/>
      <alignment horizontal="right" vertical="top" wrapText="0"/>
    </dxf>
    <dxf>
      <font>
        <sz val="10"/>
        <name val="Aptos"/>
      </font>
      <alignment horizontal="right" vertical="top" wrapText="0"/>
    </dxf>
    <dxf>
      <font>
        <sz val="10"/>
        <name val="Aptos"/>
      </font>
      <alignment horizontal="righ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left" vertical="top" wrapText="0"/>
    </dxf>
    <dxf>
      <font>
        <sz val="10"/>
        <name val="Aptos"/>
      </font>
      <alignment horizontal="right" vertical="top" wrapText="0"/>
    </dxf>
    <dxf>
      <font>
        <sz val="10"/>
        <name val="Aptos"/>
      </font>
      <alignment horizontal="left" vertical="top" wrapText="0"/>
    </dxf>
    <dxf>
      <font>
        <sz val="10"/>
        <name val="Aptos"/>
      </font>
      <alignment horizontal="left" vertical="top" wrapText="0"/>
    </dxf>
    <dxf>
      <font>
        <sz val="10"/>
        <name val="Aptos"/>
      </font>
      <numFmt numFmtId="165" formatCode="dd\-mmm\-yyyy"/>
      <alignment horizontal="right" vertical="top" textRotation="0" wrapText="0" indent="0" justifyLastLine="0" shrinkToFit="0" readingOrder="0"/>
    </dxf>
    <dxf>
      <font>
        <sz val="10"/>
        <name val="Aptos"/>
      </font>
      <numFmt numFmtId="164" formatCode="mmm\ yyyy"/>
      <alignment horizontal="right" vertical="top" textRotation="0" wrapText="0" indent="0" justifyLastLine="0" shrinkToFit="0" readingOrder="0"/>
    </dxf>
    <dxf>
      <font>
        <sz val="10"/>
        <name val="Aptos"/>
      </font>
      <alignment horizontal="left" vertical="top" wrapText="0"/>
    </dxf>
    <dxf>
      <font>
        <b/>
        <sz val="10"/>
        <color rgb="FFFFFFFF"/>
        <name val="Aptos"/>
      </font>
      <fill>
        <patternFill patternType="solid">
          <fgColor indexed="64"/>
          <bgColor rgb="FF2E5D7B"/>
        </patternFill>
      </fill>
      <alignment horizontal="center" vertical="center" wrapText="1"/>
    </dxf>
    <dxf>
      <font>
        <b/>
        <i val="0"/>
        <color rgb="FFA33A00"/>
      </font>
      <fill>
        <patternFill patternType="solid">
          <fgColor indexed="64"/>
          <bgColor rgb="FFFFF0E6"/>
        </patternFill>
      </fill>
    </dxf>
    <dxf>
      <font>
        <color rgb="FF7A5B00"/>
      </font>
      <fill>
        <patternFill patternType="solid">
          <fgColor indexed="64"/>
          <bgColor rgb="FFFFF8E1"/>
        </patternFill>
      </fill>
    </dxf>
    <dxf>
      <font>
        <b/>
        <i val="0"/>
        <color rgb="FF9A5B00"/>
      </font>
      <fill>
        <patternFill patternType="solid">
          <fgColor indexed="64"/>
          <bgColor rgb="FFFFF3D6"/>
        </patternFill>
      </fill>
    </dxf>
    <dxf>
      <font>
        <b/>
        <i val="0"/>
        <color rgb="FFB42318"/>
      </font>
      <fill>
        <patternFill patternType="solid">
          <fgColor indexed="64"/>
          <bgColor rgb="FFFDEC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Complaints</c:v>
          </c:tx>
          <c:spPr>
            <a:ln w="28575" cap="rnd">
              <a:solidFill>
                <a:srgbClr val="4C78A8"/>
              </a:solidFill>
              <a:prstDash val="solid"/>
              <a:round/>
            </a:ln>
            <a:effectLst/>
          </c:spPr>
          <c:marker>
            <c:symbol val="circle"/>
            <c:size val="5"/>
            <c:spPr>
              <a:solidFill>
                <a:schemeClr val="accent1"/>
              </a:solidFill>
              <a:ln w="9525">
                <a:solidFill>
                  <a:schemeClr val="accent1"/>
                </a:solidFill>
              </a:ln>
              <a:effectLst/>
            </c:spPr>
          </c:marker>
          <c:cat>
            <c:numRef>
              <c:f>Dashboard!$A$50:$A$57</c:f>
              <c:numCache>
                <c:formatCode>mmm\ yyyy</c:formatCode>
                <c:ptCount val="8"/>
                <c:pt idx="0">
                  <c:v>46023</c:v>
                </c:pt>
                <c:pt idx="1">
                  <c:v>46054</c:v>
                </c:pt>
                <c:pt idx="2">
                  <c:v>46082</c:v>
                </c:pt>
                <c:pt idx="3">
                  <c:v>46113</c:v>
                </c:pt>
                <c:pt idx="4">
                  <c:v>46143</c:v>
                </c:pt>
                <c:pt idx="5">
                  <c:v>46174</c:v>
                </c:pt>
                <c:pt idx="6">
                  <c:v>46204</c:v>
                </c:pt>
                <c:pt idx="7">
                  <c:v>46235</c:v>
                </c:pt>
              </c:numCache>
            </c:numRef>
          </c:cat>
          <c:val>
            <c:numRef>
              <c:f>Dashboard!$B$50:$B$57</c:f>
              <c:numCache>
                <c:formatCode>General</c:formatCode>
                <c:ptCount val="8"/>
                <c:pt idx="0">
                  <c:v>4</c:v>
                </c:pt>
                <c:pt idx="1">
                  <c:v>7</c:v>
                </c:pt>
                <c:pt idx="2">
                  <c:v>11</c:v>
                </c:pt>
                <c:pt idx="3">
                  <c:v>11</c:v>
                </c:pt>
                <c:pt idx="4">
                  <c:v>17</c:v>
                </c:pt>
                <c:pt idx="5">
                  <c:v>8</c:v>
                </c:pt>
                <c:pt idx="6">
                  <c:v>3</c:v>
                </c:pt>
                <c:pt idx="7">
                  <c:v>12</c:v>
                </c:pt>
              </c:numCache>
            </c:numRef>
          </c:val>
          <c:smooth val="0"/>
          <c:extLst>
            <c:ext xmlns:c16="http://schemas.microsoft.com/office/drawing/2014/chart" uri="{C3380CC4-5D6E-409C-BE32-E72D297353CC}">
              <c16:uniqueId val="{00000000-B2F5-445D-8FD2-A470F878FB1C}"/>
            </c:ext>
          </c:extLst>
        </c:ser>
        <c:ser>
          <c:idx val="1"/>
          <c:order val="1"/>
          <c:tx>
            <c:v>Inquiries</c:v>
          </c:tx>
          <c:spPr>
            <a:ln w="28575" cap="rnd">
              <a:solidFill>
                <a:srgbClr val="9FB7CF"/>
              </a:solidFill>
              <a:prstDash val="solid"/>
              <a:round/>
            </a:ln>
            <a:effectLst/>
          </c:spPr>
          <c:marker>
            <c:symbol val="circle"/>
            <c:size val="5"/>
            <c:spPr>
              <a:solidFill>
                <a:schemeClr val="accent2"/>
              </a:solidFill>
              <a:ln w="9525">
                <a:solidFill>
                  <a:schemeClr val="accent2"/>
                </a:solidFill>
              </a:ln>
              <a:effectLst/>
            </c:spPr>
          </c:marker>
          <c:cat>
            <c:numRef>
              <c:f>Dashboard!$A$50:$A$57</c:f>
              <c:numCache>
                <c:formatCode>mmm\ yyyy</c:formatCode>
                <c:ptCount val="8"/>
                <c:pt idx="0">
                  <c:v>46023</c:v>
                </c:pt>
                <c:pt idx="1">
                  <c:v>46054</c:v>
                </c:pt>
                <c:pt idx="2">
                  <c:v>46082</c:v>
                </c:pt>
                <c:pt idx="3">
                  <c:v>46113</c:v>
                </c:pt>
                <c:pt idx="4">
                  <c:v>46143</c:v>
                </c:pt>
                <c:pt idx="5">
                  <c:v>46174</c:v>
                </c:pt>
                <c:pt idx="6">
                  <c:v>46204</c:v>
                </c:pt>
                <c:pt idx="7">
                  <c:v>46235</c:v>
                </c:pt>
              </c:numCache>
            </c:numRef>
          </c:cat>
          <c:val>
            <c:numRef>
              <c:f>Dashboard!$C$50:$C$57</c:f>
              <c:numCache>
                <c:formatCode>General</c:formatCode>
                <c:ptCount val="8"/>
                <c:pt idx="0">
                  <c:v>0</c:v>
                </c:pt>
                <c:pt idx="1">
                  <c:v>0</c:v>
                </c:pt>
                <c:pt idx="2">
                  <c:v>1</c:v>
                </c:pt>
                <c:pt idx="3">
                  <c:v>1</c:v>
                </c:pt>
                <c:pt idx="4">
                  <c:v>1</c:v>
                </c:pt>
                <c:pt idx="5">
                  <c:v>3</c:v>
                </c:pt>
                <c:pt idx="6">
                  <c:v>1</c:v>
                </c:pt>
                <c:pt idx="7">
                  <c:v>0</c:v>
                </c:pt>
              </c:numCache>
            </c:numRef>
          </c:val>
          <c:smooth val="0"/>
          <c:extLst>
            <c:ext xmlns:c16="http://schemas.microsoft.com/office/drawing/2014/chart" uri="{C3380CC4-5D6E-409C-BE32-E72D297353CC}">
              <c16:uniqueId val="{00000002-B2F5-445D-8FD2-A470F878FB1C}"/>
            </c:ext>
          </c:extLst>
        </c:ser>
        <c:dLbls>
          <c:showLegendKey val="0"/>
          <c:showVal val="0"/>
          <c:showCatName val="0"/>
          <c:showSerName val="0"/>
          <c:showPercent val="0"/>
          <c:showBubbleSize val="0"/>
        </c:dLbls>
        <c:marker val="1"/>
        <c:smooth val="0"/>
        <c:axId val="157746696"/>
        <c:axId val="157760520"/>
      </c:lineChart>
      <c:dateAx>
        <c:axId val="157746696"/>
        <c:scaling>
          <c:orientation val="minMax"/>
        </c:scaling>
        <c:delete val="0"/>
        <c:axPos val="b"/>
        <c:numFmt formatCode="mmm\ 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57760520"/>
        <c:crosses val="autoZero"/>
        <c:auto val="0"/>
        <c:lblOffset val="100"/>
        <c:baseTimeUnit val="months"/>
      </c:dateAx>
      <c:valAx>
        <c:axId val="157760520"/>
        <c:scaling>
          <c:orientation val="minMax"/>
          <c:min val="0"/>
        </c:scaling>
        <c:delete val="0"/>
        <c:axPos val="l"/>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57746696"/>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F6B7A"/>
              </a:solidFill>
              <a:latin typeface="Aptos"/>
              <a:ea typeface="Aptos"/>
              <a:cs typeface="Apto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Dashboard!$J$49</c:f>
              <c:strCache>
                <c:ptCount val="1"/>
                <c:pt idx="0">
                  <c:v>Complaints</c:v>
                </c:pt>
              </c:strCache>
            </c:strRef>
          </c:tx>
          <c:spPr>
            <a:solidFill>
              <a:srgbClr val="4C78A8"/>
            </a:solidFill>
            <a:ln>
              <a:solidFill>
                <a:srgbClr val="4C78A8"/>
              </a:solidFill>
              <a:prstDash val="solid"/>
            </a:ln>
            <a:effectLst/>
          </c:spPr>
          <c:invertIfNegative val="0"/>
          <c:dPt>
            <c:idx val="0"/>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1-C1F1-4137-9B20-2701C2AD4E67}"/>
              </c:ext>
            </c:extLst>
          </c:dPt>
          <c:dPt>
            <c:idx val="1"/>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3-C1F1-4137-9B20-2701C2AD4E67}"/>
              </c:ext>
            </c:extLst>
          </c:dPt>
          <c:dPt>
            <c:idx val="2"/>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5-C1F1-4137-9B20-2701C2AD4E67}"/>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Dashboard!$I$50:$I$52</c:f>
              <c:strCache>
                <c:ptCount val="3"/>
                <c:pt idx="0">
                  <c:v>Fixed</c:v>
                </c:pt>
                <c:pt idx="1">
                  <c:v>RCA Shared</c:v>
                </c:pt>
                <c:pt idx="2">
                  <c:v>Clarification Provided</c:v>
                </c:pt>
              </c:strCache>
            </c:strRef>
          </c:cat>
          <c:val>
            <c:numRef>
              <c:f>Dashboard!$J$50:$J$52</c:f>
              <c:numCache>
                <c:formatCode>General</c:formatCode>
                <c:ptCount val="3"/>
                <c:pt idx="0">
                  <c:v>38</c:v>
                </c:pt>
                <c:pt idx="1">
                  <c:v>18</c:v>
                </c:pt>
                <c:pt idx="2">
                  <c:v>17</c:v>
                </c:pt>
              </c:numCache>
            </c:numRef>
          </c:val>
          <c:extLst>
            <c:ext xmlns:c16="http://schemas.microsoft.com/office/drawing/2014/chart" uri="{C3380CC4-5D6E-409C-BE32-E72D297353CC}">
              <c16:uniqueId val="{00000009-2BBA-4AF8-9C36-906C81E4DD34}"/>
            </c:ext>
          </c:extLst>
        </c:ser>
        <c:dLbls>
          <c:showLegendKey val="0"/>
          <c:showVal val="0"/>
          <c:showCatName val="0"/>
          <c:showSerName val="0"/>
          <c:showPercent val="0"/>
          <c:showBubbleSize val="0"/>
        </c:dLbls>
        <c:gapWidth val="182"/>
        <c:axId val="161083400"/>
        <c:axId val="161085960"/>
      </c:barChart>
      <c:catAx>
        <c:axId val="16108340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61085960"/>
        <c:crosses val="autoZero"/>
        <c:auto val="1"/>
        <c:lblAlgn val="ctr"/>
        <c:lblOffset val="100"/>
        <c:noMultiLvlLbl val="0"/>
      </c:catAx>
      <c:valAx>
        <c:axId val="161085960"/>
        <c:scaling>
          <c:orientation val="minMax"/>
          <c:min val="0"/>
        </c:scaling>
        <c:delete val="0"/>
        <c:axPos val="t"/>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61083400"/>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Records</c:v>
          </c:tx>
          <c:spPr>
            <a:solidFill>
              <a:srgbClr val="4C78A8"/>
            </a:solidFill>
            <a:ln>
              <a:solidFill>
                <a:srgbClr val="4C78A8"/>
              </a:solidFill>
              <a:prstDash val="solid"/>
            </a:ln>
            <a:effectLst/>
          </c:spPr>
          <c:invertIfNegative val="0"/>
          <c:dPt>
            <c:idx val="0"/>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1-1574-4E1A-A51A-08D4957D24FE}"/>
              </c:ext>
            </c:extLst>
          </c:dPt>
          <c:dPt>
            <c:idx val="1"/>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2-1574-4E1A-A51A-08D4957D24FE}"/>
              </c:ext>
            </c:extLst>
          </c:dPt>
          <c:dPt>
            <c:idx val="2"/>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3-1574-4E1A-A51A-08D4957D24FE}"/>
              </c:ext>
            </c:extLst>
          </c:dPt>
          <c:dPt>
            <c:idx val="3"/>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4-1574-4E1A-A51A-08D4957D24FE}"/>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Dashboard!$M$50:$M$53</c:f>
              <c:strCache>
                <c:ptCount val="4"/>
                <c:pt idx="0">
                  <c:v>Critical</c:v>
                </c:pt>
                <c:pt idx="1">
                  <c:v>High</c:v>
                </c:pt>
                <c:pt idx="2">
                  <c:v>Medium</c:v>
                </c:pt>
                <c:pt idx="3">
                  <c:v>Low</c:v>
                </c:pt>
              </c:strCache>
            </c:strRef>
          </c:cat>
          <c:val>
            <c:numRef>
              <c:f>Dashboard!$N$50:$N$53</c:f>
              <c:numCache>
                <c:formatCode>General</c:formatCode>
                <c:ptCount val="4"/>
                <c:pt idx="0">
                  <c:v>0</c:v>
                </c:pt>
                <c:pt idx="1">
                  <c:v>2</c:v>
                </c:pt>
                <c:pt idx="2">
                  <c:v>75</c:v>
                </c:pt>
                <c:pt idx="3">
                  <c:v>3</c:v>
                </c:pt>
              </c:numCache>
            </c:numRef>
          </c:val>
          <c:extLst>
            <c:ext xmlns:c16="http://schemas.microsoft.com/office/drawing/2014/chart" uri="{C3380CC4-5D6E-409C-BE32-E72D297353CC}">
              <c16:uniqueId val="{00000000-574F-43CB-BBC1-1DE1091032D8}"/>
            </c:ext>
          </c:extLst>
        </c:ser>
        <c:dLbls>
          <c:showLegendKey val="0"/>
          <c:showVal val="0"/>
          <c:showCatName val="0"/>
          <c:showSerName val="0"/>
          <c:showPercent val="0"/>
          <c:showBubbleSize val="0"/>
        </c:dLbls>
        <c:gapWidth val="219"/>
        <c:overlap val="-27"/>
        <c:axId val="1888135687"/>
        <c:axId val="1888506887"/>
      </c:barChart>
      <c:catAx>
        <c:axId val="1888135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888506887"/>
        <c:crosses val="autoZero"/>
        <c:auto val="1"/>
        <c:lblAlgn val="ctr"/>
        <c:lblOffset val="100"/>
        <c:noMultiLvlLbl val="0"/>
      </c:catAx>
      <c:valAx>
        <c:axId val="1888506887"/>
        <c:scaling>
          <c:orientation val="minMax"/>
          <c:min val="0"/>
        </c:scaling>
        <c:delete val="0"/>
        <c:axPos val="l"/>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88813568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Complaints</c:v>
          </c:tx>
          <c:spPr>
            <a:solidFill>
              <a:srgbClr val="4C78A8"/>
            </a:solidFill>
            <a:ln>
              <a:solidFill>
                <a:srgbClr val="4C78A8"/>
              </a:solidFill>
              <a:prstDash val="solid"/>
            </a:ln>
            <a:effectLst/>
          </c:spPr>
          <c:invertIfNegative val="0"/>
          <c:dPt>
            <c:idx val="0"/>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1-45F9-410B-B7BD-8B1935FCCDBC}"/>
              </c:ext>
            </c:extLst>
          </c:dPt>
          <c:dPt>
            <c:idx val="1"/>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2-45F9-410B-B7BD-8B1935FCCDBC}"/>
              </c:ext>
            </c:extLst>
          </c:dPt>
          <c:dPt>
            <c:idx val="2"/>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3-45F9-410B-B7BD-8B1935FCCDBC}"/>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Dashboard!$E$50:$E$52</c:f>
              <c:strCache>
                <c:ptCount val="3"/>
                <c:pt idx="0">
                  <c:v>Product</c:v>
                </c:pt>
                <c:pt idx="1">
                  <c:v>People</c:v>
                </c:pt>
                <c:pt idx="2">
                  <c:v>Process</c:v>
                </c:pt>
              </c:strCache>
            </c:strRef>
          </c:cat>
          <c:val>
            <c:numRef>
              <c:f>Dashboard!$F$50:$F$52</c:f>
              <c:numCache>
                <c:formatCode>General</c:formatCode>
                <c:ptCount val="3"/>
                <c:pt idx="0">
                  <c:v>38</c:v>
                </c:pt>
                <c:pt idx="1">
                  <c:v>28</c:v>
                </c:pt>
                <c:pt idx="2">
                  <c:v>7</c:v>
                </c:pt>
              </c:numCache>
            </c:numRef>
          </c:val>
          <c:extLst>
            <c:ext xmlns:c16="http://schemas.microsoft.com/office/drawing/2014/chart" uri="{C3380CC4-5D6E-409C-BE32-E72D297353CC}">
              <c16:uniqueId val="{00000000-FF8B-4AF9-87B3-9F9B62083707}"/>
            </c:ext>
          </c:extLst>
        </c:ser>
        <c:dLbls>
          <c:showLegendKey val="0"/>
          <c:showVal val="0"/>
          <c:showCatName val="0"/>
          <c:showSerName val="0"/>
          <c:showPercent val="0"/>
          <c:showBubbleSize val="0"/>
        </c:dLbls>
        <c:gapWidth val="219"/>
        <c:overlap val="-27"/>
        <c:axId val="115883015"/>
        <c:axId val="115885063"/>
      </c:barChart>
      <c:catAx>
        <c:axId val="115883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15885063"/>
        <c:crosses val="autoZero"/>
        <c:auto val="1"/>
        <c:lblAlgn val="ctr"/>
        <c:lblOffset val="100"/>
        <c:noMultiLvlLbl val="0"/>
      </c:catAx>
      <c:valAx>
        <c:axId val="115885063"/>
        <c:scaling>
          <c:orientation val="minMax"/>
          <c:min val="0"/>
        </c:scaling>
        <c:delete val="0"/>
        <c:axPos val="l"/>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158830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Complaints</c:v>
          </c:tx>
          <c:spPr>
            <a:solidFill>
              <a:srgbClr val="4C78A8"/>
            </a:solidFill>
            <a:ln>
              <a:solidFill>
                <a:srgbClr val="4C78A8"/>
              </a:solidFill>
              <a:prstDash val="solid"/>
            </a:ln>
            <a:effectLst/>
          </c:spPr>
          <c:invertIfNegative val="0"/>
          <c:dPt>
            <c:idx val="0"/>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1-DE85-48A4-9287-C3B3E2D7AA58}"/>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Dashboard!$A$64:$A$74</c:f>
              <c:strCache>
                <c:ptCount val="11"/>
                <c:pt idx="0">
                  <c:v>Ford</c:v>
                </c:pt>
                <c:pt idx="1">
                  <c:v>Eaton</c:v>
                </c:pt>
                <c:pt idx="2">
                  <c:v>Caterpillar</c:v>
                </c:pt>
                <c:pt idx="3">
                  <c:v>Collins Aerospace</c:v>
                </c:pt>
                <c:pt idx="4">
                  <c:v>GM</c:v>
                </c:pt>
                <c:pt idx="5">
                  <c:v>Merck</c:v>
                </c:pt>
                <c:pt idx="6">
                  <c:v>Schneider Electric</c:v>
                </c:pt>
                <c:pt idx="7">
                  <c:v>UVM Health Network</c:v>
                </c:pt>
                <c:pt idx="8">
                  <c:v>Bombardier</c:v>
                </c:pt>
                <c:pt idx="9">
                  <c:v>Fedrigoni Group</c:v>
                </c:pt>
                <c:pt idx="10">
                  <c:v>Other customers</c:v>
                </c:pt>
              </c:strCache>
            </c:strRef>
          </c:cat>
          <c:val>
            <c:numRef>
              <c:f>Dashboard!$B$64:$B$74</c:f>
              <c:numCache>
                <c:formatCode>General</c:formatCode>
                <c:ptCount val="11"/>
                <c:pt idx="0">
                  <c:v>32</c:v>
                </c:pt>
                <c:pt idx="1">
                  <c:v>10</c:v>
                </c:pt>
                <c:pt idx="2">
                  <c:v>6</c:v>
                </c:pt>
                <c:pt idx="3">
                  <c:v>4</c:v>
                </c:pt>
                <c:pt idx="4">
                  <c:v>2</c:v>
                </c:pt>
                <c:pt idx="5">
                  <c:v>2</c:v>
                </c:pt>
                <c:pt idx="6">
                  <c:v>2</c:v>
                </c:pt>
                <c:pt idx="7">
                  <c:v>2</c:v>
                </c:pt>
                <c:pt idx="8">
                  <c:v>1</c:v>
                </c:pt>
                <c:pt idx="9">
                  <c:v>1</c:v>
                </c:pt>
                <c:pt idx="10">
                  <c:v>11</c:v>
                </c:pt>
              </c:numCache>
            </c:numRef>
          </c:val>
          <c:extLst>
            <c:ext xmlns:c16="http://schemas.microsoft.com/office/drawing/2014/chart" uri="{C3380CC4-5D6E-409C-BE32-E72D297353CC}">
              <c16:uniqueId val="{00000000-7D7F-4FE4-ABF2-316690CB8AC2}"/>
            </c:ext>
          </c:extLst>
        </c:ser>
        <c:dLbls>
          <c:showLegendKey val="0"/>
          <c:showVal val="0"/>
          <c:showCatName val="0"/>
          <c:showSerName val="0"/>
          <c:showPercent val="0"/>
          <c:showBubbleSize val="0"/>
        </c:dLbls>
        <c:gapWidth val="182"/>
        <c:axId val="134630407"/>
        <c:axId val="134640647"/>
      </c:barChart>
      <c:catAx>
        <c:axId val="134630407"/>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34640647"/>
        <c:crosses val="autoZero"/>
        <c:auto val="1"/>
        <c:lblAlgn val="ctr"/>
        <c:lblOffset val="100"/>
        <c:noMultiLvlLbl val="0"/>
      </c:catAx>
      <c:valAx>
        <c:axId val="134640647"/>
        <c:scaling>
          <c:orientation val="minMax"/>
          <c:min val="0"/>
        </c:scaling>
        <c:delete val="0"/>
        <c:axPos val="t"/>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3463040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v>Complaints</c:v>
          </c:tx>
          <c:spPr>
            <a:solidFill>
              <a:srgbClr val="4C78A8"/>
            </a:solidFill>
            <a:ln>
              <a:solidFill>
                <a:srgbClr val="4C78A8"/>
              </a:solidFill>
              <a:prstDash val="solid"/>
            </a:ln>
            <a:effectLst/>
          </c:spPr>
          <c:invertIfNegative val="0"/>
          <c:dPt>
            <c:idx val="0"/>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1-3492-44A2-8D89-4EB3E95B35FD}"/>
              </c:ext>
            </c:extLst>
          </c:dPt>
          <c:dPt>
            <c:idx val="1"/>
            <c:invertIfNegative val="0"/>
            <c:bubble3D val="0"/>
            <c:spPr>
              <a:solidFill>
                <a:srgbClr val="4C78A8"/>
              </a:solidFill>
              <a:ln>
                <a:solidFill>
                  <a:srgbClr val="4C78A8"/>
                </a:solidFill>
                <a:prstDash val="solid"/>
              </a:ln>
              <a:effectLst/>
            </c:spPr>
            <c:extLst>
              <c:ext xmlns:c16="http://schemas.microsoft.com/office/drawing/2014/chart" uri="{C3380CC4-5D6E-409C-BE32-E72D297353CC}">
                <c16:uniqueId val="{00000002-3492-44A2-8D89-4EB3E95B35FD}"/>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Dashboard!$E$64:$E$72</c:f>
              <c:strCache>
                <c:ptCount val="9"/>
                <c:pt idx="0">
                  <c:v>WarRoom &amp; Decision Validation</c:v>
                </c:pt>
                <c:pt idx="1">
                  <c:v>Dynamic Source Discovery</c:v>
                </c:pt>
                <c:pt idx="2">
                  <c:v>Multilingual Keyword Expansion</c:v>
                </c:pt>
                <c:pt idx="3">
                  <c:v>Other Control Automation</c:v>
                </c:pt>
                <c:pt idx="4">
                  <c:v>Entity &amp; Supplier Resolution</c:v>
                </c:pt>
                <c:pt idx="5">
                  <c:v>AI-Assisted Geofencing</c:v>
                </c:pt>
                <c:pt idx="6">
                  <c:v>Cluster Integrity &amp; Duplicate Prevention</c:v>
                </c:pt>
                <c:pt idx="7">
                  <c:v>Automated Industry Tagging</c:v>
                </c:pt>
                <c:pt idx="8">
                  <c:v>Notification Visibility Monitoring</c:v>
                </c:pt>
              </c:strCache>
            </c:strRef>
          </c:cat>
          <c:val>
            <c:numRef>
              <c:f>Dashboard!$F$64:$F$72</c:f>
              <c:numCache>
                <c:formatCode>General</c:formatCode>
                <c:ptCount val="9"/>
                <c:pt idx="0">
                  <c:v>22</c:v>
                </c:pt>
                <c:pt idx="1">
                  <c:v>26</c:v>
                </c:pt>
                <c:pt idx="2">
                  <c:v>3</c:v>
                </c:pt>
                <c:pt idx="3">
                  <c:v>6</c:v>
                </c:pt>
                <c:pt idx="4">
                  <c:v>5</c:v>
                </c:pt>
                <c:pt idx="5">
                  <c:v>4</c:v>
                </c:pt>
                <c:pt idx="6">
                  <c:v>2</c:v>
                </c:pt>
                <c:pt idx="7">
                  <c:v>2</c:v>
                </c:pt>
                <c:pt idx="8">
                  <c:v>3</c:v>
                </c:pt>
              </c:numCache>
            </c:numRef>
          </c:val>
          <c:extLst>
            <c:ext xmlns:c16="http://schemas.microsoft.com/office/drawing/2014/chart" uri="{C3380CC4-5D6E-409C-BE32-E72D297353CC}">
              <c16:uniqueId val="{00000000-7EC7-47AB-AC85-6307283E06CC}"/>
            </c:ext>
          </c:extLst>
        </c:ser>
        <c:dLbls>
          <c:showLegendKey val="0"/>
          <c:showVal val="0"/>
          <c:showCatName val="0"/>
          <c:showSerName val="0"/>
          <c:showPercent val="0"/>
          <c:showBubbleSize val="0"/>
        </c:dLbls>
        <c:gapWidth val="182"/>
        <c:axId val="135034887"/>
        <c:axId val="135041031"/>
      </c:barChart>
      <c:catAx>
        <c:axId val="135034887"/>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4495E"/>
                </a:solidFill>
                <a:latin typeface="Aptos"/>
                <a:ea typeface="Aptos"/>
                <a:cs typeface="Aptos"/>
              </a:defRPr>
            </a:pPr>
            <a:endParaRPr lang="en-US"/>
          </a:p>
        </c:txPr>
        <c:crossAx val="135041031"/>
        <c:crosses val="autoZero"/>
        <c:auto val="1"/>
        <c:lblAlgn val="ctr"/>
        <c:lblOffset val="100"/>
        <c:noMultiLvlLbl val="0"/>
      </c:catAx>
      <c:valAx>
        <c:axId val="135041031"/>
        <c:scaling>
          <c:orientation val="minMax"/>
          <c:min val="0"/>
        </c:scaling>
        <c:delete val="0"/>
        <c:axPos val="t"/>
        <c:majorGridlines>
          <c:spPr>
            <a:ln w="9525" cap="flat" cmpd="sng" algn="ctr">
              <a:solidFill>
                <a:srgbClr val="E6EBF1"/>
              </a:solidFill>
              <a:prstDash val="solid"/>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637083"/>
                </a:solidFill>
                <a:latin typeface="Aptos"/>
                <a:ea typeface="Aptos"/>
                <a:cs typeface="Aptos"/>
              </a:defRPr>
            </a:pPr>
            <a:endParaRPr lang="en-US"/>
          </a:p>
        </c:txPr>
        <c:crossAx val="13503488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0</xdr:rowOff>
    </xdr:from>
    <xdr:to>
      <xdr:col>6</xdr:col>
      <xdr:colOff>0</xdr:colOff>
      <xdr:row>25</xdr:row>
      <xdr:rowOff>0</xdr:rowOff>
    </xdr:to>
    <xdr:graphicFrame macro="">
      <xdr:nvGraphicFramePr>
        <xdr:cNvPr id="3" name="Chart 01 Monthly Trend">
          <a:extLst>
            <a:ext uri="{FF2B5EF4-FFF2-40B4-BE49-F238E27FC236}">
              <a16:creationId xmlns:a16="http://schemas.microsoft.com/office/drawing/2014/main" id="{9302FF0D-3E5D-C5ED-A813-03AAFEB34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9</xdr:row>
      <xdr:rowOff>0</xdr:rowOff>
    </xdr:from>
    <xdr:to>
      <xdr:col>12</xdr:col>
      <xdr:colOff>0</xdr:colOff>
      <xdr:row>25</xdr:row>
      <xdr:rowOff>0</xdr:rowOff>
    </xdr:to>
    <xdr:graphicFrame macro="">
      <xdr:nvGraphicFramePr>
        <xdr:cNvPr id="4" name="Chart 02 Fix Status">
          <a:extLst>
            <a:ext uri="{FF2B5EF4-FFF2-40B4-BE49-F238E27FC236}">
              <a16:creationId xmlns:a16="http://schemas.microsoft.com/office/drawing/2014/main" id="{77AF13A9-8A5D-314E-D860-D36E1FB1CAE1}"/>
            </a:ext>
            <a:ext uri="{147F2762-F138-4A5C-976F-8EAC2B608ADB}">
              <a16:predDERef xmlns:a16="http://schemas.microsoft.com/office/drawing/2014/main" pred="{9302FF0D-3E5D-C5ED-A813-03AAFEB34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0</xdr:colOff>
      <xdr:row>9</xdr:row>
      <xdr:rowOff>0</xdr:rowOff>
    </xdr:from>
    <xdr:to>
      <xdr:col>18</xdr:col>
      <xdr:colOff>0</xdr:colOff>
      <xdr:row>25</xdr:row>
      <xdr:rowOff>0</xdr:rowOff>
    </xdr:to>
    <xdr:graphicFrame macro="">
      <xdr:nvGraphicFramePr>
        <xdr:cNvPr id="5" name="Chart 03 Severity Profile">
          <a:extLst>
            <a:ext uri="{FF2B5EF4-FFF2-40B4-BE49-F238E27FC236}">
              <a16:creationId xmlns:a16="http://schemas.microsoft.com/office/drawing/2014/main" id="{B8A2CD1C-F049-E044-1844-21D17750AA85}"/>
            </a:ext>
            <a:ext uri="{147F2762-F138-4A5C-976F-8EAC2B608ADB}">
              <a16:predDERef xmlns:a16="http://schemas.microsoft.com/office/drawing/2014/main" pred="{77AF13A9-8A5D-314E-D860-D36E1FB1CA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27</xdr:row>
      <xdr:rowOff>0</xdr:rowOff>
    </xdr:from>
    <xdr:to>
      <xdr:col>6</xdr:col>
      <xdr:colOff>0</xdr:colOff>
      <xdr:row>43</xdr:row>
      <xdr:rowOff>0</xdr:rowOff>
    </xdr:to>
    <xdr:graphicFrame macro="">
      <xdr:nvGraphicFramePr>
        <xdr:cNvPr id="6" name="Chart 04 Root Cause Mix">
          <a:extLst>
            <a:ext uri="{FF2B5EF4-FFF2-40B4-BE49-F238E27FC236}">
              <a16:creationId xmlns:a16="http://schemas.microsoft.com/office/drawing/2014/main" id="{DF08D92D-CA7F-57DE-0BE2-F8EA8008A691}"/>
            </a:ext>
            <a:ext uri="{147F2762-F138-4A5C-976F-8EAC2B608ADB}">
              <a16:predDERef xmlns:a16="http://schemas.microsoft.com/office/drawing/2014/main" pred="{B8A2CD1C-F049-E044-1844-21D17750A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27</xdr:row>
      <xdr:rowOff>0</xdr:rowOff>
    </xdr:from>
    <xdr:to>
      <xdr:col>12</xdr:col>
      <xdr:colOff>0</xdr:colOff>
      <xdr:row>43</xdr:row>
      <xdr:rowOff>0</xdr:rowOff>
    </xdr:to>
    <xdr:graphicFrame macro="">
      <xdr:nvGraphicFramePr>
        <xdr:cNvPr id="7" name="Chart 05 Top Customers">
          <a:extLst>
            <a:ext uri="{FF2B5EF4-FFF2-40B4-BE49-F238E27FC236}">
              <a16:creationId xmlns:a16="http://schemas.microsoft.com/office/drawing/2014/main" id="{70FD3C60-498C-2768-C238-474863BD33D6}"/>
            </a:ext>
            <a:ext uri="{147F2762-F138-4A5C-976F-8EAC2B608ADB}">
              <a16:predDERef xmlns:a16="http://schemas.microsoft.com/office/drawing/2014/main" pred="{DF08D92D-CA7F-57DE-0BE2-F8EA8008A6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0</xdr:colOff>
      <xdr:row>27</xdr:row>
      <xdr:rowOff>0</xdr:rowOff>
    </xdr:from>
    <xdr:to>
      <xdr:col>18</xdr:col>
      <xdr:colOff>0</xdr:colOff>
      <xdr:row>43</xdr:row>
      <xdr:rowOff>0</xdr:rowOff>
    </xdr:to>
    <xdr:graphicFrame macro="">
      <xdr:nvGraphicFramePr>
        <xdr:cNvPr id="8" name="Chart 06 Automation Focus">
          <a:extLst>
            <a:ext uri="{FF2B5EF4-FFF2-40B4-BE49-F238E27FC236}">
              <a16:creationId xmlns:a16="http://schemas.microsoft.com/office/drawing/2014/main" id="{FFAE96BD-1916-11D3-95D3-39D2EBAF0256}"/>
            </a:ext>
            <a:ext uri="{147F2762-F138-4A5C-976F-8EAC2B608ADB}">
              <a16:predDERef xmlns:a16="http://schemas.microsoft.com/office/drawing/2014/main" pred="{70FD3C60-498C-2768-C238-474863BD33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F60D9D-919F-43C5-B772-DCF51DA4147B}" name="ComplaintTracker" displayName="ComplaintTracker" ref="A1:V81" totalsRowShown="0" headerRowDxfId="30" dataDxfId="29">
  <autoFilter ref="A1:V81" xr:uid="{E5F60D9D-919F-43C5-B772-DCF51DA4147B}"/>
  <tableColumns count="22">
    <tableColumn id="1" xr3:uid="{2331C347-94CF-4DDF-B448-B53D6226964A}" name="Month" dataDxfId="28">
      <calculatedColumnFormula>DATE(YEAR(B2),MONTH(B2),1)</calculatedColumnFormula>
    </tableColumn>
    <tableColumn id="2" xr3:uid="{8033C2DF-290A-4705-A658-2A9BBAE09D0B}" name="Email/JIRA Date" dataDxfId="27"/>
    <tableColumn id="3" xr3:uid="{CCFB0475-01D6-4077-BA3B-FA43254D9BB8}" name="Event type" dataDxfId="26"/>
    <tableColumn id="4" xr3:uid="{7819F6BD-7C89-4462-BA7F-FB814706ECE2}" name="Customer" dataDxfId="25"/>
    <tableColumn id="5" xr3:uid="{39613209-DE10-4B62-87DC-A74D1F128E65}" name="Number of Customers" dataDxfId="24"/>
    <tableColumn id="6" xr3:uid="{A4DD464C-BF60-457E-BF99-ECCE3917F36C}" name="Event/Bulletin Title" dataDxfId="23"/>
    <tableColumn id="7" xr3:uid="{54115352-1164-46C1-B84F-94EB57C0AD1B}" name="Issue Type" dataDxfId="22"/>
    <tableColumn id="8" xr3:uid="{E3189149-3A3F-4FF4-9A64-72281E504557}" name="Reason" dataDxfId="21"/>
    <tableColumn id="9" xr3:uid="{F5B9E8D1-7751-44CF-B774-E2A3E8B541BF}" name="Root Cause" dataDxfId="20"/>
    <tableColumn id="10" xr3:uid="{3FE1BBB7-F2B1-4349-882D-ED0E61B4A855}" name="Sub-type" dataDxfId="19"/>
    <tableColumn id="11" xr3:uid="{CD18FB76-5D00-4C5B-A476-6D451B31BAA1}" name="Improvement VS Bug" dataDxfId="18"/>
    <tableColumn id="12" xr3:uid="{59D05E3A-5A54-4094-BDA4-B2E9160F6F40}" name="Short Term Fix Status" dataDxfId="17"/>
    <tableColumn id="13" xr3:uid="{0E971B5C-FAFF-476E-9E9C-16686F2C14E3}" name="Automation Opportunity" dataDxfId="16"/>
    <tableColumn id="14" xr3:uid="{97CAE407-8261-41F4-8A00-85EFFC3ED3E4}" name="RCA Requested" dataDxfId="15"/>
    <tableColumn id="15" xr3:uid="{F371B71A-5EEA-4A58-ABA7-9E8882A9B3DC}" name="Comments" dataDxfId="14"/>
    <tableColumn id="16" xr3:uid="{1A66882F-AF0F-42E5-A440-09EFBCF8958E}" name="Delay" dataDxfId="13"/>
    <tableColumn id="17" xr3:uid="{BA13B15C-7E5C-476C-974C-8BFD25F35AC2}"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xr3:uid="{A0092FC1-0C46-4FC3-8B6B-E027C4C955EF}" name="Month_Sort" dataDxfId="11">
      <calculatedColumnFormula>MONTH(B2)</calculatedColumnFormula>
    </tableColumn>
    <tableColumn id="19" xr3:uid="{EB2A62B9-DFDB-4B24-96B1-719E75A87A60}" name="Delay (Hours)" dataDxfId="10"/>
    <tableColumn id="20" xr3:uid="{7C0E7FA9-699B-4851-8FB5-ED0362637891}" name="Reporting Month" dataDxfId="9">
      <calculatedColumnFormula>DATE(2026,R2,1)</calculatedColumnFormula>
    </tableColumn>
    <tableColumn id="21" xr3:uid="{E5D4D726-106F-4A45-9681-21C62352ACAA}" name="Severity" dataDxfId="8">
      <calculatedColumnFormula>IF(OR(S2&gt;=168,L2="Under Investigation"),"Critical",IF(S2&gt;=24,"High",IF(OR(Q2="Yes",I2="People"),"Medium","Low")))</calculatedColumnFormula>
    </tableColumn>
    <tableColumn id="22" xr3:uid="{F580CE88-5805-49A3-808E-0CFC90A117D3}"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52DEC8-39C4-4CE1-8B8C-F549CF8A3FA0}" name="DefinitionsTable" displayName="DefinitionsTable" ref="A3:E136" totalsRowShown="0" headerRowDxfId="6" dataDxfId="5">
  <autoFilter ref="A3:E136" xr:uid="{0452DEC8-39C4-4CE1-8B8C-F549CF8A3FA0}"/>
  <tableColumns count="5">
    <tableColumn id="1" xr3:uid="{94CE09C6-0232-491D-BF36-0B7AE2F57434}" name="Section" dataDxfId="4"/>
    <tableColumn id="2" xr3:uid="{7C60148D-C264-49C0-A2D9-8B4265BD9BF2}" name="Term / Field" dataDxfId="3"/>
    <tableColumn id="3" xr3:uid="{E2C874BD-C055-41A7-979A-B4E408682B2F}" name="Definition" dataDxfId="2"/>
    <tableColumn id="4" xr3:uid="{5E0BD359-0EFE-4089-91D4-B6870EFDD215}" name="Allowed values / interpretation" dataDxfId="1"/>
    <tableColumn id="5" xr3:uid="{4F195104-239F-40FD-96E7-7F6FE7BD5EF8}"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1"/>
  <sheetViews>
    <sheetView showGridLines="0" tabSelected="1" workbookViewId="0">
      <pane ySplit="1" topLeftCell="A52" activePane="bottomLeft" state="frozen"/>
      <selection pane="bottomLeft" activeCell="C60" sqref="C60"/>
    </sheetView>
  </sheetViews>
  <sheetFormatPr defaultRowHeight="15"/>
  <cols>
    <col min="1" max="1" width="13.7109375" style="1" customWidth="1"/>
    <col min="2" max="2" width="16" style="2" customWidth="1"/>
    <col min="3" max="5" width="19" style="30" customWidth="1"/>
    <col min="6" max="6" width="41.85546875" style="30" customWidth="1"/>
    <col min="7" max="14" width="22.85546875" style="30" customWidth="1"/>
    <col min="15" max="15" width="49.5703125" style="30" customWidth="1"/>
    <col min="16" max="21" width="21.85546875" style="30" customWidth="1"/>
    <col min="22" max="22" width="36.140625" style="30" customWidth="1"/>
  </cols>
  <sheetData>
    <row r="1" spans="1:22" ht="30" customHeight="1">
      <c r="A1" s="31" t="s">
        <v>0</v>
      </c>
      <c r="B1" s="31" t="s">
        <v>1</v>
      </c>
      <c r="C1" s="31" t="s">
        <v>2</v>
      </c>
      <c r="D1" s="31" t="s">
        <v>3</v>
      </c>
      <c r="E1" s="31" t="s">
        <v>4</v>
      </c>
      <c r="F1" s="31" t="s">
        <v>5</v>
      </c>
      <c r="G1" s="31" t="s">
        <v>6</v>
      </c>
      <c r="H1" s="31" t="s">
        <v>7</v>
      </c>
      <c r="I1" s="31" t="s">
        <v>8</v>
      </c>
      <c r="J1" s="31" t="s">
        <v>9</v>
      </c>
      <c r="K1" s="31" t="s">
        <v>10</v>
      </c>
      <c r="L1" s="31" t="s">
        <v>11</v>
      </c>
      <c r="M1" s="31" t="s">
        <v>12</v>
      </c>
      <c r="N1" s="31" t="s">
        <v>13</v>
      </c>
      <c r="O1" s="31" t="s">
        <v>14</v>
      </c>
      <c r="P1" s="31" t="s">
        <v>15</v>
      </c>
      <c r="Q1" s="32" t="s">
        <v>16</v>
      </c>
      <c r="R1" s="32" t="s">
        <v>17</v>
      </c>
      <c r="S1" s="32" t="s">
        <v>18</v>
      </c>
      <c r="T1" s="32" t="s">
        <v>19</v>
      </c>
      <c r="U1" s="32" t="s">
        <v>20</v>
      </c>
      <c r="V1" s="32" t="s">
        <v>21</v>
      </c>
    </row>
    <row r="2" spans="1:22">
      <c r="A2" s="35">
        <v>46023</v>
      </c>
      <c r="B2" s="37">
        <v>46031</v>
      </c>
      <c r="C2" s="33" t="s">
        <v>22</v>
      </c>
      <c r="D2" s="33" t="s">
        <v>23</v>
      </c>
      <c r="E2" s="39">
        <v>1</v>
      </c>
      <c r="F2" s="33" t="s">
        <v>24</v>
      </c>
      <c r="G2" s="33" t="s">
        <v>25</v>
      </c>
      <c r="H2" s="33" t="s">
        <v>26</v>
      </c>
      <c r="I2" s="33" t="s">
        <v>27</v>
      </c>
      <c r="J2" s="33" t="s">
        <v>28</v>
      </c>
      <c r="K2" s="33" t="s">
        <v>29</v>
      </c>
      <c r="L2" s="33" t="s">
        <v>30</v>
      </c>
      <c r="M2" s="33" t="s">
        <v>31</v>
      </c>
      <c r="N2" s="33" t="s">
        <v>32</v>
      </c>
      <c r="O2" s="33" t="s">
        <v>33</v>
      </c>
      <c r="P2" s="33"/>
      <c r="Q2" s="33" t="s">
        <v>34</v>
      </c>
      <c r="R2" s="39">
        <v>1</v>
      </c>
      <c r="S2" s="39"/>
      <c r="T2" s="35">
        <v>46023</v>
      </c>
      <c r="U2" s="33" t="s">
        <v>35</v>
      </c>
      <c r="V2" s="33" t="s">
        <v>31</v>
      </c>
    </row>
    <row r="3" spans="1:22">
      <c r="A3" s="35">
        <v>46023</v>
      </c>
      <c r="B3" s="37">
        <v>46041</v>
      </c>
      <c r="C3" s="33" t="s">
        <v>36</v>
      </c>
      <c r="D3" s="33" t="s">
        <v>37</v>
      </c>
      <c r="E3" s="39">
        <v>1</v>
      </c>
      <c r="F3" s="33" t="s">
        <v>38</v>
      </c>
      <c r="G3" s="33" t="s">
        <v>25</v>
      </c>
      <c r="H3" s="33" t="s">
        <v>26</v>
      </c>
      <c r="I3" s="33" t="s">
        <v>27</v>
      </c>
      <c r="J3" s="33" t="s">
        <v>39</v>
      </c>
      <c r="K3" s="33" t="s">
        <v>29</v>
      </c>
      <c r="L3" s="33" t="s">
        <v>30</v>
      </c>
      <c r="M3" s="33" t="s">
        <v>31</v>
      </c>
      <c r="N3" s="33" t="s">
        <v>32</v>
      </c>
      <c r="O3" s="33" t="s">
        <v>40</v>
      </c>
      <c r="P3" s="33"/>
      <c r="Q3" s="33" t="s">
        <v>34</v>
      </c>
      <c r="R3" s="39">
        <v>1</v>
      </c>
      <c r="S3" s="39"/>
      <c r="T3" s="35">
        <v>46023</v>
      </c>
      <c r="U3" s="33" t="s">
        <v>35</v>
      </c>
      <c r="V3" s="33" t="s">
        <v>31</v>
      </c>
    </row>
    <row r="4" spans="1:22">
      <c r="A4" s="35">
        <v>46023</v>
      </c>
      <c r="B4" s="37">
        <v>46043</v>
      </c>
      <c r="C4" s="33" t="s">
        <v>41</v>
      </c>
      <c r="D4" s="33" t="s">
        <v>42</v>
      </c>
      <c r="E4" s="39">
        <v>1</v>
      </c>
      <c r="F4" s="33" t="s">
        <v>43</v>
      </c>
      <c r="G4" s="33" t="s">
        <v>25</v>
      </c>
      <c r="H4" s="33" t="s">
        <v>26</v>
      </c>
      <c r="I4" s="33" t="s">
        <v>27</v>
      </c>
      <c r="J4" s="33" t="s">
        <v>44</v>
      </c>
      <c r="K4" s="33" t="s">
        <v>29</v>
      </c>
      <c r="L4" s="33" t="s">
        <v>30</v>
      </c>
      <c r="M4" s="33" t="s">
        <v>45</v>
      </c>
      <c r="N4" s="33" t="s">
        <v>32</v>
      </c>
      <c r="O4" s="33" t="s">
        <v>40</v>
      </c>
      <c r="P4" s="33"/>
      <c r="Q4" s="33" t="s">
        <v>34</v>
      </c>
      <c r="R4" s="39">
        <v>1</v>
      </c>
      <c r="S4" s="39"/>
      <c r="T4" s="35">
        <v>46023</v>
      </c>
      <c r="U4" s="33" t="s">
        <v>35</v>
      </c>
      <c r="V4" s="33" t="s">
        <v>46</v>
      </c>
    </row>
    <row r="5" spans="1:22">
      <c r="A5" s="35">
        <v>46023</v>
      </c>
      <c r="B5" s="37">
        <v>46048</v>
      </c>
      <c r="C5" s="33" t="s">
        <v>47</v>
      </c>
      <c r="D5" s="33" t="s">
        <v>48</v>
      </c>
      <c r="E5" s="39">
        <v>2</v>
      </c>
      <c r="F5" s="33" t="s">
        <v>49</v>
      </c>
      <c r="G5" s="33" t="s">
        <v>25</v>
      </c>
      <c r="H5" s="33" t="s">
        <v>50</v>
      </c>
      <c r="I5" s="33" t="s">
        <v>51</v>
      </c>
      <c r="J5" s="33" t="s">
        <v>52</v>
      </c>
      <c r="K5" s="33" t="s">
        <v>29</v>
      </c>
      <c r="L5" s="33" t="s">
        <v>30</v>
      </c>
      <c r="M5" s="33" t="s">
        <v>53</v>
      </c>
      <c r="N5" s="33" t="s">
        <v>32</v>
      </c>
      <c r="O5" s="33" t="s">
        <v>54</v>
      </c>
      <c r="P5" s="33" t="s">
        <v>55</v>
      </c>
      <c r="Q5" s="33" t="s">
        <v>32</v>
      </c>
      <c r="R5" s="39">
        <v>1</v>
      </c>
      <c r="S5" s="39">
        <v>6</v>
      </c>
      <c r="T5" s="35">
        <v>46023</v>
      </c>
      <c r="U5" s="33" t="s">
        <v>35</v>
      </c>
      <c r="V5" s="33" t="s">
        <v>56</v>
      </c>
    </row>
    <row r="6" spans="1:22">
      <c r="A6" s="35">
        <v>46054</v>
      </c>
      <c r="B6" s="37">
        <v>46057</v>
      </c>
      <c r="C6" s="33" t="s">
        <v>57</v>
      </c>
      <c r="D6" s="33" t="s">
        <v>58</v>
      </c>
      <c r="E6" s="39">
        <v>1</v>
      </c>
      <c r="F6" s="33" t="s">
        <v>59</v>
      </c>
      <c r="G6" s="33" t="s">
        <v>25</v>
      </c>
      <c r="H6" s="33" t="s">
        <v>60</v>
      </c>
      <c r="I6" s="33" t="s">
        <v>51</v>
      </c>
      <c r="J6" s="33" t="s">
        <v>52</v>
      </c>
      <c r="K6" s="33" t="s">
        <v>29</v>
      </c>
      <c r="L6" s="33" t="s">
        <v>30</v>
      </c>
      <c r="M6" s="33" t="s">
        <v>61</v>
      </c>
      <c r="N6" s="33" t="s">
        <v>34</v>
      </c>
      <c r="O6" s="33" t="s">
        <v>62</v>
      </c>
      <c r="P6" s="33"/>
      <c r="Q6" s="33" t="s">
        <v>34</v>
      </c>
      <c r="R6" s="39">
        <v>2</v>
      </c>
      <c r="S6" s="39"/>
      <c r="T6" s="35">
        <v>46054</v>
      </c>
      <c r="U6" s="33" t="s">
        <v>35</v>
      </c>
      <c r="V6" s="33" t="s">
        <v>56</v>
      </c>
    </row>
    <row r="7" spans="1:22">
      <c r="A7" s="35">
        <v>46054</v>
      </c>
      <c r="B7" s="37">
        <v>46062</v>
      </c>
      <c r="C7" s="33" t="s">
        <v>63</v>
      </c>
      <c r="D7" s="33" t="s">
        <v>64</v>
      </c>
      <c r="E7" s="39">
        <v>1</v>
      </c>
      <c r="F7" s="33" t="s">
        <v>65</v>
      </c>
      <c r="G7" s="33" t="s">
        <v>25</v>
      </c>
      <c r="H7" s="33" t="s">
        <v>66</v>
      </c>
      <c r="I7" s="33" t="s">
        <v>27</v>
      </c>
      <c r="J7" s="33" t="s">
        <v>39</v>
      </c>
      <c r="K7" s="33" t="s">
        <v>29</v>
      </c>
      <c r="L7" s="33" t="s">
        <v>30</v>
      </c>
      <c r="M7" s="33" t="s">
        <v>31</v>
      </c>
      <c r="N7" s="33" t="s">
        <v>34</v>
      </c>
      <c r="O7" s="33" t="s">
        <v>67</v>
      </c>
      <c r="P7" s="33"/>
      <c r="Q7" s="33" t="s">
        <v>34</v>
      </c>
      <c r="R7" s="39">
        <v>2</v>
      </c>
      <c r="S7" s="39"/>
      <c r="T7" s="35">
        <v>46054</v>
      </c>
      <c r="U7" s="33" t="s">
        <v>35</v>
      </c>
      <c r="V7" s="33" t="s">
        <v>31</v>
      </c>
    </row>
    <row r="8" spans="1:22">
      <c r="A8" s="35">
        <v>46054</v>
      </c>
      <c r="B8" s="37">
        <v>46070</v>
      </c>
      <c r="C8" s="33" t="s">
        <v>68</v>
      </c>
      <c r="D8" s="33" t="s">
        <v>69</v>
      </c>
      <c r="E8" s="39">
        <v>1</v>
      </c>
      <c r="F8" s="33" t="s">
        <v>70</v>
      </c>
      <c r="G8" s="33" t="s">
        <v>25</v>
      </c>
      <c r="H8" s="33" t="s">
        <v>71</v>
      </c>
      <c r="I8" s="33" t="s">
        <v>72</v>
      </c>
      <c r="J8" s="33" t="s">
        <v>73</v>
      </c>
      <c r="K8" s="33" t="s">
        <v>29</v>
      </c>
      <c r="L8" s="33" t="s">
        <v>74</v>
      </c>
      <c r="M8" s="33" t="s">
        <v>75</v>
      </c>
      <c r="N8" s="33" t="s">
        <v>34</v>
      </c>
      <c r="O8" s="33" t="s">
        <v>76</v>
      </c>
      <c r="P8" s="33"/>
      <c r="Q8" s="33" t="s">
        <v>32</v>
      </c>
      <c r="R8" s="39">
        <v>2</v>
      </c>
      <c r="S8" s="39"/>
      <c r="T8" s="35">
        <v>46054</v>
      </c>
      <c r="U8" s="33" t="s">
        <v>35</v>
      </c>
      <c r="V8" s="33" t="s">
        <v>46</v>
      </c>
    </row>
    <row r="9" spans="1:22">
      <c r="A9" s="35">
        <v>46054</v>
      </c>
      <c r="B9" s="37">
        <v>46073</v>
      </c>
      <c r="C9" s="33" t="s">
        <v>47</v>
      </c>
      <c r="D9" s="33" t="s">
        <v>42</v>
      </c>
      <c r="E9" s="39">
        <v>1</v>
      </c>
      <c r="F9" s="33" t="s">
        <v>77</v>
      </c>
      <c r="G9" s="33" t="s">
        <v>25</v>
      </c>
      <c r="H9" s="33" t="s">
        <v>26</v>
      </c>
      <c r="I9" s="33" t="s">
        <v>51</v>
      </c>
      <c r="J9" s="33" t="s">
        <v>44</v>
      </c>
      <c r="K9" s="33" t="s">
        <v>29</v>
      </c>
      <c r="L9" s="33" t="s">
        <v>74</v>
      </c>
      <c r="M9" s="33" t="s">
        <v>78</v>
      </c>
      <c r="N9" s="33" t="s">
        <v>32</v>
      </c>
      <c r="O9" s="33" t="s">
        <v>79</v>
      </c>
      <c r="P9" s="33"/>
      <c r="Q9" s="33" t="s">
        <v>34</v>
      </c>
      <c r="R9" s="39">
        <v>2</v>
      </c>
      <c r="S9" s="39"/>
      <c r="T9" s="35">
        <v>46054</v>
      </c>
      <c r="U9" s="33" t="s">
        <v>35</v>
      </c>
      <c r="V9" s="33" t="s">
        <v>46</v>
      </c>
    </row>
    <row r="10" spans="1:22">
      <c r="A10" s="35">
        <v>46054</v>
      </c>
      <c r="B10" s="37">
        <v>46073</v>
      </c>
      <c r="C10" s="33" t="s">
        <v>57</v>
      </c>
      <c r="D10" s="33" t="s">
        <v>58</v>
      </c>
      <c r="E10" s="39">
        <v>1</v>
      </c>
      <c r="F10" s="33" t="s">
        <v>80</v>
      </c>
      <c r="G10" s="33" t="s">
        <v>25</v>
      </c>
      <c r="H10" s="33" t="s">
        <v>81</v>
      </c>
      <c r="I10" s="33" t="s">
        <v>27</v>
      </c>
      <c r="J10" s="33" t="s">
        <v>52</v>
      </c>
      <c r="K10" s="33" t="s">
        <v>29</v>
      </c>
      <c r="L10" s="33" t="s">
        <v>30</v>
      </c>
      <c r="M10" s="33" t="s">
        <v>82</v>
      </c>
      <c r="N10" s="33" t="s">
        <v>34</v>
      </c>
      <c r="O10" s="33" t="s">
        <v>83</v>
      </c>
      <c r="P10" s="33"/>
      <c r="Q10" s="33" t="s">
        <v>34</v>
      </c>
      <c r="R10" s="39">
        <v>2</v>
      </c>
      <c r="S10" s="39"/>
      <c r="T10" s="35">
        <v>46054</v>
      </c>
      <c r="U10" s="33" t="s">
        <v>35</v>
      </c>
      <c r="V10" s="33" t="s">
        <v>56</v>
      </c>
    </row>
    <row r="11" spans="1:22">
      <c r="A11" s="35">
        <v>46054</v>
      </c>
      <c r="B11" s="37">
        <v>46076</v>
      </c>
      <c r="C11" s="33" t="s">
        <v>68</v>
      </c>
      <c r="D11" s="33" t="s">
        <v>84</v>
      </c>
      <c r="E11" s="39">
        <v>1</v>
      </c>
      <c r="F11" s="33" t="s">
        <v>85</v>
      </c>
      <c r="G11" s="33" t="s">
        <v>25</v>
      </c>
      <c r="H11" s="33" t="s">
        <v>86</v>
      </c>
      <c r="I11" s="33" t="s">
        <v>72</v>
      </c>
      <c r="J11" s="33" t="s">
        <v>87</v>
      </c>
      <c r="K11" s="33" t="s">
        <v>29</v>
      </c>
      <c r="L11" s="33" t="s">
        <v>74</v>
      </c>
      <c r="M11" s="33" t="s">
        <v>53</v>
      </c>
      <c r="N11" s="33" t="s">
        <v>34</v>
      </c>
      <c r="O11" s="33" t="s">
        <v>88</v>
      </c>
      <c r="P11" s="33"/>
      <c r="Q11" s="33" t="s">
        <v>32</v>
      </c>
      <c r="R11" s="39">
        <v>2</v>
      </c>
      <c r="S11" s="39"/>
      <c r="T11" s="35">
        <v>46054</v>
      </c>
      <c r="U11" s="33" t="s">
        <v>35</v>
      </c>
      <c r="V11" s="33" t="s">
        <v>89</v>
      </c>
    </row>
    <row r="12" spans="1:22">
      <c r="A12" s="35">
        <v>46054</v>
      </c>
      <c r="B12" s="37">
        <v>46078</v>
      </c>
      <c r="C12" s="33" t="s">
        <v>90</v>
      </c>
      <c r="D12" s="33" t="s">
        <v>37</v>
      </c>
      <c r="E12" s="39">
        <v>1</v>
      </c>
      <c r="F12" s="33" t="s">
        <v>91</v>
      </c>
      <c r="G12" s="33" t="s">
        <v>25</v>
      </c>
      <c r="H12" s="33" t="s">
        <v>92</v>
      </c>
      <c r="I12" s="33" t="s">
        <v>51</v>
      </c>
      <c r="J12" s="33" t="s">
        <v>93</v>
      </c>
      <c r="K12" s="33" t="s">
        <v>29</v>
      </c>
      <c r="L12" s="33" t="s">
        <v>30</v>
      </c>
      <c r="M12" s="33" t="s">
        <v>94</v>
      </c>
      <c r="N12" s="33" t="s">
        <v>34</v>
      </c>
      <c r="O12" s="33" t="s">
        <v>95</v>
      </c>
      <c r="P12" s="33"/>
      <c r="Q12" s="33" t="s">
        <v>32</v>
      </c>
      <c r="R12" s="39">
        <v>2</v>
      </c>
      <c r="S12" s="39"/>
      <c r="T12" s="35">
        <v>46054</v>
      </c>
      <c r="U12" s="33" t="s">
        <v>35</v>
      </c>
      <c r="V12" s="33" t="s">
        <v>96</v>
      </c>
    </row>
    <row r="13" spans="1:22">
      <c r="A13" s="35">
        <v>46082</v>
      </c>
      <c r="B13" s="37">
        <v>46085</v>
      </c>
      <c r="C13" s="33" t="s">
        <v>36</v>
      </c>
      <c r="D13" s="33" t="s">
        <v>42</v>
      </c>
      <c r="E13" s="39">
        <v>1</v>
      </c>
      <c r="F13" s="33" t="s">
        <v>97</v>
      </c>
      <c r="G13" s="33" t="s">
        <v>25</v>
      </c>
      <c r="H13" s="33" t="s">
        <v>98</v>
      </c>
      <c r="I13" s="33" t="s">
        <v>27</v>
      </c>
      <c r="J13" s="33" t="s">
        <v>28</v>
      </c>
      <c r="K13" s="33" t="s">
        <v>29</v>
      </c>
      <c r="L13" s="33" t="s">
        <v>30</v>
      </c>
      <c r="M13" s="33" t="s">
        <v>31</v>
      </c>
      <c r="N13" s="33" t="s">
        <v>34</v>
      </c>
      <c r="O13" s="33" t="s">
        <v>99</v>
      </c>
      <c r="P13" s="33"/>
      <c r="Q13" s="33" t="s">
        <v>34</v>
      </c>
      <c r="R13" s="39">
        <v>3</v>
      </c>
      <c r="S13" s="39"/>
      <c r="T13" s="35">
        <v>46082</v>
      </c>
      <c r="U13" s="33" t="s">
        <v>35</v>
      </c>
      <c r="V13" s="33" t="s">
        <v>31</v>
      </c>
    </row>
    <row r="14" spans="1:22">
      <c r="A14" s="35">
        <v>46082</v>
      </c>
      <c r="B14" s="37">
        <v>46085</v>
      </c>
      <c r="C14" s="33" t="s">
        <v>63</v>
      </c>
      <c r="D14" s="33" t="s">
        <v>37</v>
      </c>
      <c r="E14" s="39">
        <v>1</v>
      </c>
      <c r="F14" s="33" t="s">
        <v>100</v>
      </c>
      <c r="G14" s="33" t="s">
        <v>25</v>
      </c>
      <c r="H14" s="33" t="s">
        <v>101</v>
      </c>
      <c r="I14" s="33" t="s">
        <v>27</v>
      </c>
      <c r="J14" s="33" t="s">
        <v>39</v>
      </c>
      <c r="K14" s="33" t="s">
        <v>29</v>
      </c>
      <c r="L14" s="33" t="s">
        <v>30</v>
      </c>
      <c r="M14" s="33" t="s">
        <v>31</v>
      </c>
      <c r="N14" s="33" t="s">
        <v>34</v>
      </c>
      <c r="O14" s="33" t="s">
        <v>102</v>
      </c>
      <c r="P14" s="33"/>
      <c r="Q14" s="33" t="s">
        <v>34</v>
      </c>
      <c r="R14" s="39">
        <v>3</v>
      </c>
      <c r="S14" s="39"/>
      <c r="T14" s="35">
        <v>46082</v>
      </c>
      <c r="U14" s="33" t="s">
        <v>35</v>
      </c>
      <c r="V14" s="33" t="s">
        <v>31</v>
      </c>
    </row>
    <row r="15" spans="1:22">
      <c r="A15" s="35">
        <v>46082</v>
      </c>
      <c r="B15" s="37">
        <v>46091</v>
      </c>
      <c r="C15" s="33" t="s">
        <v>22</v>
      </c>
      <c r="D15" s="33" t="s">
        <v>42</v>
      </c>
      <c r="E15" s="39">
        <v>1</v>
      </c>
      <c r="F15" s="33" t="s">
        <v>103</v>
      </c>
      <c r="G15" s="33" t="s">
        <v>104</v>
      </c>
      <c r="H15" s="33" t="s">
        <v>105</v>
      </c>
      <c r="I15" s="33" t="s">
        <v>27</v>
      </c>
      <c r="J15" s="33" t="s">
        <v>106</v>
      </c>
      <c r="K15" s="33" t="s">
        <v>29</v>
      </c>
      <c r="L15" s="33" t="s">
        <v>74</v>
      </c>
      <c r="M15" s="33" t="s">
        <v>107</v>
      </c>
      <c r="N15" s="33" t="s">
        <v>32</v>
      </c>
      <c r="O15" s="33" t="s">
        <v>108</v>
      </c>
      <c r="P15" s="33"/>
      <c r="Q15" s="33" t="s">
        <v>34</v>
      </c>
      <c r="R15" s="39">
        <v>3</v>
      </c>
      <c r="S15" s="39"/>
      <c r="T15" s="35">
        <v>46082</v>
      </c>
      <c r="U15" s="33" t="s">
        <v>35</v>
      </c>
      <c r="V15" s="33" t="s">
        <v>109</v>
      </c>
    </row>
    <row r="16" spans="1:22">
      <c r="A16" s="35">
        <v>46082</v>
      </c>
      <c r="B16" s="37">
        <v>46092</v>
      </c>
      <c r="C16" s="33" t="s">
        <v>63</v>
      </c>
      <c r="D16" s="33" t="s">
        <v>42</v>
      </c>
      <c r="E16" s="39">
        <v>1</v>
      </c>
      <c r="F16" s="33" t="s">
        <v>110</v>
      </c>
      <c r="G16" s="33" t="s">
        <v>25</v>
      </c>
      <c r="H16" s="33" t="s">
        <v>111</v>
      </c>
      <c r="I16" s="33" t="s">
        <v>27</v>
      </c>
      <c r="J16" s="33" t="s">
        <v>39</v>
      </c>
      <c r="K16" s="33" t="s">
        <v>29</v>
      </c>
      <c r="L16" s="33" t="s">
        <v>30</v>
      </c>
      <c r="M16" s="33" t="s">
        <v>31</v>
      </c>
      <c r="N16" s="33" t="s">
        <v>34</v>
      </c>
      <c r="O16" s="33" t="s">
        <v>112</v>
      </c>
      <c r="P16" s="33"/>
      <c r="Q16" s="33" t="s">
        <v>34</v>
      </c>
      <c r="R16" s="39">
        <v>3</v>
      </c>
      <c r="S16" s="39"/>
      <c r="T16" s="35">
        <v>46082</v>
      </c>
      <c r="U16" s="33" t="s">
        <v>35</v>
      </c>
      <c r="V16" s="33" t="s">
        <v>31</v>
      </c>
    </row>
    <row r="17" spans="1:22">
      <c r="A17" s="35">
        <v>46082</v>
      </c>
      <c r="B17" s="37">
        <v>46097</v>
      </c>
      <c r="C17" s="33" t="s">
        <v>113</v>
      </c>
      <c r="D17" s="33" t="s">
        <v>114</v>
      </c>
      <c r="E17" s="39">
        <v>1</v>
      </c>
      <c r="F17" s="33" t="s">
        <v>115</v>
      </c>
      <c r="G17" s="33" t="s">
        <v>25</v>
      </c>
      <c r="H17" s="33" t="s">
        <v>116</v>
      </c>
      <c r="I17" s="33" t="s">
        <v>72</v>
      </c>
      <c r="J17" s="33" t="s">
        <v>87</v>
      </c>
      <c r="K17" s="33" t="s">
        <v>29</v>
      </c>
      <c r="L17" s="33" t="s">
        <v>74</v>
      </c>
      <c r="M17" s="33" t="s">
        <v>117</v>
      </c>
      <c r="N17" s="33" t="s">
        <v>32</v>
      </c>
      <c r="O17" s="33" t="s">
        <v>118</v>
      </c>
      <c r="P17" s="33"/>
      <c r="Q17" s="33" t="s">
        <v>32</v>
      </c>
      <c r="R17" s="39">
        <v>3</v>
      </c>
      <c r="S17" s="39"/>
      <c r="T17" s="35">
        <v>46082</v>
      </c>
      <c r="U17" s="33" t="s">
        <v>35</v>
      </c>
      <c r="V17" s="33" t="s">
        <v>89</v>
      </c>
    </row>
    <row r="18" spans="1:22">
      <c r="A18" s="35">
        <v>46082</v>
      </c>
      <c r="B18" s="37">
        <v>46097</v>
      </c>
      <c r="C18" s="33" t="s">
        <v>113</v>
      </c>
      <c r="D18" s="33" t="s">
        <v>114</v>
      </c>
      <c r="E18" s="39">
        <v>1</v>
      </c>
      <c r="F18" s="33" t="s">
        <v>119</v>
      </c>
      <c r="G18" s="33" t="s">
        <v>25</v>
      </c>
      <c r="H18" s="33" t="s">
        <v>120</v>
      </c>
      <c r="I18" s="33" t="s">
        <v>27</v>
      </c>
      <c r="J18" s="33" t="s">
        <v>39</v>
      </c>
      <c r="K18" s="33" t="s">
        <v>29</v>
      </c>
      <c r="L18" s="33" t="s">
        <v>30</v>
      </c>
      <c r="M18" s="33" t="s">
        <v>31</v>
      </c>
      <c r="N18" s="33" t="s">
        <v>34</v>
      </c>
      <c r="O18" s="33" t="s">
        <v>121</v>
      </c>
      <c r="P18" s="33"/>
      <c r="Q18" s="33" t="s">
        <v>34</v>
      </c>
      <c r="R18" s="39">
        <v>3</v>
      </c>
      <c r="S18" s="39"/>
      <c r="T18" s="35">
        <v>46082</v>
      </c>
      <c r="U18" s="33" t="s">
        <v>35</v>
      </c>
      <c r="V18" s="33" t="s">
        <v>31</v>
      </c>
    </row>
    <row r="19" spans="1:22">
      <c r="A19" s="35">
        <v>46082</v>
      </c>
      <c r="B19" s="37">
        <v>46099</v>
      </c>
      <c r="C19" s="33" t="s">
        <v>122</v>
      </c>
      <c r="D19" s="33" t="s">
        <v>58</v>
      </c>
      <c r="E19" s="39">
        <v>1</v>
      </c>
      <c r="F19" s="33" t="s">
        <v>123</v>
      </c>
      <c r="G19" s="33" t="s">
        <v>25</v>
      </c>
      <c r="H19" s="33" t="s">
        <v>124</v>
      </c>
      <c r="I19" s="33" t="s">
        <v>27</v>
      </c>
      <c r="J19" s="33" t="s">
        <v>52</v>
      </c>
      <c r="K19" s="33" t="s">
        <v>29</v>
      </c>
      <c r="L19" s="33" t="s">
        <v>30</v>
      </c>
      <c r="M19" s="33" t="s">
        <v>82</v>
      </c>
      <c r="N19" s="33" t="s">
        <v>34</v>
      </c>
      <c r="O19" s="33" t="s">
        <v>125</v>
      </c>
      <c r="P19" s="33"/>
      <c r="Q19" s="33" t="s">
        <v>34</v>
      </c>
      <c r="R19" s="39">
        <v>3</v>
      </c>
      <c r="S19" s="39"/>
      <c r="T19" s="35">
        <v>46082</v>
      </c>
      <c r="U19" s="33" t="s">
        <v>35</v>
      </c>
      <c r="V19" s="33" t="s">
        <v>56</v>
      </c>
    </row>
    <row r="20" spans="1:22">
      <c r="A20" s="35">
        <v>46082</v>
      </c>
      <c r="B20" s="37">
        <v>46104</v>
      </c>
      <c r="C20" s="33" t="s">
        <v>22</v>
      </c>
      <c r="D20" s="33" t="s">
        <v>42</v>
      </c>
      <c r="E20" s="39">
        <v>1</v>
      </c>
      <c r="F20" s="33" t="s">
        <v>126</v>
      </c>
      <c r="G20" s="33" t="s">
        <v>25</v>
      </c>
      <c r="H20" s="33" t="s">
        <v>98</v>
      </c>
      <c r="I20" s="33" t="s">
        <v>27</v>
      </c>
      <c r="J20" s="33" t="s">
        <v>39</v>
      </c>
      <c r="K20" s="33" t="s">
        <v>127</v>
      </c>
      <c r="L20" s="33" t="s">
        <v>30</v>
      </c>
      <c r="M20" s="33" t="s">
        <v>31</v>
      </c>
      <c r="N20" s="33" t="s">
        <v>34</v>
      </c>
      <c r="O20" s="33" t="s">
        <v>128</v>
      </c>
      <c r="P20" s="33"/>
      <c r="Q20" s="33" t="s">
        <v>34</v>
      </c>
      <c r="R20" s="39">
        <v>3</v>
      </c>
      <c r="S20" s="39"/>
      <c r="T20" s="35">
        <v>46082</v>
      </c>
      <c r="U20" s="33" t="s">
        <v>35</v>
      </c>
      <c r="V20" s="33" t="s">
        <v>31</v>
      </c>
    </row>
    <row r="21" spans="1:22">
      <c r="A21" s="35">
        <v>46082</v>
      </c>
      <c r="B21" s="37">
        <v>46106</v>
      </c>
      <c r="C21" s="33" t="s">
        <v>129</v>
      </c>
      <c r="D21" s="33" t="s">
        <v>130</v>
      </c>
      <c r="E21" s="39">
        <v>1</v>
      </c>
      <c r="F21" s="33" t="s">
        <v>131</v>
      </c>
      <c r="G21" s="33" t="s">
        <v>25</v>
      </c>
      <c r="H21" s="33" t="s">
        <v>132</v>
      </c>
      <c r="I21" s="33" t="s">
        <v>51</v>
      </c>
      <c r="J21" s="33" t="s">
        <v>133</v>
      </c>
      <c r="K21" s="33" t="s">
        <v>29</v>
      </c>
      <c r="L21" s="33" t="s">
        <v>74</v>
      </c>
      <c r="M21" s="33" t="s">
        <v>134</v>
      </c>
      <c r="N21" s="33" t="s">
        <v>34</v>
      </c>
      <c r="O21" s="33" t="s">
        <v>135</v>
      </c>
      <c r="P21" s="33"/>
      <c r="Q21" s="33" t="s">
        <v>34</v>
      </c>
      <c r="R21" s="39">
        <v>3</v>
      </c>
      <c r="S21" s="39"/>
      <c r="T21" s="35">
        <v>46082</v>
      </c>
      <c r="U21" s="33" t="s">
        <v>35</v>
      </c>
      <c r="V21" s="33" t="s">
        <v>31</v>
      </c>
    </row>
    <row r="22" spans="1:22">
      <c r="A22" s="35">
        <v>46082</v>
      </c>
      <c r="B22" s="37">
        <v>46107</v>
      </c>
      <c r="C22" s="33" t="s">
        <v>57</v>
      </c>
      <c r="D22" s="33" t="s">
        <v>42</v>
      </c>
      <c r="E22" s="39">
        <v>1</v>
      </c>
      <c r="F22" s="33" t="s">
        <v>136</v>
      </c>
      <c r="G22" s="33" t="s">
        <v>25</v>
      </c>
      <c r="H22" s="33" t="s">
        <v>137</v>
      </c>
      <c r="I22" s="33" t="s">
        <v>51</v>
      </c>
      <c r="J22" s="33" t="s">
        <v>138</v>
      </c>
      <c r="K22" s="33" t="s">
        <v>29</v>
      </c>
      <c r="L22" s="33" t="s">
        <v>30</v>
      </c>
      <c r="M22" s="33" t="s">
        <v>139</v>
      </c>
      <c r="N22" s="33" t="s">
        <v>34</v>
      </c>
      <c r="O22" s="33" t="s">
        <v>140</v>
      </c>
      <c r="P22" s="33"/>
      <c r="Q22" s="33" t="s">
        <v>34</v>
      </c>
      <c r="R22" s="39">
        <v>3</v>
      </c>
      <c r="S22" s="39"/>
      <c r="T22" s="35">
        <v>46082</v>
      </c>
      <c r="U22" s="33" t="s">
        <v>35</v>
      </c>
      <c r="V22" s="33" t="s">
        <v>141</v>
      </c>
    </row>
    <row r="23" spans="1:22">
      <c r="A23" s="35">
        <v>46082</v>
      </c>
      <c r="B23" s="37">
        <v>46109</v>
      </c>
      <c r="C23" s="33" t="s">
        <v>47</v>
      </c>
      <c r="D23" s="33" t="s">
        <v>42</v>
      </c>
      <c r="E23" s="39">
        <v>1</v>
      </c>
      <c r="F23" s="33" t="s">
        <v>142</v>
      </c>
      <c r="G23" s="33" t="s">
        <v>25</v>
      </c>
      <c r="H23" s="33" t="s">
        <v>143</v>
      </c>
      <c r="I23" s="33" t="s">
        <v>51</v>
      </c>
      <c r="J23" s="33" t="s">
        <v>44</v>
      </c>
      <c r="K23" s="33" t="s">
        <v>29</v>
      </c>
      <c r="L23" s="33" t="s">
        <v>74</v>
      </c>
      <c r="M23" s="33" t="s">
        <v>82</v>
      </c>
      <c r="N23" s="33" t="s">
        <v>34</v>
      </c>
      <c r="O23" s="33" t="s">
        <v>144</v>
      </c>
      <c r="P23" s="33"/>
      <c r="Q23" s="33" t="s">
        <v>34</v>
      </c>
      <c r="R23" s="39">
        <v>3</v>
      </c>
      <c r="S23" s="39"/>
      <c r="T23" s="35">
        <v>46082</v>
      </c>
      <c r="U23" s="33" t="s">
        <v>35</v>
      </c>
      <c r="V23" s="33" t="s">
        <v>56</v>
      </c>
    </row>
    <row r="24" spans="1:22">
      <c r="A24" s="35">
        <v>46082</v>
      </c>
      <c r="B24" s="37">
        <v>46112</v>
      </c>
      <c r="C24" s="33" t="s">
        <v>113</v>
      </c>
      <c r="D24" s="33" t="s">
        <v>42</v>
      </c>
      <c r="E24" s="39">
        <v>1</v>
      </c>
      <c r="F24" s="33" t="s">
        <v>145</v>
      </c>
      <c r="G24" s="33" t="s">
        <v>25</v>
      </c>
      <c r="H24" s="33" t="s">
        <v>146</v>
      </c>
      <c r="I24" s="33" t="s">
        <v>27</v>
      </c>
      <c r="J24" s="33" t="s">
        <v>39</v>
      </c>
      <c r="K24" s="33" t="s">
        <v>29</v>
      </c>
      <c r="L24" s="33" t="s">
        <v>30</v>
      </c>
      <c r="M24" s="33" t="s">
        <v>31</v>
      </c>
      <c r="N24" s="33" t="s">
        <v>34</v>
      </c>
      <c r="O24" s="33" t="s">
        <v>147</v>
      </c>
      <c r="P24" s="33" t="s">
        <v>148</v>
      </c>
      <c r="Q24" s="33" t="s">
        <v>34</v>
      </c>
      <c r="R24" s="39">
        <v>3</v>
      </c>
      <c r="S24" s="39">
        <v>600</v>
      </c>
      <c r="T24" s="35">
        <v>46082</v>
      </c>
      <c r="U24" s="33" t="s">
        <v>35</v>
      </c>
      <c r="V24" s="33" t="s">
        <v>31</v>
      </c>
    </row>
    <row r="25" spans="1:22">
      <c r="A25" s="35">
        <v>46113</v>
      </c>
      <c r="B25" s="37">
        <v>46113</v>
      </c>
      <c r="C25" s="33" t="s">
        <v>113</v>
      </c>
      <c r="D25" s="33" t="s">
        <v>42</v>
      </c>
      <c r="E25" s="39">
        <v>1</v>
      </c>
      <c r="F25" s="33" t="s">
        <v>149</v>
      </c>
      <c r="G25" s="33" t="s">
        <v>25</v>
      </c>
      <c r="H25" s="33" t="s">
        <v>150</v>
      </c>
      <c r="I25" s="33" t="s">
        <v>51</v>
      </c>
      <c r="J25" s="33" t="s">
        <v>151</v>
      </c>
      <c r="K25" s="33" t="s">
        <v>29</v>
      </c>
      <c r="L25" s="33" t="s">
        <v>30</v>
      </c>
      <c r="M25" s="33" t="s">
        <v>152</v>
      </c>
      <c r="N25" s="33" t="s">
        <v>34</v>
      </c>
      <c r="O25" s="33" t="s">
        <v>153</v>
      </c>
      <c r="P25" s="33" t="s">
        <v>148</v>
      </c>
      <c r="Q25" s="33" t="s">
        <v>34</v>
      </c>
      <c r="R25" s="39">
        <v>4</v>
      </c>
      <c r="S25" s="39">
        <v>600</v>
      </c>
      <c r="T25" s="35">
        <v>46113</v>
      </c>
      <c r="U25" s="33" t="s">
        <v>35</v>
      </c>
      <c r="V25" s="33" t="s">
        <v>31</v>
      </c>
    </row>
    <row r="26" spans="1:22">
      <c r="A26" s="35">
        <v>46113</v>
      </c>
      <c r="B26" s="37">
        <v>46114</v>
      </c>
      <c r="C26" s="33" t="s">
        <v>22</v>
      </c>
      <c r="D26" s="33" t="s">
        <v>42</v>
      </c>
      <c r="E26" s="39">
        <v>1</v>
      </c>
      <c r="F26" s="33" t="s">
        <v>154</v>
      </c>
      <c r="G26" s="33" t="s">
        <v>25</v>
      </c>
      <c r="H26" s="33" t="s">
        <v>155</v>
      </c>
      <c r="I26" s="33" t="s">
        <v>27</v>
      </c>
      <c r="J26" s="33" t="s">
        <v>156</v>
      </c>
      <c r="K26" s="33" t="s">
        <v>29</v>
      </c>
      <c r="L26" s="33" t="s">
        <v>74</v>
      </c>
      <c r="M26" s="33" t="s">
        <v>139</v>
      </c>
      <c r="N26" s="33" t="s">
        <v>34</v>
      </c>
      <c r="O26" s="33" t="s">
        <v>157</v>
      </c>
      <c r="P26" s="33"/>
      <c r="Q26" s="33" t="s">
        <v>32</v>
      </c>
      <c r="R26" s="39">
        <v>4</v>
      </c>
      <c r="S26" s="39"/>
      <c r="T26" s="35">
        <v>46113</v>
      </c>
      <c r="U26" s="33" t="s">
        <v>35</v>
      </c>
      <c r="V26" s="33" t="s">
        <v>141</v>
      </c>
    </row>
    <row r="27" spans="1:22">
      <c r="A27" s="35">
        <v>46113</v>
      </c>
      <c r="B27" s="37">
        <v>46121</v>
      </c>
      <c r="C27" s="33" t="s">
        <v>68</v>
      </c>
      <c r="D27" s="33" t="s">
        <v>42</v>
      </c>
      <c r="E27" s="39">
        <v>1</v>
      </c>
      <c r="F27" s="33" t="s">
        <v>158</v>
      </c>
      <c r="G27" s="33" t="s">
        <v>25</v>
      </c>
      <c r="H27" s="33" t="s">
        <v>26</v>
      </c>
      <c r="I27" s="33" t="s">
        <v>51</v>
      </c>
      <c r="J27" s="33" t="s">
        <v>44</v>
      </c>
      <c r="K27" s="33" t="s">
        <v>29</v>
      </c>
      <c r="L27" s="33" t="s">
        <v>30</v>
      </c>
      <c r="M27" s="33" t="s">
        <v>159</v>
      </c>
      <c r="N27" s="33" t="s">
        <v>34</v>
      </c>
      <c r="O27" s="33" t="s">
        <v>160</v>
      </c>
      <c r="P27" s="33"/>
      <c r="Q27" s="33" t="s">
        <v>34</v>
      </c>
      <c r="R27" s="39">
        <v>4</v>
      </c>
      <c r="S27" s="39"/>
      <c r="T27" s="35">
        <v>46113</v>
      </c>
      <c r="U27" s="33" t="s">
        <v>35</v>
      </c>
      <c r="V27" s="33" t="s">
        <v>161</v>
      </c>
    </row>
    <row r="28" spans="1:22">
      <c r="A28" s="35">
        <v>46113</v>
      </c>
      <c r="B28" s="37">
        <v>46121</v>
      </c>
      <c r="C28" s="33" t="s">
        <v>22</v>
      </c>
      <c r="D28" s="33" t="s">
        <v>42</v>
      </c>
      <c r="E28" s="39">
        <v>1</v>
      </c>
      <c r="F28" s="33" t="s">
        <v>162</v>
      </c>
      <c r="G28" s="33" t="s">
        <v>25</v>
      </c>
      <c r="H28" s="33" t="s">
        <v>26</v>
      </c>
      <c r="I28" s="33" t="s">
        <v>51</v>
      </c>
      <c r="J28" s="33" t="s">
        <v>44</v>
      </c>
      <c r="K28" s="33" t="s">
        <v>29</v>
      </c>
      <c r="L28" s="33" t="s">
        <v>30</v>
      </c>
      <c r="M28" s="33" t="s">
        <v>163</v>
      </c>
      <c r="N28" s="33" t="s">
        <v>34</v>
      </c>
      <c r="O28" s="33" t="s">
        <v>164</v>
      </c>
      <c r="P28" s="33"/>
      <c r="Q28" s="33" t="s">
        <v>34</v>
      </c>
      <c r="R28" s="39">
        <v>4</v>
      </c>
      <c r="S28" s="39"/>
      <c r="T28" s="35">
        <v>46113</v>
      </c>
      <c r="U28" s="33" t="s">
        <v>35</v>
      </c>
      <c r="V28" s="33" t="s">
        <v>109</v>
      </c>
    </row>
    <row r="29" spans="1:22">
      <c r="A29" s="35">
        <v>46113</v>
      </c>
      <c r="B29" s="37">
        <v>46126</v>
      </c>
      <c r="C29" s="33" t="s">
        <v>63</v>
      </c>
      <c r="D29" s="33" t="s">
        <v>37</v>
      </c>
      <c r="E29" s="39">
        <v>1</v>
      </c>
      <c r="F29" s="33" t="s">
        <v>165</v>
      </c>
      <c r="G29" s="33" t="s">
        <v>25</v>
      </c>
      <c r="H29" s="33" t="s">
        <v>26</v>
      </c>
      <c r="I29" s="33" t="s">
        <v>27</v>
      </c>
      <c r="J29" s="33" t="s">
        <v>44</v>
      </c>
      <c r="K29" s="33" t="s">
        <v>29</v>
      </c>
      <c r="L29" s="33" t="s">
        <v>30</v>
      </c>
      <c r="M29" s="33" t="s">
        <v>152</v>
      </c>
      <c r="N29" s="33" t="s">
        <v>34</v>
      </c>
      <c r="O29" s="33" t="s">
        <v>166</v>
      </c>
      <c r="P29" s="33"/>
      <c r="Q29" s="33" t="s">
        <v>34</v>
      </c>
      <c r="R29" s="39">
        <v>4</v>
      </c>
      <c r="S29" s="39"/>
      <c r="T29" s="35">
        <v>46113</v>
      </c>
      <c r="U29" s="33" t="s">
        <v>35</v>
      </c>
      <c r="V29" s="33" t="s">
        <v>31</v>
      </c>
    </row>
    <row r="30" spans="1:22">
      <c r="A30" s="35">
        <v>46113</v>
      </c>
      <c r="B30" s="37">
        <v>46126</v>
      </c>
      <c r="C30" s="33" t="s">
        <v>68</v>
      </c>
      <c r="D30" s="33" t="s">
        <v>37</v>
      </c>
      <c r="E30" s="39">
        <v>1</v>
      </c>
      <c r="F30" s="33" t="s">
        <v>167</v>
      </c>
      <c r="G30" s="33" t="s">
        <v>25</v>
      </c>
      <c r="H30" s="33" t="s">
        <v>26</v>
      </c>
      <c r="I30" s="33" t="s">
        <v>27</v>
      </c>
      <c r="J30" s="33" t="s">
        <v>44</v>
      </c>
      <c r="K30" s="33" t="s">
        <v>29</v>
      </c>
      <c r="L30" s="33" t="s">
        <v>30</v>
      </c>
      <c r="M30" s="33" t="s">
        <v>168</v>
      </c>
      <c r="N30" s="33" t="s">
        <v>34</v>
      </c>
      <c r="O30" s="33" t="s">
        <v>169</v>
      </c>
      <c r="P30" s="33"/>
      <c r="Q30" s="33" t="s">
        <v>34</v>
      </c>
      <c r="R30" s="39">
        <v>4</v>
      </c>
      <c r="S30" s="39"/>
      <c r="T30" s="35">
        <v>46113</v>
      </c>
      <c r="U30" s="33" t="s">
        <v>35</v>
      </c>
      <c r="V30" s="33" t="s">
        <v>170</v>
      </c>
    </row>
    <row r="31" spans="1:22">
      <c r="A31" s="35">
        <v>46113</v>
      </c>
      <c r="B31" s="37">
        <v>46128</v>
      </c>
      <c r="C31" s="33" t="s">
        <v>129</v>
      </c>
      <c r="D31" s="33" t="s">
        <v>58</v>
      </c>
      <c r="E31" s="39">
        <v>1</v>
      </c>
      <c r="F31" s="33" t="s">
        <v>171</v>
      </c>
      <c r="G31" s="33" t="s">
        <v>25</v>
      </c>
      <c r="H31" s="33" t="s">
        <v>26</v>
      </c>
      <c r="I31" s="33" t="s">
        <v>27</v>
      </c>
      <c r="J31" s="33" t="s">
        <v>44</v>
      </c>
      <c r="K31" s="33" t="s">
        <v>29</v>
      </c>
      <c r="L31" s="33" t="s">
        <v>30</v>
      </c>
      <c r="M31" s="33" t="s">
        <v>168</v>
      </c>
      <c r="N31" s="33" t="s">
        <v>34</v>
      </c>
      <c r="O31" s="33" t="s">
        <v>172</v>
      </c>
      <c r="P31" s="33"/>
      <c r="Q31" s="33" t="s">
        <v>34</v>
      </c>
      <c r="R31" s="39">
        <v>4</v>
      </c>
      <c r="S31" s="39"/>
      <c r="T31" s="35">
        <v>46113</v>
      </c>
      <c r="U31" s="33" t="s">
        <v>35</v>
      </c>
      <c r="V31" s="33" t="s">
        <v>170</v>
      </c>
    </row>
    <row r="32" spans="1:22">
      <c r="A32" s="35">
        <v>46113</v>
      </c>
      <c r="B32" s="37">
        <v>46134</v>
      </c>
      <c r="C32" s="33" t="s">
        <v>173</v>
      </c>
      <c r="D32" s="33" t="s">
        <v>42</v>
      </c>
      <c r="E32" s="39">
        <v>1</v>
      </c>
      <c r="F32" s="33" t="s">
        <v>174</v>
      </c>
      <c r="G32" s="34" t="s">
        <v>104</v>
      </c>
      <c r="H32" s="33" t="s">
        <v>86</v>
      </c>
      <c r="I32" s="33" t="s">
        <v>72</v>
      </c>
      <c r="J32" s="33" t="s">
        <v>133</v>
      </c>
      <c r="K32" s="33" t="s">
        <v>29</v>
      </c>
      <c r="L32" s="33" t="s">
        <v>74</v>
      </c>
      <c r="M32" s="33" t="s">
        <v>175</v>
      </c>
      <c r="N32" s="33" t="s">
        <v>32</v>
      </c>
      <c r="O32" s="33" t="s">
        <v>176</v>
      </c>
      <c r="P32" s="33"/>
      <c r="Q32" s="33" t="s">
        <v>32</v>
      </c>
      <c r="R32" s="39">
        <v>4</v>
      </c>
      <c r="S32" s="39"/>
      <c r="T32" s="35">
        <v>46113</v>
      </c>
      <c r="U32" s="33" t="s">
        <v>35</v>
      </c>
      <c r="V32" s="33" t="s">
        <v>46</v>
      </c>
    </row>
    <row r="33" spans="1:22">
      <c r="A33" s="35">
        <v>46113</v>
      </c>
      <c r="B33" s="37">
        <v>46141</v>
      </c>
      <c r="C33" s="33" t="s">
        <v>173</v>
      </c>
      <c r="D33" s="33" t="s">
        <v>177</v>
      </c>
      <c r="E33" s="39">
        <v>1</v>
      </c>
      <c r="F33" s="33" t="s">
        <v>178</v>
      </c>
      <c r="G33" s="33" t="s">
        <v>25</v>
      </c>
      <c r="H33" s="33" t="s">
        <v>179</v>
      </c>
      <c r="I33" s="33" t="s">
        <v>72</v>
      </c>
      <c r="J33" s="33" t="s">
        <v>133</v>
      </c>
      <c r="K33" s="33" t="s">
        <v>29</v>
      </c>
      <c r="L33" s="33" t="s">
        <v>74</v>
      </c>
      <c r="M33" s="33" t="s">
        <v>159</v>
      </c>
      <c r="N33" s="33" t="s">
        <v>32</v>
      </c>
      <c r="O33" s="33" t="s">
        <v>180</v>
      </c>
      <c r="P33" s="33"/>
      <c r="Q33" s="33" t="s">
        <v>32</v>
      </c>
      <c r="R33" s="39">
        <v>4</v>
      </c>
      <c r="S33" s="39"/>
      <c r="T33" s="35">
        <v>46113</v>
      </c>
      <c r="U33" s="33" t="s">
        <v>35</v>
      </c>
      <c r="V33" s="33" t="s">
        <v>161</v>
      </c>
    </row>
    <row r="34" spans="1:22">
      <c r="A34" s="35">
        <v>46113</v>
      </c>
      <c r="B34" s="37">
        <v>46142</v>
      </c>
      <c r="C34" s="33" t="s">
        <v>63</v>
      </c>
      <c r="D34" s="33" t="s">
        <v>42</v>
      </c>
      <c r="E34" s="39">
        <v>1</v>
      </c>
      <c r="F34" s="33" t="s">
        <v>181</v>
      </c>
      <c r="G34" s="33" t="s">
        <v>25</v>
      </c>
      <c r="H34" s="33" t="s">
        <v>26</v>
      </c>
      <c r="I34" s="33" t="s">
        <v>27</v>
      </c>
      <c r="J34" s="33" t="s">
        <v>44</v>
      </c>
      <c r="K34" s="33" t="s">
        <v>29</v>
      </c>
      <c r="L34" s="33" t="s">
        <v>30</v>
      </c>
      <c r="M34" s="33" t="s">
        <v>168</v>
      </c>
      <c r="N34" s="33" t="s">
        <v>34</v>
      </c>
      <c r="O34" s="33" t="s">
        <v>182</v>
      </c>
      <c r="P34" s="33"/>
      <c r="Q34" s="33" t="s">
        <v>34</v>
      </c>
      <c r="R34" s="39">
        <v>4</v>
      </c>
      <c r="S34" s="39"/>
      <c r="T34" s="35">
        <v>46113</v>
      </c>
      <c r="U34" s="33" t="s">
        <v>35</v>
      </c>
      <c r="V34" s="33" t="s">
        <v>170</v>
      </c>
    </row>
    <row r="35" spans="1:22">
      <c r="A35" s="35">
        <v>46113</v>
      </c>
      <c r="B35" s="37">
        <v>46142</v>
      </c>
      <c r="C35" s="33" t="s">
        <v>63</v>
      </c>
      <c r="D35" s="33" t="s">
        <v>42</v>
      </c>
      <c r="E35" s="39">
        <v>1</v>
      </c>
      <c r="F35" s="33" t="s">
        <v>183</v>
      </c>
      <c r="G35" s="33" t="s">
        <v>25</v>
      </c>
      <c r="H35" s="33" t="s">
        <v>26</v>
      </c>
      <c r="I35" s="33" t="s">
        <v>27</v>
      </c>
      <c r="J35" s="33" t="s">
        <v>44</v>
      </c>
      <c r="K35" s="33" t="s">
        <v>29</v>
      </c>
      <c r="L35" s="33" t="s">
        <v>30</v>
      </c>
      <c r="M35" s="33" t="s">
        <v>152</v>
      </c>
      <c r="N35" s="33" t="s">
        <v>34</v>
      </c>
      <c r="O35" s="33" t="s">
        <v>184</v>
      </c>
      <c r="P35" s="33" t="s">
        <v>185</v>
      </c>
      <c r="Q35" s="33" t="s">
        <v>34</v>
      </c>
      <c r="R35" s="39">
        <v>4</v>
      </c>
      <c r="S35" s="39">
        <v>672</v>
      </c>
      <c r="T35" s="35">
        <v>46113</v>
      </c>
      <c r="U35" s="33" t="s">
        <v>35</v>
      </c>
      <c r="V35" s="33" t="s">
        <v>31</v>
      </c>
    </row>
    <row r="36" spans="1:22">
      <c r="A36" s="35">
        <v>46113</v>
      </c>
      <c r="B36" s="37">
        <v>46142</v>
      </c>
      <c r="C36" s="33" t="s">
        <v>47</v>
      </c>
      <c r="D36" s="33" t="s">
        <v>186</v>
      </c>
      <c r="E36" s="39">
        <v>1</v>
      </c>
      <c r="F36" s="33" t="s">
        <v>187</v>
      </c>
      <c r="G36" s="33" t="s">
        <v>25</v>
      </c>
      <c r="H36" s="33" t="s">
        <v>150</v>
      </c>
      <c r="I36" s="33" t="s">
        <v>72</v>
      </c>
      <c r="J36" s="33" t="s">
        <v>188</v>
      </c>
      <c r="K36" s="33" t="s">
        <v>29</v>
      </c>
      <c r="L36" s="33" t="s">
        <v>30</v>
      </c>
      <c r="M36" s="33" t="s">
        <v>82</v>
      </c>
      <c r="N36" s="33" t="s">
        <v>34</v>
      </c>
      <c r="O36" s="33" t="s">
        <v>189</v>
      </c>
      <c r="P36" s="33" t="s">
        <v>190</v>
      </c>
      <c r="Q36" s="33" t="s">
        <v>34</v>
      </c>
      <c r="R36" s="39">
        <v>4</v>
      </c>
      <c r="S36" s="39">
        <v>18</v>
      </c>
      <c r="T36" s="35">
        <v>46113</v>
      </c>
      <c r="U36" s="33" t="s">
        <v>35</v>
      </c>
      <c r="V36" s="33" t="s">
        <v>56</v>
      </c>
    </row>
    <row r="37" spans="1:22">
      <c r="A37" s="35">
        <v>46143</v>
      </c>
      <c r="B37" s="37">
        <v>46143</v>
      </c>
      <c r="C37" s="33" t="s">
        <v>47</v>
      </c>
      <c r="D37" s="33" t="s">
        <v>186</v>
      </c>
      <c r="E37" s="39">
        <v>1</v>
      </c>
      <c r="F37" s="33" t="s">
        <v>191</v>
      </c>
      <c r="G37" s="33" t="s">
        <v>25</v>
      </c>
      <c r="H37" s="33" t="s">
        <v>192</v>
      </c>
      <c r="I37" s="33" t="s">
        <v>51</v>
      </c>
      <c r="J37" s="33" t="s">
        <v>52</v>
      </c>
      <c r="K37" s="33" t="s">
        <v>29</v>
      </c>
      <c r="L37" s="33" t="s">
        <v>30</v>
      </c>
      <c r="M37" s="33" t="s">
        <v>82</v>
      </c>
      <c r="N37" s="33" t="s">
        <v>34</v>
      </c>
      <c r="O37" s="33" t="s">
        <v>193</v>
      </c>
      <c r="P37" s="33" t="s">
        <v>194</v>
      </c>
      <c r="Q37" s="33" t="s">
        <v>34</v>
      </c>
      <c r="R37" s="39">
        <v>5</v>
      </c>
      <c r="S37" s="39">
        <v>18</v>
      </c>
      <c r="T37" s="35">
        <v>46143</v>
      </c>
      <c r="U37" s="33" t="s">
        <v>35</v>
      </c>
      <c r="V37" s="33" t="s">
        <v>56</v>
      </c>
    </row>
    <row r="38" spans="1:22">
      <c r="A38" s="35">
        <v>46143</v>
      </c>
      <c r="B38" s="37">
        <v>46143</v>
      </c>
      <c r="C38" s="33" t="s">
        <v>63</v>
      </c>
      <c r="D38" s="33" t="s">
        <v>42</v>
      </c>
      <c r="E38" s="39">
        <v>1</v>
      </c>
      <c r="F38" s="33" t="s">
        <v>195</v>
      </c>
      <c r="G38" s="33" t="s">
        <v>25</v>
      </c>
      <c r="H38" s="33" t="s">
        <v>26</v>
      </c>
      <c r="I38" s="33" t="s">
        <v>27</v>
      </c>
      <c r="J38" s="33" t="s">
        <v>44</v>
      </c>
      <c r="K38" s="33" t="s">
        <v>29</v>
      </c>
      <c r="L38" s="33" t="s">
        <v>30</v>
      </c>
      <c r="M38" s="33" t="s">
        <v>152</v>
      </c>
      <c r="N38" s="33" t="s">
        <v>34</v>
      </c>
      <c r="O38" s="33" t="s">
        <v>196</v>
      </c>
      <c r="P38" s="33" t="s">
        <v>197</v>
      </c>
      <c r="Q38" s="33" t="s">
        <v>34</v>
      </c>
      <c r="R38" s="39">
        <v>5</v>
      </c>
      <c r="S38" s="39">
        <v>720</v>
      </c>
      <c r="T38" s="35">
        <v>46143</v>
      </c>
      <c r="U38" s="33" t="s">
        <v>35</v>
      </c>
      <c r="V38" s="33" t="s">
        <v>31</v>
      </c>
    </row>
    <row r="39" spans="1:22">
      <c r="A39" s="35">
        <v>46143</v>
      </c>
      <c r="B39" s="37">
        <v>46143</v>
      </c>
      <c r="C39" s="33" t="s">
        <v>129</v>
      </c>
      <c r="D39" s="33" t="s">
        <v>198</v>
      </c>
      <c r="E39" s="39">
        <v>1</v>
      </c>
      <c r="F39" s="33" t="s">
        <v>199</v>
      </c>
      <c r="G39" s="33" t="s">
        <v>25</v>
      </c>
      <c r="H39" s="33" t="s">
        <v>200</v>
      </c>
      <c r="I39" s="33" t="s">
        <v>27</v>
      </c>
      <c r="J39" s="33" t="s">
        <v>28</v>
      </c>
      <c r="K39" s="33" t="s">
        <v>29</v>
      </c>
      <c r="L39" s="33" t="s">
        <v>30</v>
      </c>
      <c r="M39" s="33" t="s">
        <v>31</v>
      </c>
      <c r="N39" s="33" t="s">
        <v>34</v>
      </c>
      <c r="O39" s="33" t="s">
        <v>201</v>
      </c>
      <c r="P39" s="33"/>
      <c r="Q39" s="33" t="s">
        <v>34</v>
      </c>
      <c r="R39" s="39">
        <v>5</v>
      </c>
      <c r="S39" s="39"/>
      <c r="T39" s="35">
        <v>46143</v>
      </c>
      <c r="U39" s="33" t="s">
        <v>35</v>
      </c>
      <c r="V39" s="33" t="s">
        <v>31</v>
      </c>
    </row>
    <row r="40" spans="1:22">
      <c r="A40" s="35">
        <v>46143</v>
      </c>
      <c r="B40" s="37">
        <v>46147</v>
      </c>
      <c r="C40" s="33" t="s">
        <v>63</v>
      </c>
      <c r="D40" s="33" t="s">
        <v>42</v>
      </c>
      <c r="E40" s="39">
        <v>1</v>
      </c>
      <c r="F40" s="33" t="s">
        <v>202</v>
      </c>
      <c r="G40" s="33" t="s">
        <v>25</v>
      </c>
      <c r="H40" s="33" t="s">
        <v>50</v>
      </c>
      <c r="I40" s="33" t="s">
        <v>27</v>
      </c>
      <c r="J40" s="33" t="s">
        <v>203</v>
      </c>
      <c r="K40" s="33" t="s">
        <v>29</v>
      </c>
      <c r="L40" s="33" t="s">
        <v>74</v>
      </c>
      <c r="M40" s="33" t="s">
        <v>204</v>
      </c>
      <c r="N40" s="33" t="s">
        <v>32</v>
      </c>
      <c r="O40" s="33" t="s">
        <v>205</v>
      </c>
      <c r="P40" s="33"/>
      <c r="Q40" s="33" t="s">
        <v>32</v>
      </c>
      <c r="R40" s="39">
        <v>5</v>
      </c>
      <c r="S40" s="39"/>
      <c r="T40" s="35">
        <v>46143</v>
      </c>
      <c r="U40" s="33" t="s">
        <v>35</v>
      </c>
      <c r="V40" s="33" t="s">
        <v>46</v>
      </c>
    </row>
    <row r="41" spans="1:22">
      <c r="A41" s="35">
        <v>46143</v>
      </c>
      <c r="B41" s="37">
        <v>46149</v>
      </c>
      <c r="C41" s="33" t="s">
        <v>129</v>
      </c>
      <c r="D41" s="33" t="s">
        <v>206</v>
      </c>
      <c r="E41" s="39">
        <v>1</v>
      </c>
      <c r="F41" s="33" t="s">
        <v>207</v>
      </c>
      <c r="G41" s="33" t="s">
        <v>25</v>
      </c>
      <c r="H41" s="33" t="s">
        <v>26</v>
      </c>
      <c r="I41" s="33" t="s">
        <v>51</v>
      </c>
      <c r="J41" s="33" t="s">
        <v>52</v>
      </c>
      <c r="K41" s="33" t="s">
        <v>29</v>
      </c>
      <c r="L41" s="33" t="s">
        <v>30</v>
      </c>
      <c r="M41" s="33" t="s">
        <v>82</v>
      </c>
      <c r="N41" s="33" t="s">
        <v>34</v>
      </c>
      <c r="O41" s="33" t="s">
        <v>208</v>
      </c>
      <c r="P41" s="33"/>
      <c r="Q41" s="33" t="s">
        <v>34</v>
      </c>
      <c r="R41" s="39">
        <v>5</v>
      </c>
      <c r="S41" s="39"/>
      <c r="T41" s="35">
        <v>46143</v>
      </c>
      <c r="U41" s="33" t="s">
        <v>35</v>
      </c>
      <c r="V41" s="33" t="s">
        <v>56</v>
      </c>
    </row>
    <row r="42" spans="1:22">
      <c r="A42" s="35">
        <v>46143</v>
      </c>
      <c r="B42" s="37">
        <v>46149</v>
      </c>
      <c r="C42" s="33" t="s">
        <v>129</v>
      </c>
      <c r="D42" s="33" t="s">
        <v>42</v>
      </c>
      <c r="E42" s="39">
        <v>1</v>
      </c>
      <c r="F42" s="33" t="s">
        <v>209</v>
      </c>
      <c r="G42" s="33" t="s">
        <v>25</v>
      </c>
      <c r="H42" s="33" t="s">
        <v>210</v>
      </c>
      <c r="I42" s="33" t="s">
        <v>27</v>
      </c>
      <c r="J42" s="33" t="s">
        <v>28</v>
      </c>
      <c r="K42" s="33" t="s">
        <v>29</v>
      </c>
      <c r="L42" s="33" t="s">
        <v>30</v>
      </c>
      <c r="M42" s="33" t="s">
        <v>31</v>
      </c>
      <c r="N42" s="33" t="s">
        <v>34</v>
      </c>
      <c r="O42" s="33" t="s">
        <v>211</v>
      </c>
      <c r="P42" s="33"/>
      <c r="Q42" s="33" t="s">
        <v>34</v>
      </c>
      <c r="R42" s="39">
        <v>5</v>
      </c>
      <c r="S42" s="39"/>
      <c r="T42" s="35">
        <v>46143</v>
      </c>
      <c r="U42" s="33" t="s">
        <v>35</v>
      </c>
      <c r="V42" s="33" t="s">
        <v>31</v>
      </c>
    </row>
    <row r="43" spans="1:22">
      <c r="A43" s="35">
        <v>46143</v>
      </c>
      <c r="B43" s="37">
        <v>46154</v>
      </c>
      <c r="C43" s="33" t="s">
        <v>113</v>
      </c>
      <c r="D43" s="33" t="s">
        <v>37</v>
      </c>
      <c r="E43" s="39">
        <v>1</v>
      </c>
      <c r="F43" s="33" t="s">
        <v>212</v>
      </c>
      <c r="G43" s="33" t="s">
        <v>25</v>
      </c>
      <c r="H43" s="33" t="s">
        <v>86</v>
      </c>
      <c r="I43" s="33" t="s">
        <v>72</v>
      </c>
      <c r="J43" s="33" t="s">
        <v>133</v>
      </c>
      <c r="K43" s="33" t="s">
        <v>29</v>
      </c>
      <c r="L43" s="33" t="s">
        <v>74</v>
      </c>
      <c r="M43" s="33" t="s">
        <v>213</v>
      </c>
      <c r="N43" s="33" t="s">
        <v>34</v>
      </c>
      <c r="O43" s="33" t="s">
        <v>214</v>
      </c>
      <c r="P43" s="33"/>
      <c r="Q43" s="33" t="s">
        <v>32</v>
      </c>
      <c r="R43" s="39">
        <v>5</v>
      </c>
      <c r="S43" s="39"/>
      <c r="T43" s="35">
        <v>46143</v>
      </c>
      <c r="U43" s="33" t="s">
        <v>35</v>
      </c>
      <c r="V43" s="33" t="s">
        <v>46</v>
      </c>
    </row>
    <row r="44" spans="1:22">
      <c r="A44" s="35">
        <v>46143</v>
      </c>
      <c r="B44" s="37">
        <v>46154</v>
      </c>
      <c r="C44" s="33" t="s">
        <v>113</v>
      </c>
      <c r="D44" s="33" t="s">
        <v>215</v>
      </c>
      <c r="E44" s="39">
        <v>1</v>
      </c>
      <c r="F44" s="33" t="s">
        <v>216</v>
      </c>
      <c r="G44" s="33" t="s">
        <v>25</v>
      </c>
      <c r="H44" s="33" t="s">
        <v>217</v>
      </c>
      <c r="I44" s="33" t="s">
        <v>51</v>
      </c>
      <c r="J44" s="33" t="s">
        <v>52</v>
      </c>
      <c r="K44" s="33" t="s">
        <v>29</v>
      </c>
      <c r="L44" s="33" t="s">
        <v>30</v>
      </c>
      <c r="M44" s="33" t="s">
        <v>82</v>
      </c>
      <c r="N44" s="33" t="s">
        <v>34</v>
      </c>
      <c r="O44" s="33" t="s">
        <v>218</v>
      </c>
      <c r="P44" s="33" t="s">
        <v>219</v>
      </c>
      <c r="Q44" s="33" t="s">
        <v>34</v>
      </c>
      <c r="R44" s="39">
        <v>5</v>
      </c>
      <c r="S44" s="39">
        <v>144</v>
      </c>
      <c r="T44" s="35">
        <v>46143</v>
      </c>
      <c r="U44" s="33" t="s">
        <v>220</v>
      </c>
      <c r="V44" s="33" t="s">
        <v>56</v>
      </c>
    </row>
    <row r="45" spans="1:22">
      <c r="A45" s="35">
        <v>46143</v>
      </c>
      <c r="B45" s="37">
        <v>46155</v>
      </c>
      <c r="C45" s="33" t="s">
        <v>122</v>
      </c>
      <c r="D45" s="33" t="s">
        <v>206</v>
      </c>
      <c r="E45" s="39">
        <v>1</v>
      </c>
      <c r="F45" s="33" t="s">
        <v>221</v>
      </c>
      <c r="G45" s="33" t="s">
        <v>25</v>
      </c>
      <c r="H45" s="33" t="s">
        <v>150</v>
      </c>
      <c r="I45" s="33" t="s">
        <v>51</v>
      </c>
      <c r="J45" s="33" t="s">
        <v>52</v>
      </c>
      <c r="K45" s="33" t="s">
        <v>29</v>
      </c>
      <c r="L45" s="33" t="s">
        <v>30</v>
      </c>
      <c r="M45" s="33" t="s">
        <v>82</v>
      </c>
      <c r="N45" s="33" t="s">
        <v>34</v>
      </c>
      <c r="O45" s="33" t="s">
        <v>222</v>
      </c>
      <c r="P45" s="33" t="s">
        <v>223</v>
      </c>
      <c r="Q45" s="33" t="s">
        <v>34</v>
      </c>
      <c r="R45" s="39">
        <v>5</v>
      </c>
      <c r="S45" s="39">
        <v>48</v>
      </c>
      <c r="T45" s="35">
        <v>46143</v>
      </c>
      <c r="U45" s="33" t="s">
        <v>220</v>
      </c>
      <c r="V45" s="33" t="s">
        <v>56</v>
      </c>
    </row>
    <row r="46" spans="1:22">
      <c r="A46" s="35">
        <v>46143</v>
      </c>
      <c r="B46" s="37">
        <v>46157</v>
      </c>
      <c r="C46" s="33" t="s">
        <v>57</v>
      </c>
      <c r="D46" s="33" t="s">
        <v>42</v>
      </c>
      <c r="E46" s="39">
        <v>1</v>
      </c>
      <c r="F46" s="33" t="s">
        <v>224</v>
      </c>
      <c r="G46" s="33" t="s">
        <v>25</v>
      </c>
      <c r="H46" s="33" t="s">
        <v>26</v>
      </c>
      <c r="I46" s="33" t="s">
        <v>27</v>
      </c>
      <c r="J46" s="33" t="s">
        <v>39</v>
      </c>
      <c r="K46" s="33" t="s">
        <v>29</v>
      </c>
      <c r="L46" s="33" t="s">
        <v>30</v>
      </c>
      <c r="M46" s="33" t="s">
        <v>31</v>
      </c>
      <c r="N46" s="33" t="s">
        <v>34</v>
      </c>
      <c r="O46" s="33" t="s">
        <v>225</v>
      </c>
      <c r="P46" s="33"/>
      <c r="Q46" s="33" t="s">
        <v>34</v>
      </c>
      <c r="R46" s="39">
        <v>5</v>
      </c>
      <c r="S46" s="39"/>
      <c r="T46" s="35">
        <v>46143</v>
      </c>
      <c r="U46" s="33" t="s">
        <v>35</v>
      </c>
      <c r="V46" s="33" t="s">
        <v>31</v>
      </c>
    </row>
    <row r="47" spans="1:22">
      <c r="A47" s="35">
        <v>46143</v>
      </c>
      <c r="B47" s="37">
        <v>46157</v>
      </c>
      <c r="C47" s="33" t="s">
        <v>113</v>
      </c>
      <c r="D47" s="33" t="s">
        <v>226</v>
      </c>
      <c r="E47" s="39">
        <v>1</v>
      </c>
      <c r="F47" s="33" t="s">
        <v>227</v>
      </c>
      <c r="G47" s="33" t="s">
        <v>25</v>
      </c>
      <c r="H47" s="33" t="s">
        <v>228</v>
      </c>
      <c r="I47" s="33" t="s">
        <v>27</v>
      </c>
      <c r="J47" s="33" t="s">
        <v>133</v>
      </c>
      <c r="K47" s="33" t="s">
        <v>29</v>
      </c>
      <c r="L47" s="33" t="s">
        <v>74</v>
      </c>
      <c r="M47" s="33" t="s">
        <v>229</v>
      </c>
      <c r="N47" s="33" t="s">
        <v>34</v>
      </c>
      <c r="O47" s="33" t="s">
        <v>230</v>
      </c>
      <c r="P47" s="33"/>
      <c r="Q47" s="33" t="s">
        <v>34</v>
      </c>
      <c r="R47" s="39">
        <v>5</v>
      </c>
      <c r="S47" s="39"/>
      <c r="T47" s="35">
        <v>46143</v>
      </c>
      <c r="U47" s="33" t="s">
        <v>35</v>
      </c>
      <c r="V47" s="33" t="s">
        <v>109</v>
      </c>
    </row>
    <row r="48" spans="1:22">
      <c r="A48" s="35">
        <v>46143</v>
      </c>
      <c r="B48" s="37">
        <v>46162</v>
      </c>
      <c r="C48" s="33" t="s">
        <v>122</v>
      </c>
      <c r="D48" s="33" t="s">
        <v>37</v>
      </c>
      <c r="E48" s="39">
        <v>1</v>
      </c>
      <c r="F48" s="33" t="s">
        <v>231</v>
      </c>
      <c r="G48" s="33" t="s">
        <v>25</v>
      </c>
      <c r="H48" s="33" t="s">
        <v>232</v>
      </c>
      <c r="I48" s="33" t="s">
        <v>27</v>
      </c>
      <c r="J48" s="33" t="s">
        <v>233</v>
      </c>
      <c r="K48" s="33" t="s">
        <v>29</v>
      </c>
      <c r="L48" s="33" t="s">
        <v>74</v>
      </c>
      <c r="M48" s="33" t="s">
        <v>234</v>
      </c>
      <c r="N48" s="33" t="s">
        <v>34</v>
      </c>
      <c r="O48" s="33" t="s">
        <v>235</v>
      </c>
      <c r="P48" s="33"/>
      <c r="Q48" s="33" t="s">
        <v>32</v>
      </c>
      <c r="R48" s="39">
        <v>5</v>
      </c>
      <c r="S48" s="39"/>
      <c r="T48" s="35">
        <v>46143</v>
      </c>
      <c r="U48" s="33" t="s">
        <v>35</v>
      </c>
      <c r="V48" s="33" t="s">
        <v>46</v>
      </c>
    </row>
    <row r="49" spans="1:22">
      <c r="A49" s="35">
        <v>46143</v>
      </c>
      <c r="B49" s="37">
        <v>46162</v>
      </c>
      <c r="C49" s="33" t="s">
        <v>36</v>
      </c>
      <c r="D49" s="33" t="s">
        <v>42</v>
      </c>
      <c r="E49" s="39">
        <v>1</v>
      </c>
      <c r="F49" s="33" t="s">
        <v>236</v>
      </c>
      <c r="G49" s="33" t="s">
        <v>25</v>
      </c>
      <c r="H49" s="33" t="s">
        <v>26</v>
      </c>
      <c r="I49" s="33" t="s">
        <v>27</v>
      </c>
      <c r="J49" s="33" t="s">
        <v>44</v>
      </c>
      <c r="K49" s="33" t="s">
        <v>29</v>
      </c>
      <c r="L49" s="33" t="s">
        <v>237</v>
      </c>
      <c r="M49" s="33" t="s">
        <v>159</v>
      </c>
      <c r="N49" s="33" t="s">
        <v>34</v>
      </c>
      <c r="O49" s="33" t="s">
        <v>238</v>
      </c>
      <c r="P49" s="33"/>
      <c r="Q49" s="33" t="s">
        <v>34</v>
      </c>
      <c r="R49" s="39">
        <v>5</v>
      </c>
      <c r="S49" s="39"/>
      <c r="T49" s="35">
        <v>46143</v>
      </c>
      <c r="U49" s="33" t="s">
        <v>35</v>
      </c>
      <c r="V49" s="33" t="s">
        <v>161</v>
      </c>
    </row>
    <row r="50" spans="1:22">
      <c r="A50" s="35">
        <v>46143</v>
      </c>
      <c r="B50" s="37">
        <v>46162</v>
      </c>
      <c r="C50" s="33" t="s">
        <v>239</v>
      </c>
      <c r="D50" s="33" t="s">
        <v>240</v>
      </c>
      <c r="E50" s="39">
        <v>1</v>
      </c>
      <c r="F50" s="33" t="s">
        <v>241</v>
      </c>
      <c r="G50" s="33" t="s">
        <v>25</v>
      </c>
      <c r="H50" s="33" t="s">
        <v>242</v>
      </c>
      <c r="I50" s="33" t="s">
        <v>51</v>
      </c>
      <c r="J50" s="33" t="s">
        <v>151</v>
      </c>
      <c r="K50" s="33" t="s">
        <v>29</v>
      </c>
      <c r="L50" s="33" t="s">
        <v>30</v>
      </c>
      <c r="M50" s="33" t="s">
        <v>229</v>
      </c>
      <c r="N50" s="33" t="s">
        <v>34</v>
      </c>
      <c r="O50" s="33" t="s">
        <v>243</v>
      </c>
      <c r="P50" s="33" t="s">
        <v>244</v>
      </c>
      <c r="Q50" s="33" t="s">
        <v>34</v>
      </c>
      <c r="R50" s="39">
        <v>5</v>
      </c>
      <c r="S50" s="39">
        <v>216</v>
      </c>
      <c r="T50" s="35">
        <v>46143</v>
      </c>
      <c r="U50" s="33" t="s">
        <v>35</v>
      </c>
      <c r="V50" s="33" t="s">
        <v>109</v>
      </c>
    </row>
    <row r="51" spans="1:22">
      <c r="A51" s="35">
        <v>46143</v>
      </c>
      <c r="B51" s="37">
        <v>46163</v>
      </c>
      <c r="C51" s="33" t="s">
        <v>245</v>
      </c>
      <c r="D51" s="33" t="s">
        <v>186</v>
      </c>
      <c r="E51" s="39">
        <v>1</v>
      </c>
      <c r="F51" s="33" t="s">
        <v>246</v>
      </c>
      <c r="G51" s="33" t="s">
        <v>25</v>
      </c>
      <c r="H51" s="33" t="s">
        <v>192</v>
      </c>
      <c r="I51" s="33" t="s">
        <v>51</v>
      </c>
      <c r="J51" s="33" t="s">
        <v>151</v>
      </c>
      <c r="K51" s="33" t="s">
        <v>29</v>
      </c>
      <c r="L51" s="33" t="s">
        <v>74</v>
      </c>
      <c r="M51" s="33" t="s">
        <v>82</v>
      </c>
      <c r="N51" s="33" t="s">
        <v>34</v>
      </c>
      <c r="O51" s="33" t="s">
        <v>247</v>
      </c>
      <c r="P51" s="33" t="s">
        <v>248</v>
      </c>
      <c r="Q51" s="33" t="s">
        <v>34</v>
      </c>
      <c r="R51" s="39">
        <v>5</v>
      </c>
      <c r="S51" s="39">
        <v>22.5</v>
      </c>
      <c r="T51" s="35">
        <v>46143</v>
      </c>
      <c r="U51" s="33" t="s">
        <v>35</v>
      </c>
      <c r="V51" s="33" t="s">
        <v>56</v>
      </c>
    </row>
    <row r="52" spans="1:22">
      <c r="A52" s="35">
        <v>46143</v>
      </c>
      <c r="B52" s="37">
        <v>46163</v>
      </c>
      <c r="C52" s="33" t="s">
        <v>245</v>
      </c>
      <c r="D52" s="33" t="s">
        <v>186</v>
      </c>
      <c r="E52" s="39">
        <v>1</v>
      </c>
      <c r="F52" s="33" t="s">
        <v>249</v>
      </c>
      <c r="G52" s="33" t="s">
        <v>25</v>
      </c>
      <c r="H52" s="33" t="s">
        <v>192</v>
      </c>
      <c r="I52" s="33" t="s">
        <v>51</v>
      </c>
      <c r="J52" s="33" t="s">
        <v>151</v>
      </c>
      <c r="K52" s="33" t="s">
        <v>29</v>
      </c>
      <c r="L52" s="33" t="s">
        <v>74</v>
      </c>
      <c r="M52" s="33" t="s">
        <v>82</v>
      </c>
      <c r="N52" s="33" t="s">
        <v>34</v>
      </c>
      <c r="O52" s="33" t="s">
        <v>250</v>
      </c>
      <c r="P52" s="33" t="s">
        <v>251</v>
      </c>
      <c r="Q52" s="33" t="s">
        <v>34</v>
      </c>
      <c r="R52" s="39">
        <v>5</v>
      </c>
      <c r="S52" s="39">
        <v>21</v>
      </c>
      <c r="T52" s="35">
        <v>46143</v>
      </c>
      <c r="U52" s="33" t="s">
        <v>35</v>
      </c>
      <c r="V52" s="33" t="s">
        <v>56</v>
      </c>
    </row>
    <row r="53" spans="1:22">
      <c r="A53" s="35">
        <v>46143</v>
      </c>
      <c r="B53" s="37">
        <v>46163</v>
      </c>
      <c r="C53" s="33" t="s">
        <v>252</v>
      </c>
      <c r="D53" s="33" t="s">
        <v>37</v>
      </c>
      <c r="E53" s="39">
        <v>1</v>
      </c>
      <c r="F53" s="33" t="s">
        <v>253</v>
      </c>
      <c r="G53" s="33" t="s">
        <v>25</v>
      </c>
      <c r="H53" s="33" t="s">
        <v>254</v>
      </c>
      <c r="I53" s="33" t="s">
        <v>27</v>
      </c>
      <c r="J53" s="33" t="s">
        <v>28</v>
      </c>
      <c r="K53" s="33" t="s">
        <v>29</v>
      </c>
      <c r="L53" s="33" t="s">
        <v>30</v>
      </c>
      <c r="M53" s="33" t="s">
        <v>31</v>
      </c>
      <c r="N53" s="33" t="s">
        <v>34</v>
      </c>
      <c r="O53" s="33" t="s">
        <v>255</v>
      </c>
      <c r="P53" s="33"/>
      <c r="Q53" s="33" t="s">
        <v>34</v>
      </c>
      <c r="R53" s="39">
        <v>5</v>
      </c>
      <c r="S53" s="39"/>
      <c r="T53" s="35">
        <v>46143</v>
      </c>
      <c r="U53" s="33" t="s">
        <v>35</v>
      </c>
      <c r="V53" s="33" t="s">
        <v>31</v>
      </c>
    </row>
    <row r="54" spans="1:22">
      <c r="A54" s="35">
        <v>46174</v>
      </c>
      <c r="B54" s="37">
        <v>46177</v>
      </c>
      <c r="C54" s="33" t="s">
        <v>36</v>
      </c>
      <c r="D54" s="34" t="s">
        <v>42</v>
      </c>
      <c r="E54" s="39">
        <v>1</v>
      </c>
      <c r="F54" s="33" t="s">
        <v>256</v>
      </c>
      <c r="G54" s="33" t="s">
        <v>25</v>
      </c>
      <c r="H54" s="33" t="s">
        <v>26</v>
      </c>
      <c r="I54" s="33" t="s">
        <v>27</v>
      </c>
      <c r="J54" s="33" t="s">
        <v>28</v>
      </c>
      <c r="K54" s="33" t="s">
        <v>29</v>
      </c>
      <c r="L54" s="33" t="s">
        <v>237</v>
      </c>
      <c r="M54" s="33" t="s">
        <v>31</v>
      </c>
      <c r="N54" s="33" t="s">
        <v>34</v>
      </c>
      <c r="O54" s="33" t="s">
        <v>257</v>
      </c>
      <c r="P54" s="33"/>
      <c r="Q54" s="33" t="s">
        <v>34</v>
      </c>
      <c r="R54" s="39">
        <v>6</v>
      </c>
      <c r="S54" s="39"/>
      <c r="T54" s="35">
        <v>46174</v>
      </c>
      <c r="U54" s="33" t="s">
        <v>35</v>
      </c>
      <c r="V54" s="33" t="s">
        <v>31</v>
      </c>
    </row>
    <row r="55" spans="1:22" s="29" customFormat="1">
      <c r="A55" s="36">
        <v>46143</v>
      </c>
      <c r="B55" s="38">
        <v>46164</v>
      </c>
      <c r="C55" s="34" t="s">
        <v>245</v>
      </c>
      <c r="D55" s="34" t="s">
        <v>42</v>
      </c>
      <c r="E55" s="40">
        <v>1</v>
      </c>
      <c r="F55" s="34" t="s">
        <v>258</v>
      </c>
      <c r="G55" s="34" t="s">
        <v>104</v>
      </c>
      <c r="H55" s="34" t="s">
        <v>259</v>
      </c>
      <c r="I55" s="34" t="s">
        <v>72</v>
      </c>
      <c r="J55" s="34" t="s">
        <v>106</v>
      </c>
      <c r="K55" s="34" t="s">
        <v>29</v>
      </c>
      <c r="L55" s="34" t="s">
        <v>74</v>
      </c>
      <c r="M55" s="34" t="s">
        <v>260</v>
      </c>
      <c r="N55" s="34" t="s">
        <v>34</v>
      </c>
      <c r="O55" s="34" t="s">
        <v>261</v>
      </c>
      <c r="P55" s="34" t="s">
        <v>248</v>
      </c>
      <c r="Q55" s="34" t="s">
        <v>32</v>
      </c>
      <c r="R55" s="40">
        <v>5</v>
      </c>
      <c r="S55" s="40">
        <v>22.5</v>
      </c>
      <c r="T55" s="36">
        <v>46143</v>
      </c>
      <c r="U55" s="34" t="s">
        <v>262</v>
      </c>
      <c r="V55" s="34" t="s">
        <v>161</v>
      </c>
    </row>
    <row r="56" spans="1:22">
      <c r="A56" s="35">
        <v>46174</v>
      </c>
      <c r="B56" s="37">
        <v>46176</v>
      </c>
      <c r="C56" s="33" t="s">
        <v>63</v>
      </c>
      <c r="D56" s="33" t="s">
        <v>42</v>
      </c>
      <c r="E56" s="39">
        <v>1</v>
      </c>
      <c r="F56" s="33" t="s">
        <v>263</v>
      </c>
      <c r="G56" s="33" t="s">
        <v>25</v>
      </c>
      <c r="H56" s="33" t="s">
        <v>26</v>
      </c>
      <c r="I56" s="33" t="s">
        <v>27</v>
      </c>
      <c r="J56" s="33" t="s">
        <v>39</v>
      </c>
      <c r="K56" s="33" t="s">
        <v>29</v>
      </c>
      <c r="L56" s="33" t="s">
        <v>30</v>
      </c>
      <c r="M56" s="33" t="s">
        <v>31</v>
      </c>
      <c r="N56" s="33" t="s">
        <v>34</v>
      </c>
      <c r="O56" s="33" t="s">
        <v>264</v>
      </c>
      <c r="P56" s="33"/>
      <c r="Q56" s="33" t="s">
        <v>34</v>
      </c>
      <c r="R56" s="39">
        <v>6</v>
      </c>
      <c r="S56" s="39"/>
      <c r="T56" s="35">
        <v>46174</v>
      </c>
      <c r="U56" s="33" t="s">
        <v>35</v>
      </c>
      <c r="V56" s="33" t="s">
        <v>31</v>
      </c>
    </row>
    <row r="57" spans="1:22">
      <c r="A57" s="35">
        <v>46174</v>
      </c>
      <c r="B57" s="37">
        <v>46178</v>
      </c>
      <c r="C57" s="33" t="s">
        <v>265</v>
      </c>
      <c r="D57" s="33" t="s">
        <v>37</v>
      </c>
      <c r="E57" s="39">
        <v>1</v>
      </c>
      <c r="F57" s="33" t="s">
        <v>266</v>
      </c>
      <c r="G57" s="33" t="s">
        <v>25</v>
      </c>
      <c r="H57" s="33" t="s">
        <v>26</v>
      </c>
      <c r="I57" s="33" t="s">
        <v>51</v>
      </c>
      <c r="J57" s="33" t="s">
        <v>52</v>
      </c>
      <c r="K57" s="33" t="s">
        <v>29</v>
      </c>
      <c r="L57" s="33" t="s">
        <v>237</v>
      </c>
      <c r="M57" s="33" t="s">
        <v>267</v>
      </c>
      <c r="N57" s="33" t="s">
        <v>34</v>
      </c>
      <c r="O57" s="33" t="s">
        <v>268</v>
      </c>
      <c r="P57" s="33"/>
      <c r="Q57" s="33" t="s">
        <v>34</v>
      </c>
      <c r="R57" s="39">
        <v>6</v>
      </c>
      <c r="S57" s="39"/>
      <c r="T57" s="35">
        <v>46174</v>
      </c>
      <c r="U57" s="33" t="s">
        <v>35</v>
      </c>
      <c r="V57" s="33" t="s">
        <v>56</v>
      </c>
    </row>
    <row r="58" spans="1:22">
      <c r="A58" s="35">
        <v>46174</v>
      </c>
      <c r="B58" s="37">
        <v>46188</v>
      </c>
      <c r="C58" s="33" t="s">
        <v>269</v>
      </c>
      <c r="D58" s="33" t="s">
        <v>37</v>
      </c>
      <c r="E58" s="39">
        <v>1</v>
      </c>
      <c r="F58" s="33" t="s">
        <v>270</v>
      </c>
      <c r="G58" s="33" t="s">
        <v>25</v>
      </c>
      <c r="H58" s="33" t="s">
        <v>26</v>
      </c>
      <c r="I58" s="33" t="s">
        <v>27</v>
      </c>
      <c r="J58" s="33" t="s">
        <v>44</v>
      </c>
      <c r="K58" s="33" t="s">
        <v>29</v>
      </c>
      <c r="L58" s="33" t="s">
        <v>237</v>
      </c>
      <c r="M58" s="33" t="s">
        <v>271</v>
      </c>
      <c r="N58" s="33" t="s">
        <v>34</v>
      </c>
      <c r="O58" s="33" t="s">
        <v>272</v>
      </c>
      <c r="P58" s="33"/>
      <c r="Q58" s="33" t="s">
        <v>34</v>
      </c>
      <c r="R58" s="39">
        <v>6</v>
      </c>
      <c r="S58" s="39"/>
      <c r="T58" s="35">
        <v>46174</v>
      </c>
      <c r="U58" s="33" t="s">
        <v>35</v>
      </c>
      <c r="V58" s="33" t="s">
        <v>56</v>
      </c>
    </row>
    <row r="59" spans="1:22">
      <c r="A59" s="35">
        <v>46174</v>
      </c>
      <c r="B59" s="37">
        <v>46196</v>
      </c>
      <c r="C59" s="33" t="s">
        <v>239</v>
      </c>
      <c r="D59" s="33" t="s">
        <v>58</v>
      </c>
      <c r="E59" s="39">
        <v>1</v>
      </c>
      <c r="F59" s="33" t="s">
        <v>273</v>
      </c>
      <c r="G59" s="33" t="s">
        <v>25</v>
      </c>
      <c r="H59" s="33" t="s">
        <v>274</v>
      </c>
      <c r="I59" s="33" t="s">
        <v>51</v>
      </c>
      <c r="J59" s="33" t="s">
        <v>106</v>
      </c>
      <c r="K59" s="33" t="s">
        <v>29</v>
      </c>
      <c r="L59" s="33" t="s">
        <v>237</v>
      </c>
      <c r="M59" s="33" t="s">
        <v>275</v>
      </c>
      <c r="N59" s="33" t="s">
        <v>34</v>
      </c>
      <c r="O59" s="33" t="s">
        <v>276</v>
      </c>
      <c r="P59" s="33"/>
      <c r="Q59" s="33" t="s">
        <v>32</v>
      </c>
      <c r="R59" s="39">
        <v>6</v>
      </c>
      <c r="S59" s="39"/>
      <c r="T59" s="35">
        <v>46174</v>
      </c>
      <c r="U59" s="33" t="s">
        <v>35</v>
      </c>
      <c r="V59" s="33" t="s">
        <v>109</v>
      </c>
    </row>
    <row r="60" spans="1:22">
      <c r="A60" s="35">
        <v>46174</v>
      </c>
      <c r="B60" s="37">
        <v>46196</v>
      </c>
      <c r="C60" s="33" t="s">
        <v>277</v>
      </c>
      <c r="D60" s="33" t="s">
        <v>278</v>
      </c>
      <c r="E60" s="39">
        <v>1</v>
      </c>
      <c r="F60" s="33" t="s">
        <v>279</v>
      </c>
      <c r="G60" s="33" t="s">
        <v>104</v>
      </c>
      <c r="H60" s="33" t="s">
        <v>280</v>
      </c>
      <c r="I60" s="33" t="s">
        <v>72</v>
      </c>
      <c r="J60" s="33" t="s">
        <v>133</v>
      </c>
      <c r="K60" s="33" t="s">
        <v>29</v>
      </c>
      <c r="L60" s="33" t="s">
        <v>74</v>
      </c>
      <c r="M60" s="33" t="s">
        <v>281</v>
      </c>
      <c r="N60" s="33" t="s">
        <v>32</v>
      </c>
      <c r="O60" s="33" t="s">
        <v>282</v>
      </c>
      <c r="P60" s="33"/>
      <c r="Q60" s="33" t="s">
        <v>32</v>
      </c>
      <c r="R60" s="39">
        <v>6</v>
      </c>
      <c r="S60" s="39"/>
      <c r="T60" s="35">
        <v>46174</v>
      </c>
      <c r="U60" s="33" t="s">
        <v>35</v>
      </c>
      <c r="V60" s="33" t="s">
        <v>46</v>
      </c>
    </row>
    <row r="61" spans="1:22">
      <c r="A61" s="35">
        <v>46174</v>
      </c>
      <c r="B61" s="37">
        <v>46188</v>
      </c>
      <c r="C61" s="33" t="s">
        <v>122</v>
      </c>
      <c r="D61" s="33" t="s">
        <v>283</v>
      </c>
      <c r="E61" s="39">
        <v>1</v>
      </c>
      <c r="F61" s="33" t="s">
        <v>284</v>
      </c>
      <c r="G61" s="33" t="s">
        <v>104</v>
      </c>
      <c r="H61" s="33" t="s">
        <v>86</v>
      </c>
      <c r="I61" s="33" t="s">
        <v>72</v>
      </c>
      <c r="J61" s="33" t="s">
        <v>133</v>
      </c>
      <c r="K61" s="33" t="s">
        <v>29</v>
      </c>
      <c r="L61" s="33" t="s">
        <v>74</v>
      </c>
      <c r="M61" s="33" t="s">
        <v>285</v>
      </c>
      <c r="N61" s="33" t="s">
        <v>32</v>
      </c>
      <c r="O61" s="33" t="s">
        <v>286</v>
      </c>
      <c r="P61" s="33"/>
      <c r="Q61" s="33" t="s">
        <v>32</v>
      </c>
      <c r="R61" s="39">
        <v>6</v>
      </c>
      <c r="S61" s="39"/>
      <c r="T61" s="35">
        <v>46174</v>
      </c>
      <c r="U61" s="33" t="s">
        <v>35</v>
      </c>
      <c r="V61" s="33" t="s">
        <v>46</v>
      </c>
    </row>
    <row r="62" spans="1:22">
      <c r="A62" s="35">
        <v>46174</v>
      </c>
      <c r="B62" s="37">
        <v>46198</v>
      </c>
      <c r="C62" s="33" t="s">
        <v>22</v>
      </c>
      <c r="D62" s="33" t="s">
        <v>58</v>
      </c>
      <c r="E62" s="39">
        <v>1</v>
      </c>
      <c r="F62" s="33" t="s">
        <v>287</v>
      </c>
      <c r="G62" s="33" t="s">
        <v>25</v>
      </c>
      <c r="H62" s="33" t="s">
        <v>26</v>
      </c>
      <c r="I62" s="33" t="s">
        <v>27</v>
      </c>
      <c r="J62" s="33" t="s">
        <v>44</v>
      </c>
      <c r="K62" s="33" t="s">
        <v>29</v>
      </c>
      <c r="L62" s="33" t="s">
        <v>237</v>
      </c>
      <c r="M62" s="33" t="s">
        <v>288</v>
      </c>
      <c r="N62" s="33" t="s">
        <v>34</v>
      </c>
      <c r="O62" s="33" t="s">
        <v>289</v>
      </c>
      <c r="P62" s="33"/>
      <c r="Q62" s="33" t="s">
        <v>34</v>
      </c>
      <c r="R62" s="39">
        <v>6</v>
      </c>
      <c r="S62" s="39"/>
      <c r="T62" s="35">
        <v>46174</v>
      </c>
      <c r="U62" s="33" t="s">
        <v>35</v>
      </c>
      <c r="V62" s="33" t="s">
        <v>109</v>
      </c>
    </row>
    <row r="63" spans="1:22">
      <c r="A63" s="35">
        <v>46174</v>
      </c>
      <c r="B63" s="37">
        <v>46197</v>
      </c>
      <c r="C63" s="33" t="s">
        <v>113</v>
      </c>
      <c r="D63" s="33" t="s">
        <v>278</v>
      </c>
      <c r="E63" s="39">
        <v>1</v>
      </c>
      <c r="F63" s="33" t="s">
        <v>290</v>
      </c>
      <c r="G63" s="33" t="s">
        <v>25</v>
      </c>
      <c r="H63" s="33" t="s">
        <v>26</v>
      </c>
      <c r="I63" s="33" t="s">
        <v>51</v>
      </c>
      <c r="J63" s="33" t="s">
        <v>52</v>
      </c>
      <c r="K63" s="33" t="s">
        <v>29</v>
      </c>
      <c r="L63" s="33" t="s">
        <v>237</v>
      </c>
      <c r="M63" s="33" t="s">
        <v>291</v>
      </c>
      <c r="N63" s="33" t="s">
        <v>34</v>
      </c>
      <c r="O63" s="33" t="s">
        <v>292</v>
      </c>
      <c r="P63" s="33"/>
      <c r="Q63" s="33" t="s">
        <v>34</v>
      </c>
      <c r="R63" s="39">
        <v>6</v>
      </c>
      <c r="S63" s="39"/>
      <c r="T63" s="35">
        <v>46174</v>
      </c>
      <c r="U63" s="33" t="s">
        <v>35</v>
      </c>
      <c r="V63" s="33" t="s">
        <v>56</v>
      </c>
    </row>
    <row r="64" spans="1:22">
      <c r="A64" s="35">
        <v>46174</v>
      </c>
      <c r="B64" s="37">
        <v>46199</v>
      </c>
      <c r="C64" s="33" t="s">
        <v>47</v>
      </c>
      <c r="D64" s="33" t="s">
        <v>293</v>
      </c>
      <c r="E64" s="39">
        <v>1</v>
      </c>
      <c r="F64" s="33" t="s">
        <v>294</v>
      </c>
      <c r="G64" s="33" t="s">
        <v>25</v>
      </c>
      <c r="H64" s="33" t="s">
        <v>295</v>
      </c>
      <c r="I64" s="33" t="s">
        <v>51</v>
      </c>
      <c r="J64" s="33" t="s">
        <v>52</v>
      </c>
      <c r="K64" s="33" t="s">
        <v>29</v>
      </c>
      <c r="L64" s="33" t="s">
        <v>30</v>
      </c>
      <c r="M64" s="33" t="s">
        <v>296</v>
      </c>
      <c r="N64" s="33" t="s">
        <v>34</v>
      </c>
      <c r="O64" s="33" t="s">
        <v>297</v>
      </c>
      <c r="P64" s="33"/>
      <c r="Q64" s="33" t="s">
        <v>32</v>
      </c>
      <c r="R64" s="39">
        <v>6</v>
      </c>
      <c r="S64" s="39"/>
      <c r="T64" s="35">
        <v>46174</v>
      </c>
      <c r="U64" s="33" t="s">
        <v>35</v>
      </c>
      <c r="V64" s="33" t="s">
        <v>161</v>
      </c>
    </row>
    <row r="65" spans="1:22">
      <c r="A65" s="35">
        <v>46174</v>
      </c>
      <c r="B65" s="37">
        <v>46203</v>
      </c>
      <c r="C65" s="33" t="s">
        <v>22</v>
      </c>
      <c r="D65" s="33" t="s">
        <v>58</v>
      </c>
      <c r="E65" s="39">
        <v>1</v>
      </c>
      <c r="F65" s="33" t="s">
        <v>298</v>
      </c>
      <c r="G65" s="33" t="s">
        <v>104</v>
      </c>
      <c r="H65" s="33" t="s">
        <v>299</v>
      </c>
      <c r="I65" s="33" t="s">
        <v>72</v>
      </c>
      <c r="J65" s="33" t="s">
        <v>133</v>
      </c>
      <c r="K65" s="33" t="s">
        <v>29</v>
      </c>
      <c r="L65" s="33" t="s">
        <v>74</v>
      </c>
      <c r="M65" s="33" t="s">
        <v>300</v>
      </c>
      <c r="N65" s="33" t="s">
        <v>32</v>
      </c>
      <c r="O65" s="33" t="s">
        <v>301</v>
      </c>
      <c r="P65" s="33"/>
      <c r="Q65" s="33" t="s">
        <v>32</v>
      </c>
      <c r="R65" s="39">
        <v>6</v>
      </c>
      <c r="S65" s="39"/>
      <c r="T65" s="35">
        <v>46174</v>
      </c>
      <c r="U65" s="33" t="s">
        <v>35</v>
      </c>
      <c r="V65" s="33" t="s">
        <v>109</v>
      </c>
    </row>
    <row r="66" spans="1:22">
      <c r="A66" s="35">
        <v>46204</v>
      </c>
      <c r="B66" s="37">
        <v>46204</v>
      </c>
      <c r="C66" s="28" t="s">
        <v>57</v>
      </c>
      <c r="D66" s="33" t="s">
        <v>42</v>
      </c>
      <c r="E66" s="39">
        <v>1</v>
      </c>
      <c r="F66" s="33" t="s">
        <v>302</v>
      </c>
      <c r="G66" s="33" t="s">
        <v>25</v>
      </c>
      <c r="H66" s="33" t="s">
        <v>26</v>
      </c>
      <c r="I66" s="33" t="s">
        <v>27</v>
      </c>
      <c r="J66" s="33" t="s">
        <v>44</v>
      </c>
      <c r="K66" s="33" t="s">
        <v>29</v>
      </c>
      <c r="L66" s="33" t="s">
        <v>74</v>
      </c>
      <c r="M66" s="33" t="s">
        <v>303</v>
      </c>
      <c r="N66" s="33" t="s">
        <v>34</v>
      </c>
      <c r="O66" s="33" t="s">
        <v>304</v>
      </c>
      <c r="P66" s="33" t="s">
        <v>34</v>
      </c>
      <c r="Q66" s="33" t="s">
        <v>34</v>
      </c>
      <c r="R66" s="39">
        <v>7</v>
      </c>
      <c r="S66" s="39"/>
      <c r="T66" s="35">
        <v>46204</v>
      </c>
      <c r="U66" s="33" t="s">
        <v>35</v>
      </c>
      <c r="V66" s="33" t="s">
        <v>31</v>
      </c>
    </row>
    <row r="67" spans="1:22">
      <c r="A67" s="35">
        <v>46204</v>
      </c>
      <c r="B67" s="37">
        <v>46209</v>
      </c>
      <c r="C67" s="33" t="s">
        <v>22</v>
      </c>
      <c r="D67" s="33" t="s">
        <v>42</v>
      </c>
      <c r="E67" s="39">
        <v>1</v>
      </c>
      <c r="F67" s="33" t="s">
        <v>305</v>
      </c>
      <c r="G67" s="33" t="s">
        <v>25</v>
      </c>
      <c r="H67" s="33" t="s">
        <v>26</v>
      </c>
      <c r="I67" s="33" t="s">
        <v>51</v>
      </c>
      <c r="J67" s="33" t="s">
        <v>44</v>
      </c>
      <c r="K67" s="33" t="s">
        <v>29</v>
      </c>
      <c r="L67" s="33" t="s">
        <v>74</v>
      </c>
      <c r="M67" s="33" t="s">
        <v>306</v>
      </c>
      <c r="N67" s="33" t="s">
        <v>34</v>
      </c>
      <c r="O67" s="33" t="s">
        <v>307</v>
      </c>
      <c r="P67" s="33"/>
      <c r="Q67" s="33" t="s">
        <v>34</v>
      </c>
      <c r="R67" s="39">
        <v>7</v>
      </c>
      <c r="S67" s="39"/>
      <c r="T67" s="35">
        <v>46204</v>
      </c>
      <c r="U67" s="33" t="s">
        <v>35</v>
      </c>
      <c r="V67" s="33" t="s">
        <v>56</v>
      </c>
    </row>
    <row r="68" spans="1:22">
      <c r="A68" s="35">
        <v>46204</v>
      </c>
      <c r="B68" s="37">
        <v>46211</v>
      </c>
      <c r="C68" s="33" t="s">
        <v>22</v>
      </c>
      <c r="D68" s="33" t="s">
        <v>42</v>
      </c>
      <c r="E68" s="39">
        <v>1</v>
      </c>
      <c r="F68" s="33" t="s">
        <v>308</v>
      </c>
      <c r="G68" s="33" t="s">
        <v>25</v>
      </c>
      <c r="H68" s="33" t="s">
        <v>26</v>
      </c>
      <c r="I68" s="33" t="s">
        <v>51</v>
      </c>
      <c r="J68" s="33" t="s">
        <v>52</v>
      </c>
      <c r="K68" s="33" t="s">
        <v>29</v>
      </c>
      <c r="L68" s="33" t="s">
        <v>74</v>
      </c>
      <c r="M68" s="33" t="s">
        <v>306</v>
      </c>
      <c r="N68" s="33" t="s">
        <v>34</v>
      </c>
      <c r="O68" s="33" t="s">
        <v>309</v>
      </c>
      <c r="P68" s="33"/>
      <c r="Q68" s="33" t="s">
        <v>34</v>
      </c>
      <c r="R68" s="39">
        <v>7</v>
      </c>
      <c r="S68" s="39"/>
      <c r="T68" s="35">
        <v>46204</v>
      </c>
      <c r="U68" s="33" t="s">
        <v>35</v>
      </c>
      <c r="V68" s="33" t="s">
        <v>56</v>
      </c>
    </row>
    <row r="69" spans="1:22">
      <c r="A69" s="35">
        <v>46204</v>
      </c>
      <c r="B69" s="37">
        <v>46211</v>
      </c>
      <c r="C69" s="33" t="s">
        <v>122</v>
      </c>
      <c r="D69" s="33" t="s">
        <v>310</v>
      </c>
      <c r="E69" s="39">
        <v>1</v>
      </c>
      <c r="F69" s="33" t="s">
        <v>311</v>
      </c>
      <c r="G69" s="33" t="s">
        <v>104</v>
      </c>
      <c r="H69" s="33" t="s">
        <v>200</v>
      </c>
      <c r="I69" s="33" t="s">
        <v>72</v>
      </c>
      <c r="J69" s="33" t="s">
        <v>312</v>
      </c>
      <c r="K69" s="33" t="s">
        <v>29</v>
      </c>
      <c r="L69" s="33" t="s">
        <v>74</v>
      </c>
      <c r="M69" s="33" t="s">
        <v>313</v>
      </c>
      <c r="N69" s="33" t="s">
        <v>34</v>
      </c>
      <c r="O69" s="33" t="s">
        <v>314</v>
      </c>
      <c r="P69" s="33" t="s">
        <v>32</v>
      </c>
      <c r="Q69" s="33" t="s">
        <v>34</v>
      </c>
      <c r="R69" s="39">
        <v>7</v>
      </c>
      <c r="S69" s="39"/>
      <c r="T69" s="35">
        <v>46204</v>
      </c>
      <c r="U69" s="33" t="s">
        <v>262</v>
      </c>
      <c r="V69" s="33" t="s">
        <v>109</v>
      </c>
    </row>
    <row r="70" spans="1:22">
      <c r="A70" s="35">
        <v>46235</v>
      </c>
      <c r="B70" s="37">
        <v>46245</v>
      </c>
      <c r="C70" s="33" t="s">
        <v>129</v>
      </c>
      <c r="D70" s="33" t="s">
        <v>42</v>
      </c>
      <c r="E70" s="39">
        <v>1</v>
      </c>
      <c r="F70" s="33" t="s">
        <v>315</v>
      </c>
      <c r="G70" s="33" t="s">
        <v>25</v>
      </c>
      <c r="H70" s="33" t="s">
        <v>26</v>
      </c>
      <c r="I70" s="33" t="s">
        <v>51</v>
      </c>
      <c r="J70" s="33" t="s">
        <v>52</v>
      </c>
      <c r="K70" s="33" t="s">
        <v>29</v>
      </c>
      <c r="L70" s="33" t="s">
        <v>237</v>
      </c>
      <c r="M70" s="33" t="s">
        <v>316</v>
      </c>
      <c r="N70" s="33" t="s">
        <v>34</v>
      </c>
      <c r="O70" s="33" t="s">
        <v>317</v>
      </c>
      <c r="P70" s="33"/>
      <c r="Q70" s="33" t="s">
        <v>34</v>
      </c>
      <c r="R70" s="39">
        <v>8</v>
      </c>
      <c r="S70" s="39"/>
      <c r="T70" s="35">
        <v>46235</v>
      </c>
      <c r="U70" s="33" t="s">
        <v>35</v>
      </c>
      <c r="V70" s="33" t="s">
        <v>56</v>
      </c>
    </row>
    <row r="71" spans="1:22">
      <c r="A71" s="35">
        <v>46235</v>
      </c>
      <c r="B71" s="37">
        <v>46237</v>
      </c>
      <c r="C71" s="33" t="s">
        <v>22</v>
      </c>
      <c r="D71" s="33" t="s">
        <v>42</v>
      </c>
      <c r="E71" s="39">
        <v>1</v>
      </c>
      <c r="F71" s="33" t="s">
        <v>318</v>
      </c>
      <c r="G71" s="33" t="s">
        <v>25</v>
      </c>
      <c r="H71" s="33" t="s">
        <v>26</v>
      </c>
      <c r="I71" s="33" t="s">
        <v>27</v>
      </c>
      <c r="J71" s="33" t="s">
        <v>39</v>
      </c>
      <c r="K71" s="33" t="s">
        <v>29</v>
      </c>
      <c r="L71" s="33" t="s">
        <v>237</v>
      </c>
      <c r="M71" s="33" t="s">
        <v>31</v>
      </c>
      <c r="N71" s="33" t="s">
        <v>34</v>
      </c>
      <c r="O71" s="33" t="s">
        <v>319</v>
      </c>
      <c r="P71" s="33"/>
      <c r="Q71" s="33" t="s">
        <v>34</v>
      </c>
      <c r="R71" s="39">
        <v>8</v>
      </c>
      <c r="S71" s="39"/>
      <c r="T71" s="35">
        <v>46235</v>
      </c>
      <c r="U71" s="33" t="s">
        <v>35</v>
      </c>
      <c r="V71" s="33" t="s">
        <v>31</v>
      </c>
    </row>
    <row r="72" spans="1:22">
      <c r="A72" s="35">
        <v>46235</v>
      </c>
      <c r="B72" s="37">
        <v>46255</v>
      </c>
      <c r="C72" s="33" t="s">
        <v>320</v>
      </c>
      <c r="D72" s="33" t="s">
        <v>42</v>
      </c>
      <c r="E72" s="39">
        <v>1</v>
      </c>
      <c r="F72" s="33" t="s">
        <v>321</v>
      </c>
      <c r="G72" s="33" t="s">
        <v>25</v>
      </c>
      <c r="H72" s="33" t="s">
        <v>26</v>
      </c>
      <c r="I72" s="33" t="s">
        <v>27</v>
      </c>
      <c r="J72" s="33" t="s">
        <v>28</v>
      </c>
      <c r="K72" s="33" t="s">
        <v>29</v>
      </c>
      <c r="L72" s="33" t="s">
        <v>30</v>
      </c>
      <c r="M72" s="33" t="s">
        <v>31</v>
      </c>
      <c r="N72" s="33" t="s">
        <v>34</v>
      </c>
      <c r="O72" s="33" t="s">
        <v>322</v>
      </c>
      <c r="P72" s="33"/>
      <c r="Q72" s="33" t="s">
        <v>34</v>
      </c>
      <c r="R72" s="39">
        <v>8</v>
      </c>
      <c r="S72" s="39"/>
      <c r="T72" s="35">
        <v>46235</v>
      </c>
      <c r="U72" s="33" t="s">
        <v>35</v>
      </c>
      <c r="V72" s="33" t="s">
        <v>31</v>
      </c>
    </row>
    <row r="73" spans="1:22">
      <c r="A73" s="35">
        <v>46235</v>
      </c>
      <c r="B73" s="37">
        <v>46258</v>
      </c>
      <c r="C73" s="33" t="s">
        <v>22</v>
      </c>
      <c r="D73" s="33" t="s">
        <v>42</v>
      </c>
      <c r="E73" s="39">
        <v>1</v>
      </c>
      <c r="F73" s="33" t="s">
        <v>323</v>
      </c>
      <c r="G73" s="33" t="s">
        <v>25</v>
      </c>
      <c r="H73" s="33" t="s">
        <v>26</v>
      </c>
      <c r="I73" s="33" t="s">
        <v>51</v>
      </c>
      <c r="J73" s="33" t="s">
        <v>52</v>
      </c>
      <c r="K73" s="33" t="s">
        <v>29</v>
      </c>
      <c r="L73" s="33" t="s">
        <v>237</v>
      </c>
      <c r="M73" s="33" t="s">
        <v>316</v>
      </c>
      <c r="N73" s="33" t="s">
        <v>34</v>
      </c>
      <c r="O73" s="33" t="s">
        <v>324</v>
      </c>
      <c r="P73" s="33"/>
      <c r="Q73" s="33" t="s">
        <v>34</v>
      </c>
      <c r="R73" s="39">
        <v>8</v>
      </c>
      <c r="S73" s="39"/>
      <c r="T73" s="35">
        <v>46235</v>
      </c>
      <c r="U73" s="33" t="s">
        <v>35</v>
      </c>
      <c r="V73" s="33" t="s">
        <v>56</v>
      </c>
    </row>
    <row r="74" spans="1:22">
      <c r="A74" s="35">
        <v>46235</v>
      </c>
      <c r="B74" s="37">
        <v>46255</v>
      </c>
      <c r="C74" s="33" t="s">
        <v>22</v>
      </c>
      <c r="D74" s="33" t="s">
        <v>42</v>
      </c>
      <c r="E74" s="39">
        <v>1</v>
      </c>
      <c r="F74" s="33" t="s">
        <v>325</v>
      </c>
      <c r="G74" s="33" t="s">
        <v>25</v>
      </c>
      <c r="H74" s="33" t="s">
        <v>26</v>
      </c>
      <c r="I74" s="33" t="s">
        <v>27</v>
      </c>
      <c r="J74" s="33" t="s">
        <v>39</v>
      </c>
      <c r="K74" s="33" t="s">
        <v>29</v>
      </c>
      <c r="L74" s="33" t="s">
        <v>237</v>
      </c>
      <c r="M74" s="33" t="s">
        <v>31</v>
      </c>
      <c r="N74" s="33" t="s">
        <v>34</v>
      </c>
      <c r="O74" s="33" t="s">
        <v>326</v>
      </c>
      <c r="P74" s="33"/>
      <c r="Q74" s="33" t="s">
        <v>34</v>
      </c>
      <c r="R74" s="39">
        <v>8</v>
      </c>
      <c r="S74" s="39"/>
      <c r="T74" s="35">
        <v>46235</v>
      </c>
      <c r="U74" s="33" t="s">
        <v>35</v>
      </c>
      <c r="V74" s="33" t="s">
        <v>31</v>
      </c>
    </row>
    <row r="75" spans="1:22">
      <c r="A75" s="35">
        <v>46235</v>
      </c>
      <c r="B75" s="37">
        <v>46252</v>
      </c>
      <c r="C75" s="33" t="s">
        <v>22</v>
      </c>
      <c r="D75" s="33" t="s">
        <v>42</v>
      </c>
      <c r="E75" s="39">
        <v>1</v>
      </c>
      <c r="F75" s="33" t="s">
        <v>327</v>
      </c>
      <c r="G75" s="33" t="s">
        <v>25</v>
      </c>
      <c r="H75" s="33" t="s">
        <v>26</v>
      </c>
      <c r="I75" s="33" t="s">
        <v>27</v>
      </c>
      <c r="J75" s="33" t="s">
        <v>39</v>
      </c>
      <c r="K75" s="33" t="s">
        <v>29</v>
      </c>
      <c r="L75" s="33" t="s">
        <v>237</v>
      </c>
      <c r="M75" s="33" t="s">
        <v>31</v>
      </c>
      <c r="N75" s="33" t="s">
        <v>34</v>
      </c>
      <c r="O75" s="33" t="s">
        <v>328</v>
      </c>
      <c r="P75" s="33"/>
      <c r="Q75" s="33" t="s">
        <v>34</v>
      </c>
      <c r="R75" s="39">
        <v>8</v>
      </c>
      <c r="S75" s="39"/>
      <c r="T75" s="35">
        <v>46235</v>
      </c>
      <c r="U75" s="33" t="s">
        <v>35</v>
      </c>
      <c r="V75" s="33" t="s">
        <v>31</v>
      </c>
    </row>
    <row r="76" spans="1:22">
      <c r="A76" s="35">
        <v>46235</v>
      </c>
      <c r="B76" s="37">
        <v>46251</v>
      </c>
      <c r="C76" s="33" t="s">
        <v>68</v>
      </c>
      <c r="D76" s="33" t="s">
        <v>42</v>
      </c>
      <c r="E76" s="39">
        <v>1</v>
      </c>
      <c r="F76" s="33" t="s">
        <v>329</v>
      </c>
      <c r="G76" s="33" t="s">
        <v>25</v>
      </c>
      <c r="H76" s="33" t="s">
        <v>26</v>
      </c>
      <c r="I76" s="33" t="s">
        <v>51</v>
      </c>
      <c r="J76" s="33" t="s">
        <v>52</v>
      </c>
      <c r="K76" s="33" t="s">
        <v>29</v>
      </c>
      <c r="L76" s="33" t="s">
        <v>237</v>
      </c>
      <c r="M76" s="33" t="s">
        <v>330</v>
      </c>
      <c r="N76" s="33" t="s">
        <v>34</v>
      </c>
      <c r="O76" s="33" t="s">
        <v>331</v>
      </c>
      <c r="P76" s="33"/>
      <c r="Q76" s="33" t="s">
        <v>34</v>
      </c>
      <c r="R76" s="39">
        <v>8</v>
      </c>
      <c r="S76" s="39"/>
      <c r="T76" s="35">
        <v>46235</v>
      </c>
      <c r="U76" s="33" t="s">
        <v>35</v>
      </c>
      <c r="V76" s="33" t="s">
        <v>56</v>
      </c>
    </row>
    <row r="77" spans="1:22">
      <c r="A77" s="35">
        <v>46235</v>
      </c>
      <c r="B77" s="37">
        <v>46254</v>
      </c>
      <c r="C77" s="33" t="s">
        <v>332</v>
      </c>
      <c r="D77" s="33" t="s">
        <v>42</v>
      </c>
      <c r="E77" s="39">
        <v>1</v>
      </c>
      <c r="F77" s="33" t="s">
        <v>333</v>
      </c>
      <c r="G77" s="33" t="s">
        <v>25</v>
      </c>
      <c r="H77" s="33" t="s">
        <v>92</v>
      </c>
      <c r="I77" s="33" t="s">
        <v>27</v>
      </c>
      <c r="J77" s="33" t="s">
        <v>93</v>
      </c>
      <c r="K77" s="33" t="s">
        <v>29</v>
      </c>
      <c r="L77" s="33" t="s">
        <v>237</v>
      </c>
      <c r="M77" s="33" t="s">
        <v>334</v>
      </c>
      <c r="N77" s="33" t="s">
        <v>34</v>
      </c>
      <c r="O77" s="33" t="s">
        <v>335</v>
      </c>
      <c r="P77" s="33"/>
      <c r="Q77" s="33" t="s">
        <v>32</v>
      </c>
      <c r="R77" s="39">
        <v>8</v>
      </c>
      <c r="S77" s="39"/>
      <c r="T77" s="35">
        <v>46235</v>
      </c>
      <c r="U77" s="33" t="s">
        <v>262</v>
      </c>
      <c r="V77" s="33" t="s">
        <v>96</v>
      </c>
    </row>
    <row r="78" spans="1:22">
      <c r="A78" s="35">
        <v>46235</v>
      </c>
      <c r="B78" s="37">
        <v>46258</v>
      </c>
      <c r="C78" s="33" t="s">
        <v>113</v>
      </c>
      <c r="D78" s="33" t="s">
        <v>336</v>
      </c>
      <c r="E78" s="39">
        <v>1</v>
      </c>
      <c r="F78" s="33" t="s">
        <v>337</v>
      </c>
      <c r="G78" s="33" t="s">
        <v>25</v>
      </c>
      <c r="H78" s="33" t="s">
        <v>338</v>
      </c>
      <c r="I78" s="33" t="s">
        <v>72</v>
      </c>
      <c r="J78" s="33" t="s">
        <v>87</v>
      </c>
      <c r="K78" s="33" t="s">
        <v>29</v>
      </c>
      <c r="L78" s="33" t="s">
        <v>237</v>
      </c>
      <c r="M78" s="33" t="s">
        <v>89</v>
      </c>
      <c r="N78" s="33" t="s">
        <v>32</v>
      </c>
      <c r="O78" s="33" t="s">
        <v>339</v>
      </c>
      <c r="P78" s="33"/>
      <c r="Q78" s="33" t="s">
        <v>34</v>
      </c>
      <c r="R78" s="39">
        <v>8</v>
      </c>
      <c r="S78" s="39"/>
      <c r="T78" s="35">
        <v>46235</v>
      </c>
      <c r="U78" s="33" t="s">
        <v>35</v>
      </c>
      <c r="V78" s="33" t="s">
        <v>89</v>
      </c>
    </row>
    <row r="79" spans="1:22">
      <c r="A79" s="35">
        <v>46235</v>
      </c>
      <c r="B79" s="37">
        <v>46265</v>
      </c>
      <c r="C79" s="33" t="s">
        <v>113</v>
      </c>
      <c r="D79" s="33" t="s">
        <v>64</v>
      </c>
      <c r="E79" s="39">
        <v>1</v>
      </c>
      <c r="F79" s="33" t="s">
        <v>340</v>
      </c>
      <c r="G79" s="33" t="s">
        <v>25</v>
      </c>
      <c r="H79" s="33" t="s">
        <v>26</v>
      </c>
      <c r="I79" s="33" t="s">
        <v>27</v>
      </c>
      <c r="J79" s="33" t="s">
        <v>39</v>
      </c>
      <c r="K79" s="33" t="s">
        <v>29</v>
      </c>
      <c r="L79" s="33" t="s">
        <v>237</v>
      </c>
      <c r="M79" s="33" t="s">
        <v>31</v>
      </c>
      <c r="N79" s="33" t="s">
        <v>34</v>
      </c>
      <c r="O79" s="33" t="s">
        <v>341</v>
      </c>
      <c r="P79" s="33"/>
      <c r="Q79" s="33" t="s">
        <v>34</v>
      </c>
      <c r="R79" s="39">
        <v>8</v>
      </c>
      <c r="S79" s="39"/>
      <c r="T79" s="35">
        <v>46235</v>
      </c>
      <c r="U79" s="33" t="s">
        <v>35</v>
      </c>
      <c r="V79" s="33" t="s">
        <v>31</v>
      </c>
    </row>
    <row r="80" spans="1:22">
      <c r="A80" s="35">
        <v>46235</v>
      </c>
      <c r="B80" s="37">
        <v>46265</v>
      </c>
      <c r="C80" s="33" t="s">
        <v>113</v>
      </c>
      <c r="D80" s="33" t="s">
        <v>342</v>
      </c>
      <c r="E80" s="39">
        <v>1</v>
      </c>
      <c r="F80" s="33" t="s">
        <v>343</v>
      </c>
      <c r="G80" s="33" t="s">
        <v>25</v>
      </c>
      <c r="H80" s="33" t="s">
        <v>26</v>
      </c>
      <c r="I80" s="33" t="s">
        <v>51</v>
      </c>
      <c r="J80" s="33" t="s">
        <v>52</v>
      </c>
      <c r="K80" s="33" t="s">
        <v>29</v>
      </c>
      <c r="L80" s="33" t="s">
        <v>237</v>
      </c>
      <c r="M80" s="33" t="s">
        <v>316</v>
      </c>
      <c r="N80" s="33" t="s">
        <v>34</v>
      </c>
      <c r="O80" s="33" t="s">
        <v>344</v>
      </c>
      <c r="P80" s="33"/>
      <c r="Q80" s="33" t="s">
        <v>34</v>
      </c>
      <c r="R80" s="39">
        <v>8</v>
      </c>
      <c r="S80" s="39"/>
      <c r="T80" s="35">
        <v>46235</v>
      </c>
      <c r="U80" s="33" t="s">
        <v>35</v>
      </c>
      <c r="V80" s="33" t="s">
        <v>56</v>
      </c>
    </row>
    <row r="81" spans="1:22">
      <c r="A81" s="35">
        <v>46235</v>
      </c>
      <c r="B81" s="37">
        <v>46265</v>
      </c>
      <c r="C81" s="33" t="s">
        <v>113</v>
      </c>
      <c r="D81" s="33" t="s">
        <v>342</v>
      </c>
      <c r="E81" s="39">
        <v>1</v>
      </c>
      <c r="F81" s="33" t="s">
        <v>345</v>
      </c>
      <c r="G81" s="33" t="s">
        <v>25</v>
      </c>
      <c r="H81" s="33" t="s">
        <v>26</v>
      </c>
      <c r="I81" s="33" t="s">
        <v>51</v>
      </c>
      <c r="J81" s="33" t="s">
        <v>52</v>
      </c>
      <c r="K81" s="33" t="s">
        <v>29</v>
      </c>
      <c r="L81" s="33" t="s">
        <v>237</v>
      </c>
      <c r="M81" s="33" t="s">
        <v>346</v>
      </c>
      <c r="N81" s="33" t="s">
        <v>34</v>
      </c>
      <c r="O81" s="33" t="s">
        <v>347</v>
      </c>
      <c r="P81" s="33"/>
      <c r="Q81" s="33" t="s">
        <v>34</v>
      </c>
      <c r="R81" s="39">
        <v>8</v>
      </c>
      <c r="S81" s="39"/>
      <c r="T81" s="35">
        <v>46235</v>
      </c>
      <c r="U81" s="33" t="s">
        <v>35</v>
      </c>
      <c r="V81" s="33" t="s">
        <v>56</v>
      </c>
    </row>
  </sheetData>
  <conditionalFormatting sqref="U2:U81">
    <cfRule type="expression" dxfId="34" priority="1">
      <formula>$U2="Critical"</formula>
    </cfRule>
  </conditionalFormatting>
  <conditionalFormatting sqref="L2:L81">
    <cfRule type="expression" dxfId="33" priority="2">
      <formula>$L2="Under Investigation"</formula>
    </cfRule>
  </conditionalFormatting>
  <conditionalFormatting sqref="B2:B81">
    <cfRule type="expression" dxfId="32" priority="3">
      <formula>ISTEXT($B2)</formula>
    </cfRule>
  </conditionalFormatting>
  <conditionalFormatting sqref="P2:P81">
    <cfRule type="expression" dxfId="31" priority="4">
      <formula>OR($P2="Yes",$P2="No")</formula>
    </cfRule>
  </conditionalFormatting>
  <hyperlinks>
    <hyperlink ref="O66" r:id="rId1" display="https://outlook.office365.com/owa/?ItemID=AQMkAGJkNmYzMmFjLWMyNjMtNGQ1My05YzBkLTg3NWU1YzlkNTI0MgBGAAADkLVKwdD4v0SBqlGypTcIwwcAnZv%2fZxHZ70aBAH87L4lQGQAAAgEMAAAAnZv%2fZxHZ70aBAH87L4lQGQAMXG6nQgAAAA%3d%3d&amp;exvsurl=1&amp;viewmodel=ReadMessageItem" xr:uid="{00000000-0004-0000-0000-000000000000}"/>
  </hyperlinks>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32"/>
  <sheetViews>
    <sheetView showGridLines="0" workbookViewId="0">
      <pane ySplit="2" topLeftCell="E69" activePane="bottomLeft" state="frozen"/>
      <selection pane="bottomLeft" activeCell="I62" sqref="I62:M83"/>
    </sheetView>
  </sheetViews>
  <sheetFormatPr defaultRowHeight="15"/>
  <cols>
    <col min="1" max="1" width="22.85546875" customWidth="1"/>
    <col min="2" max="4" width="14.140625" customWidth="1"/>
    <col min="5" max="5" width="31.42578125" customWidth="1"/>
    <col min="6" max="8" width="14.140625" customWidth="1"/>
    <col min="9" max="9" width="27.5703125" customWidth="1"/>
    <col min="10" max="12" width="14.140625" customWidth="1"/>
    <col min="13" max="13" width="21" customWidth="1"/>
    <col min="14" max="18" width="14.140625" customWidth="1"/>
  </cols>
  <sheetData>
    <row r="1" spans="1:18" ht="33.75" customHeight="1">
      <c r="A1" s="79" t="s">
        <v>348</v>
      </c>
      <c r="B1" s="80"/>
      <c r="C1" s="80"/>
      <c r="D1" s="80"/>
      <c r="E1" s="80"/>
      <c r="F1" s="80"/>
      <c r="G1" s="80"/>
      <c r="H1" s="80"/>
      <c r="I1" s="80"/>
      <c r="J1" s="80"/>
      <c r="K1" s="80"/>
      <c r="L1" s="80"/>
      <c r="M1" s="80"/>
      <c r="N1" s="80"/>
      <c r="O1" s="80"/>
      <c r="P1" s="80"/>
      <c r="Q1" s="80"/>
      <c r="R1" s="80"/>
    </row>
    <row r="2" spans="1:18" ht="24" customHeight="1">
      <c r="A2" s="81" t="str">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Jan–Aug 2026 · 80 records (73 complaints, 7 inquiries) · Updates automatically from Data</v>
      </c>
      <c r="B2" s="82"/>
      <c r="C2" s="82"/>
      <c r="D2" s="82"/>
      <c r="E2" s="82"/>
      <c r="F2" s="82"/>
      <c r="G2" s="82"/>
      <c r="H2" s="82"/>
      <c r="I2" s="82"/>
      <c r="J2" s="82"/>
      <c r="K2" s="82"/>
      <c r="L2" s="82"/>
      <c r="M2" s="82"/>
      <c r="N2" s="82"/>
      <c r="O2" s="82"/>
      <c r="P2" s="82"/>
      <c r="Q2" s="82"/>
      <c r="R2" s="82"/>
    </row>
    <row r="3" spans="1:18" ht="18" customHeight="1">
      <c r="A3" s="3"/>
      <c r="B3" s="3"/>
      <c r="C3" s="3"/>
      <c r="D3" s="3"/>
      <c r="E3" s="3"/>
      <c r="F3" s="3"/>
      <c r="G3" s="3"/>
      <c r="H3" s="3"/>
      <c r="I3" s="3"/>
      <c r="J3" s="3"/>
      <c r="K3" s="3"/>
      <c r="L3" s="3"/>
      <c r="M3" s="3"/>
      <c r="N3" s="3"/>
      <c r="O3" s="3"/>
      <c r="P3" s="3"/>
      <c r="Q3" s="3"/>
      <c r="R3" s="3"/>
    </row>
    <row r="4" spans="1:18" ht="18" customHeight="1">
      <c r="A4" s="45" t="s">
        <v>349</v>
      </c>
      <c r="B4" s="46"/>
      <c r="C4" s="46"/>
      <c r="D4" s="45" t="s">
        <v>350</v>
      </c>
      <c r="E4" s="46"/>
      <c r="F4" s="46"/>
      <c r="G4" s="66" t="s">
        <v>351</v>
      </c>
      <c r="H4" s="67"/>
      <c r="I4" s="67"/>
      <c r="J4" s="45" t="s">
        <v>352</v>
      </c>
      <c r="K4" s="46"/>
      <c r="L4" s="46"/>
      <c r="M4" s="52" t="s">
        <v>353</v>
      </c>
      <c r="N4" s="53"/>
      <c r="O4" s="53"/>
      <c r="P4" s="45" t="s">
        <v>354</v>
      </c>
      <c r="Q4" s="46"/>
      <c r="R4" s="59"/>
    </row>
    <row r="5" spans="1:18" ht="18" customHeight="1">
      <c r="A5" s="47">
        <f>ROWS(ComplaintTracker[Issue Type])</f>
        <v>80</v>
      </c>
      <c r="B5" s="48"/>
      <c r="C5" s="48"/>
      <c r="D5" s="47">
        <f>COUNTIF(ComplaintTracker[Issue Type],"Complaint")</f>
        <v>73</v>
      </c>
      <c r="E5" s="48"/>
      <c r="F5" s="48"/>
      <c r="G5" s="68">
        <f>COUNTIF(ComplaintTracker[Severity],"Medium")</f>
        <v>75</v>
      </c>
      <c r="H5" s="69"/>
      <c r="I5" s="69"/>
      <c r="J5" s="47">
        <f>COUNTIF(ComplaintTracker[RCA Requested],"Yes")</f>
        <v>66</v>
      </c>
      <c r="K5" s="48"/>
      <c r="L5" s="48"/>
      <c r="M5" s="54">
        <f>COUNTIF(ComplaintTracker[Short Term Fix Status],"Clarification Provided")</f>
        <v>24</v>
      </c>
      <c r="N5" s="55"/>
      <c r="O5" s="55"/>
      <c r="P5" s="47">
        <f>MEDIAN(ComplaintTracker[Delay (Hours)])</f>
        <v>48</v>
      </c>
      <c r="Q5" s="48"/>
      <c r="R5" s="60"/>
    </row>
    <row r="6" spans="1:18" ht="18" customHeight="1">
      <c r="A6" s="49"/>
      <c r="B6" s="48"/>
      <c r="C6" s="48"/>
      <c r="D6" s="49"/>
      <c r="E6" s="48"/>
      <c r="F6" s="48"/>
      <c r="G6" s="70"/>
      <c r="H6" s="69"/>
      <c r="I6" s="69"/>
      <c r="J6" s="49"/>
      <c r="K6" s="48"/>
      <c r="L6" s="48"/>
      <c r="M6" s="56"/>
      <c r="N6" s="55"/>
      <c r="O6" s="55"/>
      <c r="P6" s="49"/>
      <c r="Q6" s="48"/>
      <c r="R6" s="60"/>
    </row>
    <row r="7" spans="1:18" ht="18" customHeight="1">
      <c r="A7" s="64"/>
      <c r="B7" s="65"/>
      <c r="C7" s="65"/>
      <c r="D7" s="64"/>
      <c r="E7" s="65"/>
      <c r="F7" s="65"/>
      <c r="G7" s="71"/>
      <c r="H7" s="72"/>
      <c r="I7" s="72"/>
      <c r="J7" s="50"/>
      <c r="K7" s="51"/>
      <c r="L7" s="51"/>
      <c r="M7" s="57"/>
      <c r="N7" s="58"/>
      <c r="O7" s="58"/>
      <c r="P7" s="61"/>
      <c r="Q7" s="62"/>
      <c r="R7" s="63"/>
    </row>
    <row r="8" spans="1:18" ht="18" customHeight="1">
      <c r="A8" s="9" t="s">
        <v>355</v>
      </c>
      <c r="B8" s="4"/>
      <c r="C8" s="4"/>
      <c r="D8" s="9" t="str">
        <f>TEXT(D5/A5,"0%")&amp;" of records"</f>
        <v>91% of records</v>
      </c>
      <c r="E8" s="4"/>
      <c r="F8" s="4"/>
      <c r="G8" s="11" t="str">
        <f>TEXT(G5/A5,"0%")&amp;" of records"</f>
        <v>94% of records</v>
      </c>
      <c r="H8" s="12"/>
      <c r="I8" s="12"/>
      <c r="J8" s="9" t="str">
        <f>TEXT(J5/A5,"0%")&amp;" of records"</f>
        <v>83% of records</v>
      </c>
      <c r="K8" s="4"/>
      <c r="L8" s="4"/>
      <c r="M8" s="13" t="str">
        <f>TEXT(M5/A5,"0%")&amp;" of records"</f>
        <v>30% of records</v>
      </c>
      <c r="N8" s="14"/>
      <c r="O8" s="14"/>
      <c r="P8" s="9" t="str">
        <f>COUNT(ComplaintTracker[Delay (Hours)])&amp;" measured records"</f>
        <v>13 measured records</v>
      </c>
      <c r="Q8" s="4"/>
      <c r="R8" s="10"/>
    </row>
    <row r="9" spans="1:18" ht="24.75" customHeight="1">
      <c r="A9" s="83" t="s">
        <v>356</v>
      </c>
      <c r="B9" s="84"/>
      <c r="C9" s="84"/>
      <c r="D9" s="84"/>
      <c r="E9" s="84"/>
      <c r="F9" s="84"/>
      <c r="G9" s="83" t="s">
        <v>357</v>
      </c>
      <c r="H9" s="84"/>
      <c r="I9" s="84"/>
      <c r="J9" s="84"/>
      <c r="K9" s="84"/>
      <c r="L9" s="84"/>
      <c r="M9" s="83" t="s">
        <v>358</v>
      </c>
      <c r="N9" s="84"/>
      <c r="O9" s="84"/>
      <c r="P9" s="84"/>
      <c r="Q9" s="84"/>
      <c r="R9" s="85"/>
    </row>
    <row r="10" spans="1:18" ht="18" customHeight="1">
      <c r="A10" s="8"/>
      <c r="B10" s="4"/>
      <c r="C10" s="4"/>
      <c r="D10" s="4"/>
      <c r="E10" s="4"/>
      <c r="F10" s="4"/>
      <c r="G10" s="8"/>
      <c r="H10" s="4"/>
      <c r="I10" s="4"/>
      <c r="J10" s="4"/>
      <c r="K10" s="4"/>
      <c r="L10" s="4"/>
      <c r="M10" s="8"/>
      <c r="N10" s="4"/>
      <c r="O10" s="4"/>
      <c r="P10" s="4"/>
      <c r="Q10" s="4"/>
      <c r="R10" s="10"/>
    </row>
    <row r="11" spans="1:18" ht="18" customHeight="1">
      <c r="A11" s="8"/>
      <c r="B11" s="4"/>
      <c r="C11" s="4"/>
      <c r="D11" s="4"/>
      <c r="E11" s="4"/>
      <c r="F11" s="4"/>
      <c r="G11" s="8"/>
      <c r="H11" s="4"/>
      <c r="I11" s="4"/>
      <c r="J11" s="4"/>
      <c r="K11" s="4"/>
      <c r="L11" s="4"/>
      <c r="M11" s="8"/>
      <c r="N11" s="4"/>
      <c r="O11" s="4"/>
      <c r="P11" s="4"/>
      <c r="Q11" s="4"/>
      <c r="R11" s="10"/>
    </row>
    <row r="12" spans="1:18" ht="18" customHeight="1">
      <c r="A12" s="8"/>
      <c r="B12" s="4"/>
      <c r="C12" s="4"/>
      <c r="D12" s="4"/>
      <c r="E12" s="4"/>
      <c r="F12" s="4"/>
      <c r="G12" s="8"/>
      <c r="H12" s="4"/>
      <c r="I12" s="4"/>
      <c r="J12" s="4"/>
      <c r="K12" s="4"/>
      <c r="L12" s="4"/>
      <c r="M12" s="8"/>
      <c r="N12" s="4"/>
      <c r="O12" s="4"/>
      <c r="P12" s="4"/>
      <c r="Q12" s="4"/>
      <c r="R12" s="10"/>
    </row>
    <row r="13" spans="1:18" ht="18" customHeight="1">
      <c r="A13" s="8"/>
      <c r="B13" s="4"/>
      <c r="C13" s="4"/>
      <c r="D13" s="4"/>
      <c r="E13" s="4"/>
      <c r="F13" s="4"/>
      <c r="G13" s="8"/>
      <c r="H13" s="4"/>
      <c r="I13" s="4"/>
      <c r="J13" s="4"/>
      <c r="K13" s="4"/>
      <c r="L13" s="4"/>
      <c r="M13" s="8"/>
      <c r="N13" s="4"/>
      <c r="O13" s="4"/>
      <c r="P13" s="4"/>
      <c r="Q13" s="4"/>
      <c r="R13" s="10"/>
    </row>
    <row r="14" spans="1:18" ht="18" customHeight="1">
      <c r="A14" s="8"/>
      <c r="B14" s="4"/>
      <c r="C14" s="4"/>
      <c r="D14" s="4"/>
      <c r="E14" s="4"/>
      <c r="F14" s="4"/>
      <c r="G14" s="8"/>
      <c r="H14" s="4"/>
      <c r="I14" s="4"/>
      <c r="J14" s="4"/>
      <c r="K14" s="4"/>
      <c r="L14" s="4"/>
      <c r="M14" s="8"/>
      <c r="N14" s="4"/>
      <c r="O14" s="4"/>
      <c r="P14" s="4"/>
      <c r="Q14" s="4"/>
      <c r="R14" s="10"/>
    </row>
    <row r="15" spans="1:18" ht="18" customHeight="1">
      <c r="A15" s="8"/>
      <c r="B15" s="4"/>
      <c r="C15" s="4"/>
      <c r="D15" s="4"/>
      <c r="E15" s="4"/>
      <c r="F15" s="4"/>
      <c r="G15" s="8"/>
      <c r="H15" s="4"/>
      <c r="I15" s="4"/>
      <c r="J15" s="4"/>
      <c r="K15" s="4"/>
      <c r="L15" s="4"/>
      <c r="M15" s="8"/>
      <c r="N15" s="4"/>
      <c r="O15" s="4"/>
      <c r="P15" s="4"/>
      <c r="Q15" s="4"/>
      <c r="R15" s="10"/>
    </row>
    <row r="16" spans="1:18" ht="18" customHeight="1">
      <c r="A16" s="8"/>
      <c r="B16" s="4"/>
      <c r="C16" s="4"/>
      <c r="D16" s="4"/>
      <c r="E16" s="4"/>
      <c r="F16" s="4"/>
      <c r="G16" s="8"/>
      <c r="H16" s="4"/>
      <c r="I16" s="4"/>
      <c r="J16" s="4"/>
      <c r="K16" s="4"/>
      <c r="L16" s="4"/>
      <c r="M16" s="8"/>
      <c r="N16" s="4"/>
      <c r="O16" s="4"/>
      <c r="P16" s="4"/>
      <c r="Q16" s="4"/>
      <c r="R16" s="10"/>
    </row>
    <row r="17" spans="1:18" ht="18" customHeight="1">
      <c r="A17" s="8"/>
      <c r="B17" s="4"/>
      <c r="C17" s="4"/>
      <c r="D17" s="4"/>
      <c r="E17" s="4"/>
      <c r="F17" s="4"/>
      <c r="G17" s="8"/>
      <c r="H17" s="4"/>
      <c r="I17" s="4"/>
      <c r="J17" s="4"/>
      <c r="K17" s="4"/>
      <c r="L17" s="4"/>
      <c r="M17" s="8"/>
      <c r="N17" s="4"/>
      <c r="O17" s="4"/>
      <c r="P17" s="4"/>
      <c r="Q17" s="4"/>
      <c r="R17" s="10"/>
    </row>
    <row r="18" spans="1:18" ht="18" customHeight="1">
      <c r="A18" s="8"/>
      <c r="B18" s="4"/>
      <c r="C18" s="4"/>
      <c r="D18" s="4"/>
      <c r="E18" s="4"/>
      <c r="F18" s="4"/>
      <c r="G18" s="8"/>
      <c r="H18" s="4"/>
      <c r="I18" s="4"/>
      <c r="J18" s="4"/>
      <c r="K18" s="4"/>
      <c r="L18" s="4"/>
      <c r="M18" s="8"/>
      <c r="N18" s="4"/>
      <c r="O18" s="4"/>
      <c r="P18" s="4"/>
      <c r="Q18" s="4"/>
      <c r="R18" s="10"/>
    </row>
    <row r="19" spans="1:18" ht="18" customHeight="1">
      <c r="A19" s="8"/>
      <c r="B19" s="4"/>
      <c r="C19" s="4"/>
      <c r="D19" s="4"/>
      <c r="E19" s="4"/>
      <c r="F19" s="4"/>
      <c r="G19" s="8"/>
      <c r="H19" s="4"/>
      <c r="I19" s="4"/>
      <c r="J19" s="4"/>
      <c r="K19" s="4"/>
      <c r="L19" s="4"/>
      <c r="M19" s="8"/>
      <c r="N19" s="4"/>
      <c r="O19" s="4"/>
      <c r="P19" s="4"/>
      <c r="Q19" s="4"/>
      <c r="R19" s="10"/>
    </row>
    <row r="20" spans="1:18" ht="18" customHeight="1">
      <c r="A20" s="8"/>
      <c r="B20" s="4"/>
      <c r="C20" s="4"/>
      <c r="D20" s="4"/>
      <c r="E20" s="4"/>
      <c r="F20" s="4"/>
      <c r="G20" s="8"/>
      <c r="H20" s="4"/>
      <c r="I20" s="4"/>
      <c r="J20" s="4"/>
      <c r="K20" s="4"/>
      <c r="L20" s="4"/>
      <c r="M20" s="8"/>
      <c r="N20" s="4"/>
      <c r="O20" s="4"/>
      <c r="P20" s="4"/>
      <c r="Q20" s="4"/>
      <c r="R20" s="10"/>
    </row>
    <row r="21" spans="1:18" ht="18" customHeight="1">
      <c r="A21" s="8"/>
      <c r="B21" s="4"/>
      <c r="C21" s="4"/>
      <c r="D21" s="4"/>
      <c r="E21" s="4"/>
      <c r="F21" s="4"/>
      <c r="G21" s="8"/>
      <c r="H21" s="4"/>
      <c r="I21" s="4"/>
      <c r="J21" s="4"/>
      <c r="K21" s="4"/>
      <c r="L21" s="4"/>
      <c r="M21" s="8"/>
      <c r="N21" s="4"/>
      <c r="O21" s="4"/>
      <c r="P21" s="4"/>
      <c r="Q21" s="4"/>
      <c r="R21" s="10"/>
    </row>
    <row r="22" spans="1:18" ht="18" customHeight="1">
      <c r="A22" s="8"/>
      <c r="B22" s="4"/>
      <c r="C22" s="4"/>
      <c r="D22" s="4"/>
      <c r="E22" s="4"/>
      <c r="F22" s="4"/>
      <c r="G22" s="8"/>
      <c r="H22" s="4"/>
      <c r="I22" s="4"/>
      <c r="J22" s="4"/>
      <c r="K22" s="4"/>
      <c r="L22" s="4"/>
      <c r="M22" s="8"/>
      <c r="N22" s="4"/>
      <c r="O22" s="4"/>
      <c r="P22" s="4"/>
      <c r="Q22" s="4"/>
      <c r="R22" s="10"/>
    </row>
    <row r="23" spans="1:18" ht="18" customHeight="1">
      <c r="A23" s="8"/>
      <c r="B23" s="4"/>
      <c r="C23" s="4"/>
      <c r="D23" s="4"/>
      <c r="E23" s="4"/>
      <c r="F23" s="4"/>
      <c r="G23" s="8"/>
      <c r="H23" s="4"/>
      <c r="I23" s="4"/>
      <c r="J23" s="4"/>
      <c r="K23" s="4"/>
      <c r="L23" s="4"/>
      <c r="M23" s="8"/>
      <c r="N23" s="4"/>
      <c r="O23" s="4"/>
      <c r="P23" s="4"/>
      <c r="Q23" s="4"/>
      <c r="R23" s="10"/>
    </row>
    <row r="24" spans="1:18" ht="18" customHeight="1">
      <c r="A24" s="8"/>
      <c r="B24" s="4"/>
      <c r="C24" s="4"/>
      <c r="D24" s="4"/>
      <c r="E24" s="4"/>
      <c r="F24" s="4"/>
      <c r="G24" s="8"/>
      <c r="H24" s="4"/>
      <c r="I24" s="4"/>
      <c r="J24" s="4"/>
      <c r="K24" s="4"/>
      <c r="L24" s="4"/>
      <c r="M24" s="8"/>
      <c r="N24" s="4"/>
      <c r="O24" s="4"/>
      <c r="P24" s="4"/>
      <c r="Q24" s="4"/>
      <c r="R24" s="10"/>
    </row>
    <row r="25" spans="1:18" ht="18" customHeight="1">
      <c r="A25" s="6"/>
      <c r="B25" s="5"/>
      <c r="C25" s="5"/>
      <c r="D25" s="5"/>
      <c r="E25" s="5"/>
      <c r="F25" s="5"/>
      <c r="G25" s="6"/>
      <c r="H25" s="5"/>
      <c r="I25" s="5"/>
      <c r="J25" s="5"/>
      <c r="K25" s="5"/>
      <c r="L25" s="5"/>
      <c r="M25" s="6"/>
      <c r="N25" s="5"/>
      <c r="O25" s="5"/>
      <c r="P25" s="5"/>
      <c r="Q25" s="5"/>
      <c r="R25" s="7"/>
    </row>
    <row r="26" spans="1:18" ht="18" customHeight="1">
      <c r="A26" s="3"/>
      <c r="B26" s="3"/>
      <c r="C26" s="3"/>
      <c r="D26" s="3"/>
      <c r="E26" s="3"/>
      <c r="F26" s="3"/>
      <c r="G26" s="3"/>
      <c r="H26" s="3"/>
      <c r="I26" s="3"/>
      <c r="J26" s="3"/>
      <c r="K26" s="3"/>
      <c r="L26" s="3"/>
      <c r="M26" s="3"/>
      <c r="N26" s="3"/>
      <c r="O26" s="3"/>
      <c r="P26" s="3"/>
      <c r="Q26" s="3"/>
      <c r="R26" s="3"/>
    </row>
    <row r="27" spans="1:18" ht="24.75" customHeight="1">
      <c r="A27" s="83" t="s">
        <v>359</v>
      </c>
      <c r="B27" s="84"/>
      <c r="C27" s="84"/>
      <c r="D27" s="84"/>
      <c r="E27" s="84"/>
      <c r="F27" s="84"/>
      <c r="G27" s="83" t="s">
        <v>360</v>
      </c>
      <c r="H27" s="84"/>
      <c r="I27" s="84"/>
      <c r="J27" s="84"/>
      <c r="K27" s="84"/>
      <c r="L27" s="84"/>
      <c r="M27" s="83" t="s">
        <v>361</v>
      </c>
      <c r="N27" s="84"/>
      <c r="O27" s="84"/>
      <c r="P27" s="84"/>
      <c r="Q27" s="84"/>
      <c r="R27" s="85"/>
    </row>
    <row r="28" spans="1:18" ht="18" customHeight="1">
      <c r="A28" s="8"/>
      <c r="B28" s="4"/>
      <c r="C28" s="4"/>
      <c r="D28" s="4"/>
      <c r="E28" s="4"/>
      <c r="F28" s="4"/>
      <c r="G28" s="8"/>
      <c r="H28" s="4"/>
      <c r="I28" s="4"/>
      <c r="J28" s="4"/>
      <c r="K28" s="4"/>
      <c r="L28" s="4"/>
      <c r="M28" s="8"/>
      <c r="N28" s="4"/>
      <c r="O28" s="4"/>
      <c r="P28" s="4"/>
      <c r="Q28" s="4"/>
      <c r="R28" s="10"/>
    </row>
    <row r="29" spans="1:18" ht="18" customHeight="1">
      <c r="A29" s="8"/>
      <c r="B29" s="4"/>
      <c r="C29" s="4"/>
      <c r="D29" s="4"/>
      <c r="E29" s="4"/>
      <c r="F29" s="4"/>
      <c r="G29" s="8"/>
      <c r="H29" s="4"/>
      <c r="I29" s="4"/>
      <c r="J29" s="4"/>
      <c r="K29" s="4"/>
      <c r="L29" s="4"/>
      <c r="M29" s="8"/>
      <c r="N29" s="4"/>
      <c r="O29" s="4"/>
      <c r="P29" s="4"/>
      <c r="Q29" s="4"/>
      <c r="R29" s="10"/>
    </row>
    <row r="30" spans="1:18" ht="18" customHeight="1">
      <c r="A30" s="8"/>
      <c r="B30" s="4"/>
      <c r="C30" s="4"/>
      <c r="D30" s="4"/>
      <c r="E30" s="4"/>
      <c r="F30" s="4"/>
      <c r="G30" s="8"/>
      <c r="H30" s="4"/>
      <c r="I30" s="4"/>
      <c r="J30" s="4"/>
      <c r="K30" s="4"/>
      <c r="L30" s="4"/>
      <c r="M30" s="8"/>
      <c r="N30" s="4"/>
      <c r="O30" s="4"/>
      <c r="P30" s="4"/>
      <c r="Q30" s="4"/>
      <c r="R30" s="10"/>
    </row>
    <row r="31" spans="1:18" ht="18" customHeight="1">
      <c r="A31" s="8"/>
      <c r="B31" s="4"/>
      <c r="C31" s="4"/>
      <c r="D31" s="4"/>
      <c r="E31" s="4"/>
      <c r="F31" s="4"/>
      <c r="G31" s="8"/>
      <c r="H31" s="4"/>
      <c r="I31" s="4"/>
      <c r="J31" s="4"/>
      <c r="K31" s="4"/>
      <c r="L31" s="4"/>
      <c r="M31" s="8"/>
      <c r="N31" s="4"/>
      <c r="O31" s="4"/>
      <c r="P31" s="4"/>
      <c r="Q31" s="4"/>
      <c r="R31" s="10"/>
    </row>
    <row r="32" spans="1:18" ht="18" customHeight="1">
      <c r="A32" s="8"/>
      <c r="B32" s="4"/>
      <c r="C32" s="4"/>
      <c r="D32" s="4"/>
      <c r="E32" s="4"/>
      <c r="F32" s="4"/>
      <c r="G32" s="8"/>
      <c r="H32" s="4"/>
      <c r="I32" s="4"/>
      <c r="J32" s="4"/>
      <c r="K32" s="4"/>
      <c r="L32" s="4"/>
      <c r="M32" s="8"/>
      <c r="N32" s="4"/>
      <c r="O32" s="4"/>
      <c r="P32" s="4"/>
      <c r="Q32" s="4"/>
      <c r="R32" s="10"/>
    </row>
    <row r="33" spans="1:18" ht="18" customHeight="1">
      <c r="A33" s="8"/>
      <c r="B33" s="4"/>
      <c r="C33" s="4"/>
      <c r="D33" s="4"/>
      <c r="E33" s="4"/>
      <c r="F33" s="4"/>
      <c r="G33" s="8"/>
      <c r="H33" s="4"/>
      <c r="I33" s="4"/>
      <c r="J33" s="4"/>
      <c r="K33" s="4"/>
      <c r="L33" s="4"/>
      <c r="M33" s="8"/>
      <c r="N33" s="4"/>
      <c r="O33" s="4"/>
      <c r="P33" s="4"/>
      <c r="Q33" s="4"/>
      <c r="R33" s="10"/>
    </row>
    <row r="34" spans="1:18" ht="18" customHeight="1">
      <c r="A34" s="8"/>
      <c r="B34" s="4"/>
      <c r="C34" s="4"/>
      <c r="D34" s="4"/>
      <c r="E34" s="4"/>
      <c r="F34" s="4"/>
      <c r="G34" s="8"/>
      <c r="H34" s="4"/>
      <c r="I34" s="4"/>
      <c r="J34" s="4"/>
      <c r="K34" s="4"/>
      <c r="L34" s="4"/>
      <c r="M34" s="8"/>
      <c r="N34" s="4"/>
      <c r="O34" s="4"/>
      <c r="P34" s="4"/>
      <c r="Q34" s="4"/>
      <c r="R34" s="10"/>
    </row>
    <row r="35" spans="1:18" ht="18" customHeight="1">
      <c r="A35" s="8"/>
      <c r="B35" s="4"/>
      <c r="C35" s="4"/>
      <c r="D35" s="4"/>
      <c r="E35" s="4"/>
      <c r="F35" s="4"/>
      <c r="G35" s="8"/>
      <c r="H35" s="4"/>
      <c r="I35" s="4"/>
      <c r="J35" s="4"/>
      <c r="K35" s="4"/>
      <c r="L35" s="4"/>
      <c r="M35" s="8"/>
      <c r="N35" s="4"/>
      <c r="O35" s="4"/>
      <c r="P35" s="4"/>
      <c r="Q35" s="4"/>
      <c r="R35" s="10"/>
    </row>
    <row r="36" spans="1:18" ht="18" customHeight="1">
      <c r="A36" s="8"/>
      <c r="B36" s="4"/>
      <c r="C36" s="4"/>
      <c r="D36" s="4"/>
      <c r="E36" s="4"/>
      <c r="F36" s="4"/>
      <c r="G36" s="8"/>
      <c r="H36" s="4"/>
      <c r="I36" s="4"/>
      <c r="J36" s="4"/>
      <c r="K36" s="4"/>
      <c r="L36" s="4"/>
      <c r="M36" s="8"/>
      <c r="N36" s="4"/>
      <c r="O36" s="4"/>
      <c r="P36" s="4"/>
      <c r="Q36" s="4"/>
      <c r="R36" s="10"/>
    </row>
    <row r="37" spans="1:18" ht="18" customHeight="1">
      <c r="A37" s="8"/>
      <c r="B37" s="4"/>
      <c r="C37" s="4"/>
      <c r="D37" s="4"/>
      <c r="E37" s="4"/>
      <c r="F37" s="4"/>
      <c r="G37" s="8"/>
      <c r="H37" s="4"/>
      <c r="I37" s="4"/>
      <c r="J37" s="4"/>
      <c r="K37" s="4"/>
      <c r="L37" s="4"/>
      <c r="M37" s="8"/>
      <c r="N37" s="4"/>
      <c r="O37" s="4"/>
      <c r="P37" s="4"/>
      <c r="Q37" s="4"/>
      <c r="R37" s="10"/>
    </row>
    <row r="38" spans="1:18" ht="18" customHeight="1">
      <c r="A38" s="8"/>
      <c r="B38" s="4"/>
      <c r="C38" s="4"/>
      <c r="D38" s="4"/>
      <c r="E38" s="4"/>
      <c r="F38" s="4"/>
      <c r="G38" s="8"/>
      <c r="H38" s="4"/>
      <c r="I38" s="4"/>
      <c r="J38" s="4"/>
      <c r="K38" s="4"/>
      <c r="L38" s="4"/>
      <c r="M38" s="8"/>
      <c r="N38" s="4"/>
      <c r="O38" s="4"/>
      <c r="P38" s="4"/>
      <c r="Q38" s="4"/>
      <c r="R38" s="10"/>
    </row>
    <row r="39" spans="1:18" ht="18" customHeight="1">
      <c r="A39" s="8"/>
      <c r="B39" s="4"/>
      <c r="C39" s="4"/>
      <c r="D39" s="4"/>
      <c r="E39" s="4"/>
      <c r="F39" s="4"/>
      <c r="G39" s="8"/>
      <c r="H39" s="4"/>
      <c r="I39" s="4"/>
      <c r="J39" s="4"/>
      <c r="K39" s="4"/>
      <c r="L39" s="4"/>
      <c r="M39" s="8"/>
      <c r="N39" s="4"/>
      <c r="O39" s="4"/>
      <c r="P39" s="4"/>
      <c r="Q39" s="4"/>
      <c r="R39" s="10"/>
    </row>
    <row r="40" spans="1:18" ht="18" customHeight="1">
      <c r="A40" s="8"/>
      <c r="B40" s="4"/>
      <c r="C40" s="4"/>
      <c r="D40" s="4"/>
      <c r="E40" s="4"/>
      <c r="F40" s="4"/>
      <c r="G40" s="8"/>
      <c r="H40" s="4"/>
      <c r="I40" s="4"/>
      <c r="J40" s="4"/>
      <c r="K40" s="4"/>
      <c r="L40" s="4"/>
      <c r="M40" s="8"/>
      <c r="N40" s="4"/>
      <c r="O40" s="4"/>
      <c r="P40" s="4"/>
      <c r="Q40" s="4"/>
      <c r="R40" s="10"/>
    </row>
    <row r="41" spans="1:18" ht="18" customHeight="1">
      <c r="A41" s="8"/>
      <c r="B41" s="4"/>
      <c r="C41" s="4"/>
      <c r="D41" s="4"/>
      <c r="E41" s="4"/>
      <c r="F41" s="4"/>
      <c r="G41" s="8"/>
      <c r="H41" s="4"/>
      <c r="I41" s="4"/>
      <c r="J41" s="4"/>
      <c r="K41" s="4"/>
      <c r="L41" s="4"/>
      <c r="M41" s="8"/>
      <c r="N41" s="4"/>
      <c r="O41" s="4"/>
      <c r="P41" s="4"/>
      <c r="Q41" s="4"/>
      <c r="R41" s="10"/>
    </row>
    <row r="42" spans="1:18" ht="18" customHeight="1">
      <c r="A42" s="8"/>
      <c r="B42" s="4"/>
      <c r="C42" s="4"/>
      <c r="D42" s="4"/>
      <c r="E42" s="4"/>
      <c r="F42" s="4"/>
      <c r="G42" s="8"/>
      <c r="H42" s="4"/>
      <c r="I42" s="4"/>
      <c r="J42" s="4"/>
      <c r="K42" s="4"/>
      <c r="L42" s="4"/>
      <c r="M42" s="8"/>
      <c r="N42" s="4"/>
      <c r="O42" s="4"/>
      <c r="P42" s="4"/>
      <c r="Q42" s="4"/>
      <c r="R42" s="10"/>
    </row>
    <row r="43" spans="1:18" ht="18" customHeight="1">
      <c r="A43" s="6"/>
      <c r="B43" s="5"/>
      <c r="C43" s="5"/>
      <c r="D43" s="5"/>
      <c r="E43" s="5"/>
      <c r="F43" s="5"/>
      <c r="G43" s="6"/>
      <c r="H43" s="5"/>
      <c r="I43" s="5"/>
      <c r="J43" s="5"/>
      <c r="K43" s="5"/>
      <c r="L43" s="5"/>
      <c r="M43" s="6"/>
      <c r="N43" s="5"/>
      <c r="O43" s="5"/>
      <c r="P43" s="5"/>
      <c r="Q43" s="5"/>
      <c r="R43" s="7"/>
    </row>
    <row r="44" spans="1:18" ht="18" customHeight="1">
      <c r="A44" s="3"/>
      <c r="B44" s="3"/>
      <c r="C44" s="3"/>
      <c r="D44" s="3"/>
      <c r="E44" s="3"/>
      <c r="F44" s="3"/>
      <c r="G44" s="3"/>
      <c r="H44" s="3"/>
      <c r="I44" s="3"/>
      <c r="J44" s="3"/>
      <c r="K44" s="3"/>
      <c r="L44" s="3"/>
      <c r="M44" s="3"/>
      <c r="N44" s="3"/>
      <c r="O44" s="3"/>
      <c r="P44" s="3"/>
      <c r="Q44" s="3"/>
      <c r="R44" s="3"/>
    </row>
    <row r="45" spans="1:18" ht="18" customHeight="1">
      <c r="A45" s="3"/>
      <c r="B45" s="3"/>
      <c r="C45" s="3"/>
      <c r="D45" s="3"/>
      <c r="E45" s="3"/>
      <c r="F45" s="3"/>
      <c r="G45" s="3"/>
      <c r="H45" s="3"/>
      <c r="I45" s="3"/>
      <c r="J45" s="3"/>
      <c r="K45" s="3"/>
      <c r="L45" s="3"/>
      <c r="M45" s="3"/>
      <c r="N45" s="3"/>
      <c r="O45" s="3"/>
      <c r="P45" s="3"/>
      <c r="Q45" s="3"/>
      <c r="R45" s="3"/>
    </row>
    <row r="46" spans="1:18" ht="24" customHeight="1">
      <c r="A46" s="86" t="s">
        <v>362</v>
      </c>
      <c r="B46" s="87"/>
      <c r="C46" s="87"/>
      <c r="D46" s="87"/>
      <c r="E46" s="87"/>
      <c r="F46" s="87"/>
      <c r="G46" s="87"/>
      <c r="H46" s="87"/>
      <c r="I46" s="87"/>
      <c r="J46" s="87"/>
      <c r="K46" s="87"/>
      <c r="L46" s="87"/>
      <c r="M46" s="87"/>
      <c r="N46" s="87"/>
      <c r="O46" s="87"/>
      <c r="P46" s="87"/>
      <c r="Q46" s="87"/>
      <c r="R46" s="87"/>
    </row>
    <row r="47" spans="1:18" ht="18" customHeight="1">
      <c r="A47" s="3"/>
      <c r="B47" s="3"/>
      <c r="C47" s="3"/>
      <c r="D47" s="3"/>
      <c r="E47" s="3"/>
      <c r="F47" s="3"/>
      <c r="G47" s="3"/>
      <c r="H47" s="3"/>
      <c r="I47" s="3"/>
      <c r="J47" s="3"/>
      <c r="K47" s="3"/>
      <c r="L47" s="3"/>
      <c r="M47" s="3"/>
      <c r="N47" s="3"/>
      <c r="O47" s="3"/>
      <c r="P47" s="3"/>
      <c r="Q47" s="3"/>
      <c r="R47" s="3"/>
    </row>
    <row r="48" spans="1:18" ht="23.25" customHeight="1">
      <c r="A48" s="88" t="s">
        <v>363</v>
      </c>
      <c r="B48" s="88"/>
      <c r="C48" s="88"/>
      <c r="D48" s="3"/>
      <c r="E48" s="88" t="s">
        <v>364</v>
      </c>
      <c r="F48" s="88"/>
      <c r="G48" s="88"/>
      <c r="H48" s="3"/>
      <c r="I48" s="88" t="s">
        <v>365</v>
      </c>
      <c r="J48" s="88"/>
      <c r="K48" s="88"/>
      <c r="L48" s="3"/>
      <c r="M48" s="88" t="s">
        <v>366</v>
      </c>
      <c r="N48" s="88"/>
      <c r="O48" s="88"/>
      <c r="P48" s="3"/>
      <c r="Q48" s="3"/>
      <c r="R48" s="3"/>
    </row>
    <row r="49" spans="1:18" ht="18" customHeight="1">
      <c r="A49" s="15" t="s">
        <v>0</v>
      </c>
      <c r="B49" s="15" t="s">
        <v>367</v>
      </c>
      <c r="C49" s="15" t="s">
        <v>368</v>
      </c>
      <c r="D49" s="3"/>
      <c r="E49" s="15" t="s">
        <v>8</v>
      </c>
      <c r="F49" s="15" t="s">
        <v>367</v>
      </c>
      <c r="G49" s="15" t="s">
        <v>369</v>
      </c>
      <c r="H49" s="3"/>
      <c r="I49" s="15" t="s">
        <v>370</v>
      </c>
      <c r="J49" s="15" t="s">
        <v>367</v>
      </c>
      <c r="K49" s="15" t="s">
        <v>369</v>
      </c>
      <c r="L49" s="3"/>
      <c r="M49" s="15" t="s">
        <v>20</v>
      </c>
      <c r="N49" s="15" t="s">
        <v>371</v>
      </c>
      <c r="O49" s="15" t="s">
        <v>372</v>
      </c>
      <c r="P49" s="3"/>
      <c r="Q49" s="3"/>
      <c r="R49" s="3"/>
    </row>
    <row r="50" spans="1:18" ht="18" customHeight="1">
      <c r="A50" s="17">
        <v>46023</v>
      </c>
      <c r="B50" s="21">
        <f>COUNTIFS(ComplaintTracker[Issue Type],"Complaint",ComplaintTracker[Month_Sort],ROW()-49)</f>
        <v>4</v>
      </c>
      <c r="C50" s="21">
        <f>COUNTIFS(ComplaintTracker[Issue Type],"Inquiry",ComplaintTracker[Month_Sort],ROW()-49)</f>
        <v>0</v>
      </c>
      <c r="D50" s="3"/>
      <c r="E50" s="18" t="s">
        <v>27</v>
      </c>
      <c r="F50" s="21">
        <f>COUNTIFS(ComplaintTracker[Issue Type],"Complaint",ComplaintTracker[Root Cause],E50)</f>
        <v>38</v>
      </c>
      <c r="G50" s="23">
        <f>F50/COUNTIF(ComplaintTracker[Issue Type],"Complaint")</f>
        <v>0.52054794520547942</v>
      </c>
      <c r="H50" s="3"/>
      <c r="I50" s="18" t="s">
        <v>30</v>
      </c>
      <c r="J50" s="21">
        <f>COUNTIFS(ComplaintTracker[Issue Type],"Complaint",ComplaintTracker[Short Term Fix Status],I50)</f>
        <v>38</v>
      </c>
      <c r="K50" s="23">
        <f>J50/COUNTIF(ComplaintTracker[Issue Type],"Complaint")</f>
        <v>0.52054794520547942</v>
      </c>
      <c r="L50" s="3"/>
      <c r="M50" s="18" t="s">
        <v>373</v>
      </c>
      <c r="N50" s="21">
        <f>COUNTIF(ComplaintTracker[Severity],M50)</f>
        <v>0</v>
      </c>
      <c r="O50" s="23">
        <f>N50/ROWS(ComplaintTracker[Severity])</f>
        <v>0</v>
      </c>
      <c r="P50" s="3"/>
      <c r="Q50" s="3"/>
      <c r="R50" s="3"/>
    </row>
    <row r="51" spans="1:18" ht="18" customHeight="1">
      <c r="A51" s="19">
        <v>46054</v>
      </c>
      <c r="B51" s="22">
        <f>COUNTIFS(ComplaintTracker[Issue Type],"Complaint",ComplaintTracker[Month_Sort],ROW()-49)</f>
        <v>7</v>
      </c>
      <c r="C51" s="22">
        <f>COUNTIFS(ComplaintTracker[Issue Type],"Inquiry",ComplaintTracker[Month_Sort],ROW()-49)</f>
        <v>0</v>
      </c>
      <c r="D51" s="3"/>
      <c r="E51" s="20" t="s">
        <v>51</v>
      </c>
      <c r="F51" s="22">
        <f>COUNTIFS(ComplaintTracker[Issue Type],"Complaint",ComplaintTracker[Root Cause],E51)</f>
        <v>28</v>
      </c>
      <c r="G51" s="24">
        <f>F51/COUNTIF(ComplaintTracker[Issue Type],"Complaint")</f>
        <v>0.38356164383561642</v>
      </c>
      <c r="H51" s="3"/>
      <c r="I51" s="20" t="s">
        <v>237</v>
      </c>
      <c r="J51" s="22">
        <f>COUNTIFS(ComplaintTracker[Issue Type],"Complaint",ComplaintTracker[Short Term Fix Status],I51)</f>
        <v>18</v>
      </c>
      <c r="K51" s="24">
        <f>J51/COUNTIF(ComplaintTracker[Issue Type],"Complaint")</f>
        <v>0.24657534246575341</v>
      </c>
      <c r="L51" s="3"/>
      <c r="M51" s="20" t="s">
        <v>220</v>
      </c>
      <c r="N51" s="22">
        <f>COUNTIF(ComplaintTracker[Severity],M51)</f>
        <v>2</v>
      </c>
      <c r="O51" s="24">
        <f>N51/ROWS(ComplaintTracker[Severity])</f>
        <v>2.5000000000000001E-2</v>
      </c>
      <c r="P51" s="3"/>
      <c r="Q51" s="3"/>
      <c r="R51" s="3"/>
    </row>
    <row r="52" spans="1:18" ht="18" customHeight="1">
      <c r="A52" s="19">
        <v>46082</v>
      </c>
      <c r="B52" s="22">
        <f>COUNTIFS(ComplaintTracker[Issue Type],"Complaint",ComplaintTracker[Month_Sort],ROW()-49)</f>
        <v>11</v>
      </c>
      <c r="C52" s="22">
        <f>COUNTIFS(ComplaintTracker[Issue Type],"Inquiry",ComplaintTracker[Month_Sort],ROW()-49)</f>
        <v>1</v>
      </c>
      <c r="D52" s="3"/>
      <c r="E52" s="20" t="s">
        <v>72</v>
      </c>
      <c r="F52" s="22">
        <f>COUNTIFS(ComplaintTracker[Issue Type],"Complaint",ComplaintTracker[Root Cause],E52)</f>
        <v>7</v>
      </c>
      <c r="G52" s="24">
        <f>F52/COUNTIF(ComplaintTracker[Issue Type],"Complaint")</f>
        <v>9.5890410958904104E-2</v>
      </c>
      <c r="H52" s="3"/>
      <c r="I52" s="20" t="s">
        <v>74</v>
      </c>
      <c r="J52" s="22">
        <f>COUNTIFS(ComplaintTracker[Issue Type],"Complaint",ComplaintTracker[Short Term Fix Status],I52)</f>
        <v>17</v>
      </c>
      <c r="K52" s="24">
        <f>J52/COUNTIF(ComplaintTracker[Issue Type],"Complaint")</f>
        <v>0.23287671232876711</v>
      </c>
      <c r="L52" s="3"/>
      <c r="M52" s="20" t="s">
        <v>35</v>
      </c>
      <c r="N52" s="22">
        <f>COUNTIF(ComplaintTracker[Severity],M52)</f>
        <v>75</v>
      </c>
      <c r="O52" s="24">
        <f>N52/ROWS(ComplaintTracker[Severity])</f>
        <v>0.9375</v>
      </c>
      <c r="P52" s="3"/>
      <c r="Q52" s="3"/>
      <c r="R52" s="3"/>
    </row>
    <row r="53" spans="1:18" ht="18" customHeight="1">
      <c r="A53" s="19">
        <v>46113</v>
      </c>
      <c r="B53" s="22">
        <f>COUNTIFS(ComplaintTracker[Issue Type],"Complaint",ComplaintTracker[Month_Sort],ROW()-49)</f>
        <v>11</v>
      </c>
      <c r="C53" s="22">
        <f>COUNTIFS(ComplaintTracker[Issue Type],"Inquiry",ComplaintTracker[Month_Sort],ROW()-49)</f>
        <v>1</v>
      </c>
      <c r="D53" s="3"/>
      <c r="E53" s="25" t="s">
        <v>374</v>
      </c>
      <c r="F53" s="26">
        <f>SUM(F50:F52)</f>
        <v>73</v>
      </c>
      <c r="G53" s="27">
        <f>SUM(G50:G52)</f>
        <v>1</v>
      </c>
      <c r="H53" s="3"/>
      <c r="I53" s="20"/>
      <c r="J53" s="22"/>
      <c r="K53" s="24"/>
      <c r="L53" s="3"/>
      <c r="M53" s="20" t="s">
        <v>262</v>
      </c>
      <c r="N53" s="22">
        <f>COUNTIF(ComplaintTracker[Severity],M53)</f>
        <v>3</v>
      </c>
      <c r="O53" s="24">
        <f>N53/ROWS(ComplaintTracker[Severity])</f>
        <v>3.7499999999999999E-2</v>
      </c>
      <c r="P53" s="3"/>
      <c r="Q53" s="3"/>
      <c r="R53" s="3"/>
    </row>
    <row r="54" spans="1:18" ht="18" customHeight="1">
      <c r="A54" s="19">
        <v>46143</v>
      </c>
      <c r="B54" s="22">
        <f>COUNTIFS(ComplaintTracker[Issue Type],"Complaint",ComplaintTracker[Month_Sort],ROW()-49)</f>
        <v>17</v>
      </c>
      <c r="C54" s="22">
        <f>COUNTIFS(ComplaintTracker[Issue Type],"Inquiry",ComplaintTracker[Month_Sort],ROW()-49)</f>
        <v>1</v>
      </c>
      <c r="D54" s="3"/>
      <c r="E54" s="3"/>
      <c r="F54" s="3"/>
      <c r="G54" s="3"/>
      <c r="H54" s="3"/>
      <c r="I54" s="25" t="s">
        <v>374</v>
      </c>
      <c r="J54" s="26">
        <f>SUM(J50:J53)</f>
        <v>73</v>
      </c>
      <c r="K54" s="27">
        <f>SUM(K50:K53)</f>
        <v>1</v>
      </c>
      <c r="L54" s="3"/>
      <c r="M54" s="25" t="s">
        <v>374</v>
      </c>
      <c r="N54" s="26">
        <f>SUM(N50:N53)</f>
        <v>80</v>
      </c>
      <c r="O54" s="27">
        <f>SUM(O50:O53)</f>
        <v>1</v>
      </c>
      <c r="P54" s="3"/>
      <c r="Q54" s="3"/>
      <c r="R54" s="3"/>
    </row>
    <row r="55" spans="1:18" ht="18" customHeight="1">
      <c r="A55" s="19">
        <v>46174</v>
      </c>
      <c r="B55" s="22">
        <f>COUNTIFS(ComplaintTracker[Issue Type],"Complaint",ComplaintTracker[Month_Sort],ROW()-49)</f>
        <v>8</v>
      </c>
      <c r="C55" s="22">
        <f>COUNTIFS(ComplaintTracker[Issue Type],"Inquiry",ComplaintTracker[Month_Sort],ROW()-49)</f>
        <v>3</v>
      </c>
      <c r="D55" s="3"/>
      <c r="E55" s="3"/>
      <c r="F55" s="3"/>
      <c r="G55" s="3"/>
      <c r="H55" s="3"/>
      <c r="I55" s="3"/>
      <c r="J55" s="3"/>
      <c r="K55" s="3"/>
      <c r="L55" s="3"/>
      <c r="M55" s="3"/>
      <c r="N55" s="3"/>
      <c r="O55" s="3"/>
      <c r="P55" s="3"/>
      <c r="Q55" s="3"/>
      <c r="R55" s="3"/>
    </row>
    <row r="56" spans="1:18" ht="18" customHeight="1">
      <c r="A56" s="19">
        <v>46204</v>
      </c>
      <c r="B56" s="22">
        <f>COUNTIFS(ComplaintTracker[Issue Type],"Complaint",ComplaintTracker[Month_Sort],ROW()-49)</f>
        <v>3</v>
      </c>
      <c r="C56" s="22">
        <f>COUNTIFS(ComplaintTracker[Issue Type],"Inquiry",ComplaintTracker[Month_Sort],ROW()-49)</f>
        <v>1</v>
      </c>
      <c r="D56" s="3"/>
      <c r="E56" s="3"/>
      <c r="F56" s="3"/>
      <c r="G56" s="3"/>
      <c r="H56" s="3"/>
      <c r="I56" s="3"/>
      <c r="J56" s="3"/>
      <c r="K56" s="3"/>
      <c r="L56" s="3"/>
      <c r="M56" s="3"/>
      <c r="N56" s="3"/>
      <c r="O56" s="3"/>
      <c r="P56" s="3"/>
      <c r="Q56" s="3"/>
      <c r="R56" s="3"/>
    </row>
    <row r="57" spans="1:18" ht="18" customHeight="1">
      <c r="A57" s="19">
        <v>46235</v>
      </c>
      <c r="B57" s="22">
        <f>COUNTIFS(ComplaintTracker[Issue Type],"Complaint",ComplaintTracker[Month_Sort],ROW()-49)</f>
        <v>12</v>
      </c>
      <c r="C57" s="22">
        <f>COUNTIFS(ComplaintTracker[Issue Type],"Inquiry",ComplaintTracker[Month_Sort],ROW()-49)</f>
        <v>0</v>
      </c>
      <c r="D57" s="3"/>
      <c r="E57" s="3"/>
      <c r="F57" s="3"/>
      <c r="G57" s="3"/>
      <c r="H57" s="3"/>
      <c r="I57" s="3"/>
      <c r="J57" s="3"/>
      <c r="K57" s="3"/>
      <c r="L57" s="3"/>
      <c r="M57" s="3"/>
      <c r="N57" s="3"/>
      <c r="O57" s="3"/>
      <c r="P57" s="3"/>
      <c r="Q57" s="3"/>
      <c r="R57" s="3"/>
    </row>
    <row r="58" spans="1:18" ht="18" customHeight="1">
      <c r="A58" s="25" t="s">
        <v>374</v>
      </c>
      <c r="B58" s="26">
        <f>SUM(B50:B57)</f>
        <v>73</v>
      </c>
      <c r="C58" s="26">
        <f>SUM(C50:C57)</f>
        <v>7</v>
      </c>
      <c r="D58" s="3"/>
      <c r="E58" s="3"/>
      <c r="F58" s="3"/>
      <c r="G58" s="3"/>
      <c r="H58" s="3"/>
      <c r="I58" s="3"/>
      <c r="J58" s="3"/>
      <c r="K58" s="3"/>
      <c r="L58" s="3"/>
      <c r="M58" s="3"/>
      <c r="N58" s="3"/>
      <c r="O58" s="3"/>
      <c r="P58" s="3"/>
      <c r="Q58" s="3"/>
      <c r="R58" s="3"/>
    </row>
    <row r="59" spans="1:18" ht="18" customHeight="1">
      <c r="A59" s="3"/>
      <c r="B59" s="3"/>
      <c r="C59" s="3"/>
      <c r="D59" s="3"/>
      <c r="E59" s="3"/>
      <c r="F59" s="3"/>
      <c r="G59" s="3"/>
      <c r="H59" s="3"/>
      <c r="I59" s="3"/>
      <c r="J59" s="3"/>
      <c r="K59" s="3"/>
      <c r="L59" s="3"/>
      <c r="M59" s="3"/>
      <c r="N59" s="3"/>
      <c r="O59" s="3"/>
      <c r="P59" s="3"/>
      <c r="Q59" s="3"/>
      <c r="R59" s="3"/>
    </row>
    <row r="60" spans="1:18" ht="18" customHeight="1">
      <c r="A60" s="3"/>
      <c r="B60" s="3"/>
      <c r="C60" s="3"/>
      <c r="D60" s="3"/>
      <c r="E60" s="3"/>
      <c r="F60" s="3"/>
      <c r="G60" s="3"/>
      <c r="H60" s="3"/>
      <c r="I60" s="3"/>
      <c r="J60" s="3"/>
      <c r="K60" s="3"/>
      <c r="L60" s="3"/>
      <c r="M60" s="3"/>
      <c r="N60" s="3"/>
      <c r="O60" s="3"/>
      <c r="P60" s="3"/>
      <c r="Q60" s="3"/>
      <c r="R60" s="3"/>
    </row>
    <row r="61" spans="1:18" ht="18" customHeight="1">
      <c r="A61" s="3"/>
      <c r="B61" s="3"/>
      <c r="C61" s="3"/>
      <c r="D61" s="3"/>
      <c r="E61" s="3"/>
      <c r="F61" s="3"/>
      <c r="G61" s="3"/>
      <c r="H61" s="3"/>
      <c r="I61" s="3"/>
      <c r="J61" s="3"/>
      <c r="K61" s="3"/>
      <c r="L61" s="3"/>
      <c r="M61" s="3"/>
      <c r="N61" s="3"/>
      <c r="O61" s="3"/>
      <c r="P61" s="3"/>
      <c r="Q61" s="3"/>
      <c r="R61" s="3"/>
    </row>
    <row r="62" spans="1:18" ht="23.25" customHeight="1">
      <c r="A62" s="88" t="s">
        <v>375</v>
      </c>
      <c r="B62" s="88"/>
      <c r="C62" s="88"/>
      <c r="D62" s="3"/>
      <c r="E62" s="88" t="s">
        <v>376</v>
      </c>
      <c r="F62" s="88"/>
      <c r="G62" s="88"/>
      <c r="H62" s="3"/>
      <c r="I62" s="88" t="s">
        <v>377</v>
      </c>
      <c r="J62" s="88"/>
      <c r="K62" s="88"/>
      <c r="L62" s="88"/>
    </row>
    <row r="63" spans="1:18" ht="18" customHeight="1">
      <c r="A63" s="15" t="s">
        <v>3</v>
      </c>
      <c r="B63" s="15" t="s">
        <v>367</v>
      </c>
      <c r="C63" s="15" t="s">
        <v>369</v>
      </c>
      <c r="D63" s="3"/>
      <c r="E63" s="15" t="s">
        <v>378</v>
      </c>
      <c r="F63" s="15" t="s">
        <v>367</v>
      </c>
      <c r="G63" s="15" t="s">
        <v>369</v>
      </c>
      <c r="H63" s="3"/>
      <c r="I63" s="15" t="s">
        <v>379</v>
      </c>
      <c r="J63" s="15" t="s">
        <v>367</v>
      </c>
      <c r="K63" s="15" t="s">
        <v>368</v>
      </c>
      <c r="L63" s="16" t="s">
        <v>374</v>
      </c>
    </row>
    <row r="64" spans="1:18"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cm="1">
        <f t="array" ref="B64:B73">COUNTIFS(ComplaintTracker[Issue Type],"Complaint",ComplaintTracker[Customer],_xlfn.ANCHORARRAY(A64))</f>
        <v>32</v>
      </c>
      <c r="C64" s="23" cm="1">
        <f t="array" ref="C64:C73">_xlfn.ANCHORARRAY(B64)/COUNTIF(ComplaintTracker[Issue Type],"Complaint")</f>
        <v>0.43835616438356162</v>
      </c>
      <c r="D64" s="3"/>
      <c r="E64" s="18" t="s">
        <v>56</v>
      </c>
      <c r="F64" s="21">
        <f>COUNTIFS(ComplaintTracker[Issue Type],"Complaint",ComplaintTracker[Standard Automation Focus],E64)</f>
        <v>22</v>
      </c>
      <c r="G64" s="23">
        <f>F64/COUNTIF(ComplaintTracker[Issue Type],"Complaint")</f>
        <v>0.30136986301369861</v>
      </c>
      <c r="H64" s="3"/>
      <c r="I64" s="18" t="str" cm="1">
        <f t="array" ref="I64:L84">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v>9</v>
      </c>
      <c r="K64" s="75">
        <v>0</v>
      </c>
      <c r="L64" s="75">
        <v>9</v>
      </c>
    </row>
    <row r="65" spans="1:12" ht="23.25" customHeight="1">
      <c r="A65" s="20" t="str">
        <v>Eaton</v>
      </c>
      <c r="B65" s="22">
        <v>10</v>
      </c>
      <c r="C65" s="24">
        <v>0.13698630136986301</v>
      </c>
      <c r="D65" s="3"/>
      <c r="E65" s="20" t="s">
        <v>31</v>
      </c>
      <c r="F65" s="22">
        <f>COUNTIFS(ComplaintTracker[Issue Type],"Complaint",ComplaintTracker[Standard Automation Focus],E65)</f>
        <v>26</v>
      </c>
      <c r="G65" s="24">
        <f>F65/COUNTIF(ComplaintTracker[Issue Type],"Complaint")</f>
        <v>0.35616438356164382</v>
      </c>
      <c r="H65" s="3"/>
      <c r="I65" s="20" t="str">
        <v>Chemical Spill</v>
      </c>
      <c r="J65" s="76">
        <v>1</v>
      </c>
      <c r="K65" s="76">
        <v>0</v>
      </c>
      <c r="L65" s="76">
        <v>1</v>
      </c>
    </row>
    <row r="66" spans="1:12" ht="18" customHeight="1">
      <c r="A66" s="20" t="str">
        <v>Caterpillar</v>
      </c>
      <c r="B66" s="22">
        <v>6</v>
      </c>
      <c r="C66" s="24">
        <v>8.2191780821917804E-2</v>
      </c>
      <c r="D66" s="3"/>
      <c r="E66" s="20" t="s">
        <v>170</v>
      </c>
      <c r="F66" s="22">
        <f>COUNTIFS(ComplaintTracker[Issue Type],"Complaint",ComplaintTracker[Standard Automation Focus],E66)</f>
        <v>3</v>
      </c>
      <c r="G66" s="24">
        <f>F66/COUNTIF(ComplaintTracker[Issue Type],"Complaint")</f>
        <v>4.1095890410958902E-2</v>
      </c>
      <c r="H66" s="3"/>
      <c r="I66" s="20" t="str">
        <v>Cyber Attack</v>
      </c>
      <c r="J66" s="76">
        <v>12</v>
      </c>
      <c r="K66" s="76">
        <v>0</v>
      </c>
      <c r="L66" s="76">
        <v>12</v>
      </c>
    </row>
    <row r="67" spans="1:12" ht="23.25" customHeight="1">
      <c r="A67" s="20" t="str">
        <v>Collins Aerospace</v>
      </c>
      <c r="B67" s="22">
        <v>4</v>
      </c>
      <c r="C67" s="24">
        <v>5.4794520547945202E-2</v>
      </c>
      <c r="D67" s="3"/>
      <c r="E67" s="20" t="s">
        <v>46</v>
      </c>
      <c r="F67" s="22">
        <f>COUNTIFS(ComplaintTracker[Issue Type],"Complaint",ComplaintTracker[Standard Automation Focus],E67)</f>
        <v>6</v>
      </c>
      <c r="G67" s="24">
        <f>F67/COUNTIF(ComplaintTracker[Issue Type],"Complaint")</f>
        <v>8.2191780821917804E-2</v>
      </c>
      <c r="H67" s="3"/>
      <c r="I67" s="20" t="str">
        <v>Earthquake</v>
      </c>
      <c r="J67" s="76">
        <v>1</v>
      </c>
      <c r="K67" s="76">
        <v>1</v>
      </c>
      <c r="L67" s="76">
        <v>2</v>
      </c>
    </row>
    <row r="68" spans="1:12" ht="23.25" customHeight="1">
      <c r="A68" s="20" t="str">
        <v>GM</v>
      </c>
      <c r="B68" s="22">
        <v>2</v>
      </c>
      <c r="C68" s="24">
        <v>2.7397260273972601E-2</v>
      </c>
      <c r="D68" s="3"/>
      <c r="E68" s="20" t="s">
        <v>109</v>
      </c>
      <c r="F68" s="22">
        <f>COUNTIFS(ComplaintTracker[Issue Type],"Complaint",ComplaintTracker[Standard Automation Focus],E68)</f>
        <v>5</v>
      </c>
      <c r="G68" s="24">
        <f>F68/COUNTIF(ComplaintTracker[Issue Type],"Complaint")</f>
        <v>6.8493150684931503E-2</v>
      </c>
      <c r="H68" s="3"/>
      <c r="I68" s="20" t="str">
        <v>Extreme Weather</v>
      </c>
      <c r="J68" s="76">
        <v>6</v>
      </c>
      <c r="K68" s="76">
        <v>0</v>
      </c>
      <c r="L68" s="76">
        <v>6</v>
      </c>
    </row>
    <row r="69" spans="1:12" ht="18" customHeight="1">
      <c r="A69" s="20" t="str">
        <v>Merck</v>
      </c>
      <c r="B69" s="22">
        <v>2</v>
      </c>
      <c r="C69" s="24">
        <v>2.7397260273972601E-2</v>
      </c>
      <c r="D69" s="3"/>
      <c r="E69" s="20" t="s">
        <v>161</v>
      </c>
      <c r="F69" s="22">
        <f>COUNTIFS(ComplaintTracker[Issue Type],"Complaint",ComplaintTracker[Standard Automation Focus],E69)</f>
        <v>4</v>
      </c>
      <c r="G69" s="24">
        <f>F69/COUNTIF(ComplaintTracker[Issue Type],"Complaint")</f>
        <v>5.4794520547945202E-2</v>
      </c>
      <c r="H69" s="3"/>
      <c r="I69" s="20" t="str">
        <v>Factory Closure</v>
      </c>
      <c r="J69" s="76">
        <v>1</v>
      </c>
      <c r="K69" s="76">
        <v>0</v>
      </c>
      <c r="L69" s="76">
        <v>1</v>
      </c>
    </row>
    <row r="70" spans="1:12" ht="23.25" customHeight="1">
      <c r="A70" s="20" t="str">
        <v>Schneider Electric</v>
      </c>
      <c r="B70" s="22">
        <v>2</v>
      </c>
      <c r="C70" s="24">
        <v>2.7397260273972601E-2</v>
      </c>
      <c r="D70" s="3"/>
      <c r="E70" s="20" t="s">
        <v>96</v>
      </c>
      <c r="F70" s="22">
        <f>COUNTIFS(ComplaintTracker[Issue Type],"Complaint",ComplaintTracker[Standard Automation Focus],E70)</f>
        <v>2</v>
      </c>
      <c r="G70" s="24">
        <f>F70/COUNTIF(ComplaintTracker[Issue Type],"Complaint")</f>
        <v>2.7397260273972601E-2</v>
      </c>
      <c r="H70" s="3"/>
      <c r="I70" s="20" t="str">
        <v>Factory Disruption</v>
      </c>
      <c r="J70" s="76">
        <v>1</v>
      </c>
      <c r="K70" s="76">
        <v>0</v>
      </c>
      <c r="L70" s="76">
        <v>1</v>
      </c>
    </row>
    <row r="71" spans="1:12" ht="23.25" customHeight="1">
      <c r="A71" s="20" t="str">
        <v>UVM Health Network</v>
      </c>
      <c r="B71" s="22">
        <v>2</v>
      </c>
      <c r="C71" s="24">
        <v>2.7397260273972601E-2</v>
      </c>
      <c r="D71" s="3"/>
      <c r="E71" s="20" t="s">
        <v>141</v>
      </c>
      <c r="F71" s="22">
        <f>COUNTIFS(ComplaintTracker[Issue Type],"Complaint",ComplaintTracker[Standard Automation Focus],E71)</f>
        <v>2</v>
      </c>
      <c r="G71" s="24">
        <f>F71/COUNTIF(ComplaintTracker[Issue Type],"Complaint")</f>
        <v>2.7397260273972601E-2</v>
      </c>
      <c r="H71" s="3"/>
      <c r="I71" s="20" t="str">
        <v>Factory Fire</v>
      </c>
      <c r="J71" s="76">
        <v>11</v>
      </c>
      <c r="K71" s="76">
        <v>2</v>
      </c>
      <c r="L71" s="76">
        <v>13</v>
      </c>
    </row>
    <row r="72" spans="1:12" ht="18" customHeight="1">
      <c r="A72" s="20" t="str">
        <v>Bombardier</v>
      </c>
      <c r="B72" s="22">
        <v>1</v>
      </c>
      <c r="C72" s="24">
        <v>1.3698630136986301E-2</v>
      </c>
      <c r="D72" s="3"/>
      <c r="E72" s="20" t="s">
        <v>89</v>
      </c>
      <c r="F72" s="22">
        <f>COUNTIFS(ComplaintTracker[Issue Type],"Complaint",ComplaintTracker[Standard Automation Focus],E72)</f>
        <v>3</v>
      </c>
      <c r="G72" s="24">
        <f>F72/COUNTIF(ComplaintTracker[Issue Type],"Complaint")</f>
        <v>4.1095890410958902E-2</v>
      </c>
      <c r="H72" s="3"/>
      <c r="I72" s="20" t="str">
        <v>Financial Distress</v>
      </c>
      <c r="J72" s="76">
        <v>1</v>
      </c>
      <c r="K72" s="76">
        <v>0</v>
      </c>
      <c r="L72" s="76">
        <v>1</v>
      </c>
    </row>
    <row r="73" spans="1:12" ht="23.25" customHeight="1">
      <c r="A73" s="20" t="str">
        <v>Fedrigoni Group</v>
      </c>
      <c r="B73" s="22">
        <v>1</v>
      </c>
      <c r="C73" s="24">
        <v>1.3698630136986301E-2</v>
      </c>
      <c r="D73" s="3"/>
      <c r="E73" s="25" t="s">
        <v>374</v>
      </c>
      <c r="F73" s="26">
        <f>SUM(F64:F72)</f>
        <v>73</v>
      </c>
      <c r="G73" s="27">
        <f>SUM(G64:G72)</f>
        <v>0.99999999999999978</v>
      </c>
      <c r="H73" s="3"/>
      <c r="I73" s="20" t="str">
        <v>Geopolitical</v>
      </c>
      <c r="J73" s="76">
        <v>5</v>
      </c>
      <c r="K73" s="76">
        <v>0</v>
      </c>
      <c r="L73" s="76">
        <v>5</v>
      </c>
    </row>
    <row r="74" spans="1:12" ht="23.25" customHeight="1">
      <c r="A74" s="20" t="s">
        <v>380</v>
      </c>
      <c r="B74" s="22">
        <f>COUNTIF(ComplaintTracker[Issue Type],"Complaint")-SUM(B64:B73)</f>
        <v>11</v>
      </c>
      <c r="C74" s="24">
        <f>B74/COUNTIF(ComplaintTracker[Issue Type],"Complaint")</f>
        <v>0.15068493150684931</v>
      </c>
      <c r="D74" s="3"/>
      <c r="E74" s="3"/>
      <c r="F74" s="3"/>
      <c r="G74" s="3"/>
      <c r="H74" s="3"/>
      <c r="I74" s="20" t="str">
        <v>Hurricane/Typhoon</v>
      </c>
      <c r="J74" s="76">
        <v>1</v>
      </c>
      <c r="K74" s="76">
        <v>0</v>
      </c>
      <c r="L74" s="76">
        <v>1</v>
      </c>
    </row>
    <row r="75" spans="1:12" ht="18" customHeight="1">
      <c r="A75" s="25" t="s">
        <v>374</v>
      </c>
      <c r="B75" s="26">
        <f>SUM(B64:B74)</f>
        <v>73</v>
      </c>
      <c r="C75" s="27">
        <f>SUM(C64:C74)</f>
        <v>1</v>
      </c>
      <c r="D75" s="3"/>
      <c r="E75" s="3"/>
      <c r="F75" s="3"/>
      <c r="G75" s="3"/>
      <c r="H75" s="3"/>
      <c r="I75" s="20" t="str">
        <v>Labor Disruption</v>
      </c>
      <c r="J75" s="76">
        <v>5</v>
      </c>
      <c r="K75" s="76">
        <v>0</v>
      </c>
      <c r="L75" s="76">
        <v>5</v>
      </c>
    </row>
    <row r="76" spans="1:12" ht="23.25" customHeight="1">
      <c r="A76" s="3"/>
      <c r="B76" s="3"/>
      <c r="C76" s="3"/>
      <c r="D76" s="3"/>
      <c r="E76" s="3"/>
      <c r="F76" s="3"/>
      <c r="G76" s="3"/>
      <c r="H76" s="3"/>
      <c r="I76" s="20" t="str">
        <v>Leadership Transition</v>
      </c>
      <c r="J76" s="76">
        <v>1</v>
      </c>
      <c r="K76" s="76">
        <v>0</v>
      </c>
      <c r="L76" s="76">
        <v>1</v>
      </c>
    </row>
    <row r="77" spans="1:12" ht="23.25" customHeight="1">
      <c r="A77" s="3"/>
      <c r="B77" s="3"/>
      <c r="C77" s="3"/>
      <c r="D77" s="3"/>
      <c r="E77" s="3"/>
      <c r="F77" s="3"/>
      <c r="G77" s="3"/>
      <c r="H77" s="3"/>
      <c r="I77" s="20" t="str">
        <v>Merger &amp; Acquisition</v>
      </c>
      <c r="J77" s="76">
        <v>2</v>
      </c>
      <c r="K77" s="76">
        <v>0</v>
      </c>
      <c r="L77" s="76">
        <v>2</v>
      </c>
    </row>
    <row r="78" spans="1:12" ht="18" customHeight="1">
      <c r="A78" s="3"/>
      <c r="B78" s="3"/>
      <c r="C78" s="3"/>
      <c r="D78" s="3"/>
      <c r="E78" s="3"/>
      <c r="F78" s="3"/>
      <c r="G78" s="3"/>
      <c r="H78" s="3"/>
      <c r="I78" s="20" t="str">
        <v>Other</v>
      </c>
      <c r="J78" s="76">
        <v>0</v>
      </c>
      <c r="K78" s="76">
        <v>1</v>
      </c>
      <c r="L78" s="76">
        <v>1</v>
      </c>
    </row>
    <row r="79" spans="1:12" ht="23.25" customHeight="1">
      <c r="A79" s="3"/>
      <c r="B79" s="3"/>
      <c r="C79" s="3"/>
      <c r="D79" s="3"/>
      <c r="E79" s="3"/>
      <c r="F79" s="3"/>
      <c r="G79" s="3"/>
      <c r="H79" s="3"/>
      <c r="I79" s="20" t="str">
        <v>Protest/Riot</v>
      </c>
      <c r="J79" s="76">
        <v>4</v>
      </c>
      <c r="K79" s="76">
        <v>0</v>
      </c>
      <c r="L79" s="76">
        <v>4</v>
      </c>
    </row>
    <row r="80" spans="1:12" ht="23.25" customHeight="1">
      <c r="A80" s="3"/>
      <c r="B80" s="3"/>
      <c r="C80" s="3"/>
      <c r="D80" s="3"/>
      <c r="E80" s="3"/>
      <c r="F80" s="3"/>
      <c r="G80" s="3"/>
      <c r="H80" s="3"/>
      <c r="I80" s="20" t="str">
        <v>Regulatory Change</v>
      </c>
      <c r="J80" s="76">
        <v>6</v>
      </c>
      <c r="K80" s="76">
        <v>0</v>
      </c>
      <c r="L80" s="76">
        <v>6</v>
      </c>
    </row>
    <row r="81" spans="1:18" ht="18" customHeight="1">
      <c r="A81" s="3"/>
      <c r="B81" s="3"/>
      <c r="C81" s="3"/>
      <c r="D81" s="3"/>
      <c r="E81" s="3"/>
      <c r="F81" s="3"/>
      <c r="G81" s="3"/>
      <c r="H81" s="3"/>
      <c r="I81" s="20" t="str">
        <v>Supply Shortage</v>
      </c>
      <c r="J81" s="76">
        <v>3</v>
      </c>
      <c r="K81" s="76">
        <v>2</v>
      </c>
      <c r="L81" s="76">
        <v>5</v>
      </c>
    </row>
    <row r="82" spans="1:18" ht="23.25" customHeight="1">
      <c r="A82" s="3"/>
      <c r="B82" s="3"/>
      <c r="C82" s="3"/>
      <c r="D82" s="3"/>
      <c r="E82" s="3"/>
      <c r="F82" s="3"/>
      <c r="G82" s="3"/>
      <c r="H82" s="3"/>
      <c r="I82" s="20" t="str">
        <v>Transport Disruption</v>
      </c>
      <c r="J82" s="76">
        <v>1</v>
      </c>
      <c r="K82" s="76">
        <v>0</v>
      </c>
      <c r="L82" s="76">
        <v>1</v>
      </c>
    </row>
    <row r="83" spans="1:18" ht="23.25" customHeight="1">
      <c r="A83" s="3"/>
      <c r="B83" s="3"/>
      <c r="C83" s="3"/>
      <c r="D83" s="3"/>
      <c r="E83" s="3"/>
      <c r="F83" s="3"/>
      <c r="G83" s="3"/>
      <c r="H83" s="3"/>
      <c r="I83" s="20" t="str">
        <v>Wildfire</v>
      </c>
      <c r="J83" s="76">
        <v>2</v>
      </c>
      <c r="K83" s="76">
        <v>1</v>
      </c>
      <c r="L83" s="76">
        <v>3</v>
      </c>
    </row>
    <row r="84" spans="1:18" ht="18" customHeight="1">
      <c r="A84" s="3"/>
      <c r="B84" s="3"/>
      <c r="C84" s="3"/>
      <c r="D84" s="3"/>
      <c r="E84" s="3"/>
      <c r="F84" s="3"/>
      <c r="G84" s="3"/>
      <c r="H84" s="3"/>
      <c r="I84" s="25" t="str">
        <v>Total</v>
      </c>
      <c r="J84" s="77">
        <v>73</v>
      </c>
      <c r="K84" s="77">
        <v>7</v>
      </c>
      <c r="L84" s="77">
        <v>80</v>
      </c>
      <c r="M84" s="3"/>
      <c r="N84" s="3"/>
      <c r="O84" s="3"/>
      <c r="P84" s="3"/>
      <c r="Q84" s="3"/>
      <c r="R84" s="3"/>
    </row>
    <row r="85" spans="1:18" ht="18" customHeight="1">
      <c r="A85" s="3"/>
      <c r="B85" s="3"/>
      <c r="C85" s="3"/>
      <c r="D85" s="3"/>
      <c r="E85" s="3"/>
      <c r="F85" s="3"/>
      <c r="G85" s="3"/>
      <c r="H85" s="3"/>
      <c r="I85" s="3"/>
      <c r="J85" s="78"/>
      <c r="K85" s="78"/>
      <c r="L85" s="78"/>
      <c r="M85" s="3"/>
      <c r="N85" s="3"/>
      <c r="O85" s="3"/>
      <c r="P85" s="3"/>
      <c r="Q85" s="3"/>
      <c r="R85" s="3"/>
    </row>
    <row r="86" spans="1:18" ht="18" customHeight="1">
      <c r="A86" s="3"/>
      <c r="B86" s="3"/>
      <c r="C86" s="3"/>
      <c r="D86" s="3"/>
      <c r="E86" s="3"/>
      <c r="F86" s="3"/>
      <c r="G86" s="3"/>
      <c r="H86" s="3"/>
      <c r="I86" s="3"/>
      <c r="J86" s="78"/>
      <c r="K86" s="78"/>
      <c r="L86" s="78"/>
      <c r="M86" s="3"/>
      <c r="N86" s="3"/>
      <c r="O86" s="3"/>
      <c r="P86" s="3"/>
      <c r="Q86" s="3"/>
      <c r="R86" s="3"/>
    </row>
    <row r="87" spans="1:18" ht="18" customHeight="1">
      <c r="A87" s="3"/>
      <c r="B87" s="3"/>
      <c r="C87" s="3"/>
      <c r="D87" s="3"/>
      <c r="E87" s="3"/>
      <c r="F87" s="3"/>
      <c r="G87" s="3"/>
      <c r="H87" s="3"/>
      <c r="I87" s="3"/>
      <c r="J87" s="78"/>
      <c r="K87" s="78"/>
      <c r="L87" s="78"/>
      <c r="M87" s="3"/>
      <c r="N87" s="3"/>
      <c r="O87" s="3"/>
      <c r="P87" s="3"/>
      <c r="Q87" s="3"/>
      <c r="R87" s="3"/>
    </row>
    <row r="88" spans="1:18" ht="18" customHeight="1">
      <c r="A88" s="3"/>
      <c r="B88" s="3"/>
      <c r="C88" s="3"/>
      <c r="D88" s="3"/>
      <c r="E88" s="3"/>
      <c r="F88" s="3"/>
      <c r="G88" s="3"/>
      <c r="H88" s="3"/>
      <c r="I88" s="3"/>
      <c r="J88" s="78"/>
      <c r="K88" s="78"/>
      <c r="L88" s="78"/>
      <c r="M88" s="3"/>
      <c r="N88" s="3"/>
      <c r="O88" s="3"/>
      <c r="P88" s="3"/>
      <c r="Q88" s="3"/>
      <c r="R88" s="3"/>
    </row>
    <row r="89" spans="1:18" ht="18" customHeight="1">
      <c r="A89" s="3"/>
      <c r="B89" s="3"/>
      <c r="C89" s="3"/>
      <c r="D89" s="3"/>
      <c r="E89" s="3"/>
      <c r="F89" s="3"/>
      <c r="G89" s="3"/>
      <c r="H89" s="3"/>
      <c r="I89" s="3"/>
      <c r="J89" s="78"/>
      <c r="K89" s="78"/>
      <c r="L89" s="78"/>
      <c r="M89" s="3"/>
      <c r="N89" s="3"/>
      <c r="O89" s="3"/>
      <c r="P89" s="3"/>
      <c r="Q89" s="3"/>
      <c r="R89" s="3"/>
    </row>
    <row r="90" spans="1:18" ht="18" customHeight="1">
      <c r="A90" s="3"/>
      <c r="B90" s="3"/>
      <c r="C90" s="3"/>
      <c r="D90" s="3"/>
      <c r="E90" s="3"/>
      <c r="F90" s="3"/>
      <c r="G90" s="3"/>
      <c r="H90" s="3"/>
      <c r="I90" s="3"/>
      <c r="J90" s="78"/>
      <c r="K90" s="78"/>
      <c r="L90" s="78"/>
      <c r="M90" s="3"/>
      <c r="N90" s="3"/>
      <c r="O90" s="3"/>
      <c r="P90" s="3"/>
      <c r="Q90" s="3"/>
      <c r="R90" s="3"/>
    </row>
    <row r="91" spans="1:18" ht="18" customHeight="1">
      <c r="A91" s="3"/>
      <c r="B91" s="3"/>
      <c r="C91" s="3"/>
      <c r="D91" s="3"/>
      <c r="E91" s="3"/>
      <c r="F91" s="3"/>
      <c r="G91" s="3"/>
      <c r="H91" s="3"/>
      <c r="I91" s="3"/>
      <c r="J91" s="78"/>
      <c r="K91" s="78"/>
      <c r="L91" s="78"/>
      <c r="M91" s="3"/>
      <c r="N91" s="3"/>
      <c r="O91" s="3"/>
      <c r="P91" s="3"/>
      <c r="Q91" s="3"/>
      <c r="R91" s="3"/>
    </row>
    <row r="92" spans="1:18" ht="18" customHeight="1">
      <c r="A92" s="3"/>
      <c r="B92" s="3"/>
      <c r="C92" s="3"/>
      <c r="D92" s="3"/>
      <c r="E92" s="3"/>
      <c r="F92" s="3"/>
      <c r="G92" s="3"/>
      <c r="H92" s="3"/>
      <c r="I92" s="3"/>
      <c r="J92" s="78"/>
      <c r="K92" s="78"/>
      <c r="L92" s="78"/>
      <c r="M92" s="3"/>
      <c r="N92" s="3"/>
      <c r="O92" s="3"/>
      <c r="P92" s="3"/>
      <c r="Q92" s="3"/>
      <c r="R92" s="3"/>
    </row>
    <row r="93" spans="1:18" ht="18" customHeight="1">
      <c r="A93" s="3"/>
      <c r="B93" s="3"/>
      <c r="C93" s="3"/>
      <c r="D93" s="3"/>
      <c r="E93" s="3"/>
      <c r="F93" s="3"/>
      <c r="G93" s="3"/>
      <c r="H93" s="3"/>
      <c r="I93" s="3"/>
      <c r="J93" s="78"/>
      <c r="K93" s="78"/>
      <c r="L93" s="78"/>
      <c r="M93" s="3"/>
      <c r="N93" s="3"/>
      <c r="O93" s="3"/>
      <c r="P93" s="3"/>
      <c r="Q93" s="3"/>
      <c r="R93" s="3"/>
    </row>
    <row r="94" spans="1:18" ht="18" customHeight="1">
      <c r="A94" s="3"/>
      <c r="B94" s="3"/>
      <c r="C94" s="3"/>
      <c r="D94" s="3"/>
      <c r="E94" s="3"/>
      <c r="F94" s="3"/>
      <c r="G94" s="3"/>
      <c r="H94" s="3"/>
      <c r="I94" s="3"/>
      <c r="J94" s="78"/>
      <c r="K94" s="78"/>
      <c r="L94" s="78"/>
      <c r="M94" s="3"/>
      <c r="N94" s="3"/>
      <c r="O94" s="3"/>
      <c r="P94" s="3"/>
      <c r="Q94" s="3"/>
      <c r="R94" s="3"/>
    </row>
    <row r="95" spans="1:18" ht="18" customHeight="1">
      <c r="A95" s="3"/>
      <c r="B95" s="3"/>
      <c r="C95" s="3"/>
      <c r="D95" s="3"/>
      <c r="E95" s="3"/>
      <c r="F95" s="3"/>
      <c r="G95" s="3"/>
      <c r="H95" s="3"/>
      <c r="I95" s="3"/>
      <c r="J95" s="78"/>
      <c r="K95" s="78"/>
      <c r="L95" s="78"/>
      <c r="M95" s="3"/>
      <c r="N95" s="3"/>
      <c r="O95" s="3"/>
      <c r="P95" s="3"/>
      <c r="Q95" s="3"/>
      <c r="R95" s="3"/>
    </row>
    <row r="96" spans="1:18" ht="18" customHeight="1">
      <c r="A96" s="3"/>
      <c r="B96" s="3"/>
      <c r="C96" s="3"/>
      <c r="D96" s="3"/>
      <c r="E96" s="3"/>
      <c r="F96" s="3"/>
      <c r="G96" s="3"/>
      <c r="H96" s="3"/>
      <c r="I96" s="3"/>
      <c r="J96" s="78"/>
      <c r="K96" s="78"/>
      <c r="L96" s="78"/>
      <c r="M96" s="3"/>
      <c r="N96" s="3"/>
      <c r="O96" s="3"/>
      <c r="P96" s="3"/>
      <c r="Q96" s="3"/>
      <c r="R96" s="3"/>
    </row>
    <row r="97" spans="1:18" ht="18" customHeight="1">
      <c r="A97" s="3"/>
      <c r="B97" s="3"/>
      <c r="C97" s="3"/>
      <c r="D97" s="3"/>
      <c r="E97" s="3"/>
      <c r="F97" s="3"/>
      <c r="G97" s="3"/>
      <c r="H97" s="3"/>
      <c r="I97" s="3"/>
      <c r="J97" s="78"/>
      <c r="K97" s="78"/>
      <c r="L97" s="78"/>
      <c r="M97" s="3"/>
      <c r="N97" s="3"/>
      <c r="O97" s="3"/>
      <c r="P97" s="3"/>
      <c r="Q97" s="3"/>
      <c r="R97" s="3"/>
    </row>
    <row r="98" spans="1:18" ht="18" customHeight="1">
      <c r="A98" s="3"/>
      <c r="B98" s="3"/>
      <c r="C98" s="3"/>
      <c r="D98" s="3"/>
      <c r="E98" s="3"/>
      <c r="F98" s="3"/>
      <c r="G98" s="3"/>
      <c r="H98" s="3"/>
      <c r="I98" s="3"/>
      <c r="J98" s="78"/>
      <c r="K98" s="78"/>
      <c r="L98" s="78"/>
      <c r="M98" s="3"/>
      <c r="N98" s="3"/>
      <c r="O98" s="3"/>
      <c r="P98" s="3"/>
      <c r="Q98" s="3"/>
      <c r="R98" s="3"/>
    </row>
    <row r="99" spans="1:18" ht="18" customHeight="1">
      <c r="A99" s="3"/>
      <c r="B99" s="3"/>
      <c r="C99" s="3"/>
      <c r="D99" s="3"/>
      <c r="E99" s="3"/>
      <c r="F99" s="3"/>
      <c r="G99" s="3"/>
      <c r="H99" s="3"/>
      <c r="I99" s="3"/>
      <c r="J99" s="78"/>
      <c r="K99" s="78"/>
      <c r="L99" s="78"/>
      <c r="M99" s="3"/>
      <c r="N99" s="3"/>
      <c r="O99" s="3"/>
      <c r="P99" s="3"/>
      <c r="Q99" s="3"/>
      <c r="R99" s="3"/>
    </row>
    <row r="100" spans="1:18" ht="18" customHeight="1">
      <c r="A100" s="3"/>
      <c r="B100" s="3"/>
      <c r="C100" s="3"/>
      <c r="D100" s="3"/>
      <c r="E100" s="3"/>
      <c r="F100" s="3"/>
      <c r="G100" s="3"/>
      <c r="H100" s="3"/>
      <c r="I100" s="3"/>
      <c r="J100" s="78"/>
      <c r="K100" s="78"/>
      <c r="L100" s="78"/>
      <c r="M100" s="3"/>
      <c r="N100" s="3"/>
      <c r="O100" s="3"/>
      <c r="P100" s="3"/>
      <c r="Q100" s="3"/>
      <c r="R100" s="3"/>
    </row>
    <row r="101" spans="1:18" ht="18" customHeight="1">
      <c r="A101" s="3"/>
      <c r="B101" s="3"/>
      <c r="C101" s="3"/>
      <c r="D101" s="3"/>
      <c r="E101" s="3"/>
      <c r="F101" s="3"/>
      <c r="G101" s="3"/>
      <c r="H101" s="3"/>
      <c r="I101" s="3"/>
      <c r="J101" s="3"/>
      <c r="K101" s="3"/>
      <c r="L101" s="3"/>
      <c r="M101" s="3"/>
      <c r="N101" s="3"/>
      <c r="O101" s="3"/>
      <c r="P101" s="3"/>
      <c r="Q101" s="3"/>
      <c r="R101" s="3"/>
    </row>
    <row r="102" spans="1:18" ht="18" customHeight="1">
      <c r="A102" s="3"/>
      <c r="B102" s="3"/>
      <c r="C102" s="3"/>
      <c r="D102" s="3"/>
      <c r="E102" s="3"/>
      <c r="F102" s="3"/>
      <c r="G102" s="3"/>
      <c r="H102" s="3"/>
      <c r="I102" s="3"/>
      <c r="J102" s="3"/>
      <c r="K102" s="3"/>
      <c r="L102" s="3"/>
      <c r="M102" s="3"/>
      <c r="N102" s="3"/>
      <c r="O102" s="3"/>
      <c r="P102" s="3"/>
      <c r="Q102" s="3"/>
      <c r="R102" s="3"/>
    </row>
    <row r="103" spans="1:18" ht="18" customHeight="1">
      <c r="A103" s="3"/>
      <c r="B103" s="3"/>
      <c r="C103" s="3"/>
      <c r="D103" s="3"/>
      <c r="E103" s="3"/>
      <c r="F103" s="3"/>
      <c r="G103" s="3"/>
      <c r="H103" s="3"/>
      <c r="I103" s="3"/>
      <c r="J103" s="3"/>
      <c r="K103" s="3"/>
      <c r="L103" s="3"/>
      <c r="M103" s="3"/>
      <c r="N103" s="3"/>
      <c r="O103" s="3"/>
      <c r="P103" s="3"/>
      <c r="Q103" s="3"/>
      <c r="R103" s="3"/>
    </row>
    <row r="104" spans="1:18" ht="18" customHeight="1">
      <c r="A104" s="3"/>
      <c r="B104" s="3"/>
      <c r="C104" s="3"/>
      <c r="D104" s="3"/>
      <c r="E104" s="3"/>
      <c r="F104" s="3"/>
      <c r="G104" s="3"/>
      <c r="H104" s="3"/>
      <c r="I104" s="3"/>
      <c r="J104" s="3"/>
      <c r="K104" s="3"/>
      <c r="L104" s="3"/>
      <c r="M104" s="3"/>
      <c r="N104" s="3"/>
      <c r="O104" s="3"/>
      <c r="P104" s="3"/>
      <c r="Q104" s="3"/>
      <c r="R104" s="3"/>
    </row>
    <row r="105" spans="1:18" ht="18" customHeight="1">
      <c r="A105" s="3"/>
      <c r="B105" s="3"/>
      <c r="C105" s="3"/>
      <c r="D105" s="3"/>
      <c r="E105" s="3"/>
      <c r="F105" s="3"/>
      <c r="G105" s="3"/>
      <c r="H105" s="3"/>
      <c r="I105" s="3"/>
      <c r="J105" s="3"/>
      <c r="K105" s="3"/>
      <c r="L105" s="3"/>
      <c r="M105" s="3"/>
      <c r="N105" s="3"/>
      <c r="O105" s="3"/>
      <c r="P105" s="3"/>
      <c r="Q105" s="3"/>
      <c r="R105" s="3"/>
    </row>
    <row r="106" spans="1:18" ht="18" customHeight="1">
      <c r="A106" s="3"/>
      <c r="B106" s="3"/>
      <c r="C106" s="3"/>
      <c r="D106" s="3"/>
      <c r="E106" s="3"/>
      <c r="F106" s="3"/>
      <c r="G106" s="3"/>
      <c r="H106" s="3"/>
      <c r="I106" s="3"/>
      <c r="J106" s="3"/>
      <c r="K106" s="3"/>
      <c r="L106" s="3"/>
      <c r="M106" s="3"/>
      <c r="N106" s="3"/>
      <c r="O106" s="3"/>
      <c r="P106" s="3"/>
      <c r="Q106" s="3"/>
      <c r="R106" s="3"/>
    </row>
    <row r="107" spans="1:18" ht="18" customHeight="1">
      <c r="A107" s="3"/>
      <c r="B107" s="3"/>
      <c r="C107" s="3"/>
      <c r="D107" s="3"/>
      <c r="E107" s="3"/>
      <c r="F107" s="3"/>
      <c r="G107" s="3"/>
      <c r="H107" s="3"/>
      <c r="I107" s="3"/>
      <c r="J107" s="3"/>
      <c r="K107" s="3"/>
      <c r="L107" s="3"/>
      <c r="M107" s="3"/>
      <c r="N107" s="3"/>
      <c r="O107" s="3"/>
      <c r="P107" s="3"/>
      <c r="Q107" s="3"/>
      <c r="R107" s="3"/>
    </row>
    <row r="108" spans="1:18" ht="18" customHeight="1">
      <c r="A108" s="3"/>
      <c r="B108" s="3"/>
      <c r="C108" s="3"/>
      <c r="D108" s="3"/>
      <c r="E108" s="3"/>
      <c r="F108" s="3"/>
      <c r="G108" s="3"/>
      <c r="H108" s="3"/>
      <c r="I108" s="3"/>
      <c r="J108" s="3"/>
      <c r="K108" s="3"/>
      <c r="L108" s="3"/>
      <c r="M108" s="3"/>
      <c r="N108" s="3"/>
      <c r="O108" s="3"/>
      <c r="P108" s="3"/>
      <c r="Q108" s="3"/>
      <c r="R108" s="3"/>
    </row>
    <row r="109" spans="1:18" ht="18" customHeight="1">
      <c r="A109" s="3"/>
      <c r="B109" s="3"/>
      <c r="C109" s="3"/>
      <c r="D109" s="3"/>
      <c r="E109" s="3"/>
      <c r="F109" s="3"/>
      <c r="G109" s="3"/>
      <c r="H109" s="3"/>
      <c r="I109" s="3"/>
      <c r="J109" s="3"/>
      <c r="K109" s="3"/>
      <c r="L109" s="3"/>
      <c r="M109" s="3"/>
      <c r="N109" s="3"/>
      <c r="O109" s="3"/>
      <c r="P109" s="3"/>
      <c r="Q109" s="3"/>
      <c r="R109" s="3"/>
    </row>
    <row r="110" spans="1:18" ht="18" customHeight="1">
      <c r="A110" s="3"/>
      <c r="B110" s="3"/>
      <c r="C110" s="3"/>
      <c r="D110" s="3"/>
      <c r="E110" s="3"/>
      <c r="F110" s="3"/>
      <c r="G110" s="3"/>
      <c r="H110" s="3"/>
      <c r="I110" s="3"/>
      <c r="J110" s="3"/>
      <c r="K110" s="3"/>
      <c r="L110" s="3"/>
      <c r="M110" s="3"/>
      <c r="N110" s="3"/>
      <c r="O110" s="3"/>
      <c r="P110" s="3"/>
      <c r="Q110" s="3"/>
      <c r="R110" s="3"/>
    </row>
    <row r="132" ht="18.75" customHeight="1"/>
  </sheetData>
  <mergeCells count="28">
    <mergeCell ref="A46:R46"/>
    <mergeCell ref="A48:C48"/>
    <mergeCell ref="E48:G48"/>
    <mergeCell ref="I48:K48"/>
    <mergeCell ref="A62:C62"/>
    <mergeCell ref="E62:G62"/>
    <mergeCell ref="I62:L62"/>
    <mergeCell ref="M48:O48"/>
    <mergeCell ref="A27:F27"/>
    <mergeCell ref="G27:L27"/>
    <mergeCell ref="M27:R27"/>
    <mergeCell ref="A9:F9"/>
    <mergeCell ref="G9:L9"/>
    <mergeCell ref="M9:R9"/>
    <mergeCell ref="A1:R1"/>
    <mergeCell ref="J4:L4"/>
    <mergeCell ref="J5:L7"/>
    <mergeCell ref="M4:O4"/>
    <mergeCell ref="M5:O7"/>
    <mergeCell ref="P4:R4"/>
    <mergeCell ref="P5:R7"/>
    <mergeCell ref="A2:R2"/>
    <mergeCell ref="A4:C4"/>
    <mergeCell ref="A5:C7"/>
    <mergeCell ref="D4:F4"/>
    <mergeCell ref="D5:F7"/>
    <mergeCell ref="G4:I4"/>
    <mergeCell ref="G5:I7"/>
  </mergeCells>
  <conditionalFormatting sqref="B64:B74">
    <cfRule type="dataBar" priority="1">
      <dataBar>
        <cfvo type="min"/>
        <cfvo type="max"/>
        <color rgb="FF638EC6"/>
      </dataBar>
      <extLst>
        <ext xmlns:x14="http://schemas.microsoft.com/office/spreadsheetml/2009/9/main" uri="{B025F937-C7B1-47D3-B67F-A62EFF666E3E}">
          <x14:id>{2B92DC70-816E-4070-82A4-682A39F13C9A}</x14:id>
        </ext>
      </extLst>
    </cfRule>
  </conditionalFormatting>
  <conditionalFormatting sqref="F64:F72">
    <cfRule type="dataBar" priority="2">
      <dataBar>
        <cfvo type="min"/>
        <cfvo type="max"/>
        <color rgb="FF638EC6"/>
      </dataBar>
      <extLst>
        <ext xmlns:x14="http://schemas.microsoft.com/office/spreadsheetml/2009/9/main" uri="{B025F937-C7B1-47D3-B67F-A62EFF666E3E}">
          <x14:id>{742478AC-0A59-457D-8023-23E3EF707BB3}</x14:id>
        </ext>
      </extLst>
    </cfRule>
  </conditionalFormatting>
  <conditionalFormatting sqref="J64:J83">
    <cfRule type="dataBar" priority="3">
      <dataBar>
        <cfvo type="min"/>
        <cfvo type="max"/>
        <color rgb="FF638EC6"/>
      </dataBar>
      <extLst>
        <ext xmlns:x14="http://schemas.microsoft.com/office/spreadsheetml/2009/9/main" uri="{B025F937-C7B1-47D3-B67F-A62EFF666E3E}">
          <x14:id>{852CAC2D-FF7E-4AFE-9522-63E63331F893}</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2B92DC70-816E-4070-82A4-682A39F13C9A}">
            <x14:dataBar minLength="0" maxLength="100" negativeBarColorSameAsPositive="1" axisPosition="none">
              <x14:cfvo type="min"/>
              <x14:cfvo type="max"/>
            </x14:dataBar>
          </x14:cfRule>
          <xm:sqref>B64:B74</xm:sqref>
        </x14:conditionalFormatting>
        <x14:conditionalFormatting xmlns:xm="http://schemas.microsoft.com/office/excel/2006/main">
          <x14:cfRule type="dataBar" id="{742478AC-0A59-457D-8023-23E3EF707BB3}">
            <x14:dataBar minLength="0" maxLength="100" negativeBarColorSameAsPositive="1" axisPosition="none">
              <x14:cfvo type="min"/>
              <x14:cfvo type="max"/>
            </x14:dataBar>
          </x14:cfRule>
          <xm:sqref>F64:F72</xm:sqref>
        </x14:conditionalFormatting>
        <x14:conditionalFormatting xmlns:xm="http://schemas.microsoft.com/office/excel/2006/main">
          <x14:cfRule type="dataBar" id="{852CAC2D-FF7E-4AFE-9522-63E63331F893}">
            <x14:dataBar minLength="0" maxLength="100" negativeBarColorSameAsPositive="1" axisPosition="none">
              <x14:cfvo type="min"/>
              <x14:cfvo type="max"/>
            </x14:dataBar>
          </x14:cfRule>
          <xm:sqref>J64:J83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99BE5-D992-49E7-8ECC-578C6048E956}">
  <dimension ref="A1:E136"/>
  <sheetViews>
    <sheetView workbookViewId="0">
      <pane ySplit="3" topLeftCell="A4" activePane="bottomLeft" state="frozen"/>
      <selection pane="bottomLeft"/>
    </sheetView>
  </sheetViews>
  <sheetFormatPr defaultRowHeight="15"/>
  <cols>
    <col min="1" max="1" width="20" customWidth="1"/>
    <col min="2" max="2" width="40" customWidth="1"/>
    <col min="3" max="3" width="62.85546875" customWidth="1"/>
    <col min="4" max="4" width="46.7109375" customWidth="1"/>
    <col min="5" max="5" width="29.5703125" customWidth="1"/>
  </cols>
  <sheetData>
    <row r="1" spans="1:5" ht="30" customHeight="1">
      <c r="A1" s="89" t="s">
        <v>381</v>
      </c>
      <c r="B1" s="89"/>
      <c r="C1" s="89"/>
      <c r="D1" s="89"/>
      <c r="E1" s="89"/>
    </row>
    <row r="2" spans="1:5" ht="21.75" customHeight="1">
      <c r="A2" s="90" t="s">
        <v>382</v>
      </c>
      <c r="B2" s="90"/>
      <c r="C2" s="90"/>
      <c r="D2" s="90"/>
      <c r="E2" s="90"/>
    </row>
    <row r="3" spans="1:5">
      <c r="A3" s="41" t="s">
        <v>383</v>
      </c>
      <c r="B3" s="41" t="s">
        <v>384</v>
      </c>
      <c r="C3" s="41" t="s">
        <v>385</v>
      </c>
      <c r="D3" s="41" t="s">
        <v>386</v>
      </c>
      <c r="E3" s="41" t="s">
        <v>387</v>
      </c>
    </row>
    <row r="4" spans="1:5" ht="30.75">
      <c r="A4" s="42" t="s">
        <v>388</v>
      </c>
      <c r="B4" s="41" t="s">
        <v>0</v>
      </c>
      <c r="C4" s="41" t="s">
        <v>389</v>
      </c>
      <c r="D4" s="41" t="s">
        <v>390</v>
      </c>
      <c r="E4" s="41" t="s">
        <v>0</v>
      </c>
    </row>
    <row r="5" spans="1:5">
      <c r="A5" s="42" t="s">
        <v>388</v>
      </c>
      <c r="B5" s="41" t="s">
        <v>1</v>
      </c>
      <c r="C5" s="41" t="s">
        <v>391</v>
      </c>
      <c r="D5" s="41" t="s">
        <v>392</v>
      </c>
      <c r="E5" s="41" t="s">
        <v>1</v>
      </c>
    </row>
    <row r="6" spans="1:5">
      <c r="A6" s="42" t="s">
        <v>388</v>
      </c>
      <c r="B6" s="41" t="s">
        <v>2</v>
      </c>
      <c r="C6" s="41" t="s">
        <v>393</v>
      </c>
      <c r="D6" s="41" t="s">
        <v>394</v>
      </c>
      <c r="E6" s="41" t="s">
        <v>2</v>
      </c>
    </row>
    <row r="7" spans="1:5">
      <c r="A7" s="42" t="s">
        <v>388</v>
      </c>
      <c r="B7" s="41" t="s">
        <v>3</v>
      </c>
      <c r="C7" s="41" t="s">
        <v>395</v>
      </c>
      <c r="D7" s="41" t="s">
        <v>396</v>
      </c>
      <c r="E7" s="41" t="s">
        <v>3</v>
      </c>
    </row>
    <row r="8" spans="1:5" ht="30.75">
      <c r="A8" s="42" t="s">
        <v>388</v>
      </c>
      <c r="B8" s="41" t="s">
        <v>4</v>
      </c>
      <c r="C8" s="41" t="s">
        <v>397</v>
      </c>
      <c r="D8" s="41" t="s">
        <v>398</v>
      </c>
      <c r="E8" s="41" t="s">
        <v>4</v>
      </c>
    </row>
    <row r="9" spans="1:5">
      <c r="A9" s="42" t="s">
        <v>388</v>
      </c>
      <c r="B9" s="41" t="s">
        <v>5</v>
      </c>
      <c r="C9" s="41" t="s">
        <v>399</v>
      </c>
      <c r="D9" s="41" t="s">
        <v>400</v>
      </c>
      <c r="E9" s="41" t="s">
        <v>5</v>
      </c>
    </row>
    <row r="10" spans="1:5" ht="30.75">
      <c r="A10" s="42" t="s">
        <v>388</v>
      </c>
      <c r="B10" s="41" t="s">
        <v>6</v>
      </c>
      <c r="C10" s="41" t="s">
        <v>401</v>
      </c>
      <c r="D10" s="41" t="s">
        <v>402</v>
      </c>
      <c r="E10" s="41" t="s">
        <v>6</v>
      </c>
    </row>
    <row r="11" spans="1:5" ht="30.75">
      <c r="A11" s="42" t="s">
        <v>388</v>
      </c>
      <c r="B11" s="41" t="s">
        <v>7</v>
      </c>
      <c r="C11" s="41" t="s">
        <v>403</v>
      </c>
      <c r="D11" s="41" t="s">
        <v>404</v>
      </c>
      <c r="E11" s="41" t="s">
        <v>7</v>
      </c>
    </row>
    <row r="12" spans="1:5">
      <c r="A12" s="42" t="s">
        <v>388</v>
      </c>
      <c r="B12" s="41" t="s">
        <v>8</v>
      </c>
      <c r="C12" s="41" t="s">
        <v>405</v>
      </c>
      <c r="D12" s="41" t="s">
        <v>406</v>
      </c>
      <c r="E12" s="41" t="s">
        <v>8</v>
      </c>
    </row>
    <row r="13" spans="1:5" ht="30.75">
      <c r="A13" s="42" t="s">
        <v>388</v>
      </c>
      <c r="B13" s="41" t="s">
        <v>9</v>
      </c>
      <c r="C13" s="41" t="s">
        <v>407</v>
      </c>
      <c r="D13" s="41" t="s">
        <v>408</v>
      </c>
      <c r="E13" s="41" t="s">
        <v>9</v>
      </c>
    </row>
    <row r="14" spans="1:5" ht="30.75">
      <c r="A14" s="42" t="s">
        <v>388</v>
      </c>
      <c r="B14" s="41" t="s">
        <v>10</v>
      </c>
      <c r="C14" s="41" t="s">
        <v>409</v>
      </c>
      <c r="D14" s="41" t="s">
        <v>410</v>
      </c>
      <c r="E14" s="41" t="s">
        <v>10</v>
      </c>
    </row>
    <row r="15" spans="1:5">
      <c r="A15" s="42" t="s">
        <v>388</v>
      </c>
      <c r="B15" s="41" t="s">
        <v>11</v>
      </c>
      <c r="C15" s="41" t="s">
        <v>411</v>
      </c>
      <c r="D15" s="41" t="s">
        <v>412</v>
      </c>
      <c r="E15" s="41" t="s">
        <v>11</v>
      </c>
    </row>
    <row r="16" spans="1:5" ht="30.75">
      <c r="A16" s="42" t="s">
        <v>388</v>
      </c>
      <c r="B16" s="41" t="s">
        <v>12</v>
      </c>
      <c r="C16" s="41" t="s">
        <v>413</v>
      </c>
      <c r="D16" s="41" t="s">
        <v>414</v>
      </c>
      <c r="E16" s="41" t="s">
        <v>12</v>
      </c>
    </row>
    <row r="17" spans="1:5">
      <c r="A17" s="42" t="s">
        <v>388</v>
      </c>
      <c r="B17" s="41" t="s">
        <v>13</v>
      </c>
      <c r="C17" s="41" t="s">
        <v>415</v>
      </c>
      <c r="D17" s="41" t="s">
        <v>416</v>
      </c>
      <c r="E17" s="41" t="s">
        <v>13</v>
      </c>
    </row>
    <row r="18" spans="1:5" ht="30.75">
      <c r="A18" s="42" t="s">
        <v>388</v>
      </c>
      <c r="B18" s="41" t="s">
        <v>14</v>
      </c>
      <c r="C18" s="41" t="s">
        <v>417</v>
      </c>
      <c r="D18" s="41" t="s">
        <v>418</v>
      </c>
      <c r="E18" s="41" t="s">
        <v>14</v>
      </c>
    </row>
    <row r="19" spans="1:5">
      <c r="A19" s="42" t="s">
        <v>388</v>
      </c>
      <c r="B19" s="41" t="s">
        <v>15</v>
      </c>
      <c r="C19" s="41" t="s">
        <v>419</v>
      </c>
      <c r="D19" s="41" t="s">
        <v>420</v>
      </c>
      <c r="E19" s="41" t="s">
        <v>15</v>
      </c>
    </row>
    <row r="20" spans="1:5" ht="30.75">
      <c r="A20" s="42" t="s">
        <v>388</v>
      </c>
      <c r="B20" s="41" t="s">
        <v>16</v>
      </c>
      <c r="C20" s="41" t="s">
        <v>421</v>
      </c>
      <c r="D20" s="41" t="s">
        <v>422</v>
      </c>
      <c r="E20" s="41" t="s">
        <v>16</v>
      </c>
    </row>
    <row r="21" spans="1:5">
      <c r="A21" s="42" t="s">
        <v>388</v>
      </c>
      <c r="B21" s="41" t="s">
        <v>17</v>
      </c>
      <c r="C21" s="41" t="s">
        <v>423</v>
      </c>
      <c r="D21" s="41" t="s">
        <v>424</v>
      </c>
      <c r="E21" s="41" t="s">
        <v>17</v>
      </c>
    </row>
    <row r="22" spans="1:5" ht="30.75">
      <c r="A22" s="42" t="s">
        <v>388</v>
      </c>
      <c r="B22" s="41" t="s">
        <v>18</v>
      </c>
      <c r="C22" s="41" t="s">
        <v>425</v>
      </c>
      <c r="D22" s="41" t="s">
        <v>426</v>
      </c>
      <c r="E22" s="41" t="s">
        <v>18</v>
      </c>
    </row>
    <row r="23" spans="1:5">
      <c r="A23" s="42" t="s">
        <v>388</v>
      </c>
      <c r="B23" s="41" t="s">
        <v>19</v>
      </c>
      <c r="C23" s="41" t="s">
        <v>427</v>
      </c>
      <c r="D23" s="41" t="s">
        <v>428</v>
      </c>
      <c r="E23" s="41" t="s">
        <v>19</v>
      </c>
    </row>
    <row r="24" spans="1:5">
      <c r="A24" s="42" t="s">
        <v>388</v>
      </c>
      <c r="B24" s="41" t="s">
        <v>20</v>
      </c>
      <c r="C24" s="41" t="s">
        <v>429</v>
      </c>
      <c r="D24" s="41" t="s">
        <v>430</v>
      </c>
      <c r="E24" s="41" t="s">
        <v>20</v>
      </c>
    </row>
    <row r="25" spans="1:5">
      <c r="A25" s="42" t="s">
        <v>388</v>
      </c>
      <c r="B25" s="41" t="s">
        <v>21</v>
      </c>
      <c r="C25" s="41" t="s">
        <v>431</v>
      </c>
      <c r="D25" s="41" t="s">
        <v>432</v>
      </c>
      <c r="E25" s="41" t="s">
        <v>21</v>
      </c>
    </row>
    <row r="26" spans="1:5" ht="30.75">
      <c r="A26" s="42" t="s">
        <v>433</v>
      </c>
      <c r="B26" s="41" t="s">
        <v>434</v>
      </c>
      <c r="C26" s="41" t="s">
        <v>435</v>
      </c>
      <c r="D26" s="41" t="s">
        <v>436</v>
      </c>
      <c r="E26" s="41" t="s">
        <v>437</v>
      </c>
    </row>
    <row r="27" spans="1:5" ht="30.75">
      <c r="A27" s="42" t="s">
        <v>433</v>
      </c>
      <c r="B27" s="41" t="s">
        <v>438</v>
      </c>
      <c r="C27" s="41" t="s">
        <v>439</v>
      </c>
      <c r="D27" s="41" t="s">
        <v>436</v>
      </c>
      <c r="E27" s="41" t="s">
        <v>437</v>
      </c>
    </row>
    <row r="28" spans="1:5" ht="30.75">
      <c r="A28" s="42" t="s">
        <v>433</v>
      </c>
      <c r="B28" s="41" t="s">
        <v>440</v>
      </c>
      <c r="C28" s="41" t="s">
        <v>441</v>
      </c>
      <c r="D28" s="41" t="s">
        <v>436</v>
      </c>
      <c r="E28" s="41" t="s">
        <v>437</v>
      </c>
    </row>
    <row r="29" spans="1:5" ht="30.75">
      <c r="A29" s="42" t="s">
        <v>433</v>
      </c>
      <c r="B29" s="41" t="s">
        <v>442</v>
      </c>
      <c r="C29" s="41" t="s">
        <v>443</v>
      </c>
      <c r="D29" s="41" t="s">
        <v>436</v>
      </c>
      <c r="E29" s="41" t="s">
        <v>437</v>
      </c>
    </row>
    <row r="30" spans="1:5" ht="30.75">
      <c r="A30" s="42" t="s">
        <v>433</v>
      </c>
      <c r="B30" s="41" t="s">
        <v>444</v>
      </c>
      <c r="C30" s="41" t="s">
        <v>445</v>
      </c>
      <c r="D30" s="41" t="s">
        <v>436</v>
      </c>
      <c r="E30" s="41" t="s">
        <v>437</v>
      </c>
    </row>
    <row r="31" spans="1:5" ht="30.75">
      <c r="A31" s="42" t="s">
        <v>433</v>
      </c>
      <c r="B31" s="41" t="s">
        <v>446</v>
      </c>
      <c r="C31" s="41" t="s">
        <v>447</v>
      </c>
      <c r="D31" s="41" t="s">
        <v>436</v>
      </c>
      <c r="E31" s="41" t="s">
        <v>437</v>
      </c>
    </row>
    <row r="32" spans="1:5" ht="30.75">
      <c r="A32" s="42" t="s">
        <v>433</v>
      </c>
      <c r="B32" s="41" t="s">
        <v>448</v>
      </c>
      <c r="C32" s="41" t="s">
        <v>449</v>
      </c>
      <c r="D32" s="41" t="s">
        <v>436</v>
      </c>
      <c r="E32" s="41" t="s">
        <v>437</v>
      </c>
    </row>
    <row r="33" spans="1:5" ht="30.75">
      <c r="A33" s="42" t="s">
        <v>433</v>
      </c>
      <c r="B33" s="41" t="s">
        <v>28</v>
      </c>
      <c r="C33" s="41" t="s">
        <v>450</v>
      </c>
      <c r="D33" s="41" t="s">
        <v>436</v>
      </c>
      <c r="E33" s="41" t="s">
        <v>437</v>
      </c>
    </row>
    <row r="34" spans="1:5" ht="30.75">
      <c r="A34" s="42" t="s">
        <v>433</v>
      </c>
      <c r="B34" s="41" t="s">
        <v>451</v>
      </c>
      <c r="C34" s="41" t="s">
        <v>452</v>
      </c>
      <c r="D34" s="41" t="s">
        <v>436</v>
      </c>
      <c r="E34" s="41" t="s">
        <v>437</v>
      </c>
    </row>
    <row r="35" spans="1:5" ht="30.75">
      <c r="A35" s="42" t="s">
        <v>433</v>
      </c>
      <c r="B35" s="41" t="s">
        <v>453</v>
      </c>
      <c r="C35" s="41" t="s">
        <v>454</v>
      </c>
      <c r="D35" s="41" t="s">
        <v>436</v>
      </c>
      <c r="E35" s="41" t="s">
        <v>437</v>
      </c>
    </row>
    <row r="36" spans="1:5" ht="30.75">
      <c r="A36" s="42" t="s">
        <v>433</v>
      </c>
      <c r="B36" s="41" t="s">
        <v>455</v>
      </c>
      <c r="C36" s="41" t="s">
        <v>456</v>
      </c>
      <c r="D36" s="41" t="s">
        <v>436</v>
      </c>
      <c r="E36" s="41" t="s">
        <v>437</v>
      </c>
    </row>
    <row r="37" spans="1:5" ht="30.75">
      <c r="A37" s="42" t="s">
        <v>433</v>
      </c>
      <c r="B37" s="41" t="s">
        <v>457</v>
      </c>
      <c r="C37" s="41" t="s">
        <v>458</v>
      </c>
      <c r="D37" s="41" t="s">
        <v>436</v>
      </c>
      <c r="E37" s="41" t="s">
        <v>437</v>
      </c>
    </row>
    <row r="38" spans="1:5" ht="30.75">
      <c r="A38" s="42" t="s">
        <v>2</v>
      </c>
      <c r="B38" s="41" t="s">
        <v>63</v>
      </c>
      <c r="C38" s="41" t="s">
        <v>459</v>
      </c>
      <c r="D38" s="41" t="s">
        <v>460</v>
      </c>
      <c r="E38" s="41" t="s">
        <v>2</v>
      </c>
    </row>
    <row r="39" spans="1:5">
      <c r="A39" s="42" t="s">
        <v>2</v>
      </c>
      <c r="B39" s="41" t="s">
        <v>269</v>
      </c>
      <c r="C39" s="41" t="s">
        <v>461</v>
      </c>
      <c r="D39" s="41" t="s">
        <v>460</v>
      </c>
      <c r="E39" s="41" t="s">
        <v>2</v>
      </c>
    </row>
    <row r="40" spans="1:5" ht="30.75">
      <c r="A40" s="42" t="s">
        <v>2</v>
      </c>
      <c r="B40" s="41" t="s">
        <v>113</v>
      </c>
      <c r="C40" s="41" t="s">
        <v>462</v>
      </c>
      <c r="D40" s="41" t="s">
        <v>460</v>
      </c>
      <c r="E40" s="41" t="s">
        <v>2</v>
      </c>
    </row>
    <row r="41" spans="1:5">
      <c r="A41" s="42" t="s">
        <v>2</v>
      </c>
      <c r="B41" s="41" t="s">
        <v>173</v>
      </c>
      <c r="C41" s="41" t="s">
        <v>463</v>
      </c>
      <c r="D41" s="41" t="s">
        <v>460</v>
      </c>
      <c r="E41" s="41" t="s">
        <v>2</v>
      </c>
    </row>
    <row r="42" spans="1:5" ht="30.75">
      <c r="A42" s="42" t="s">
        <v>2</v>
      </c>
      <c r="B42" s="41" t="s">
        <v>47</v>
      </c>
      <c r="C42" s="41" t="s">
        <v>464</v>
      </c>
      <c r="D42" s="41" t="s">
        <v>460</v>
      </c>
      <c r="E42" s="41" t="s">
        <v>2</v>
      </c>
    </row>
    <row r="43" spans="1:5">
      <c r="A43" s="42" t="s">
        <v>2</v>
      </c>
      <c r="B43" s="41" t="s">
        <v>41</v>
      </c>
      <c r="C43" s="41" t="s">
        <v>465</v>
      </c>
      <c r="D43" s="41" t="s">
        <v>460</v>
      </c>
      <c r="E43" s="41" t="s">
        <v>2</v>
      </c>
    </row>
    <row r="44" spans="1:5" ht="30.75">
      <c r="A44" s="42" t="s">
        <v>2</v>
      </c>
      <c r="B44" s="41" t="s">
        <v>265</v>
      </c>
      <c r="C44" s="41" t="s">
        <v>466</v>
      </c>
      <c r="D44" s="41" t="s">
        <v>460</v>
      </c>
      <c r="E44" s="41" t="s">
        <v>2</v>
      </c>
    </row>
    <row r="45" spans="1:5">
      <c r="A45" s="42" t="s">
        <v>2</v>
      </c>
      <c r="B45" s="41" t="s">
        <v>22</v>
      </c>
      <c r="C45" s="41" t="s">
        <v>467</v>
      </c>
      <c r="D45" s="41" t="s">
        <v>460</v>
      </c>
      <c r="E45" s="41" t="s">
        <v>2</v>
      </c>
    </row>
    <row r="46" spans="1:5" ht="30.75">
      <c r="A46" s="42" t="s">
        <v>2</v>
      </c>
      <c r="B46" s="41" t="s">
        <v>252</v>
      </c>
      <c r="C46" s="41" t="s">
        <v>468</v>
      </c>
      <c r="D46" s="41" t="s">
        <v>460</v>
      </c>
      <c r="E46" s="41" t="s">
        <v>2</v>
      </c>
    </row>
    <row r="47" spans="1:5" ht="30.75">
      <c r="A47" s="42" t="s">
        <v>2</v>
      </c>
      <c r="B47" s="41" t="s">
        <v>68</v>
      </c>
      <c r="C47" s="41" t="s">
        <v>469</v>
      </c>
      <c r="D47" s="41" t="s">
        <v>460</v>
      </c>
      <c r="E47" s="41" t="s">
        <v>2</v>
      </c>
    </row>
    <row r="48" spans="1:5">
      <c r="A48" s="42" t="s">
        <v>2</v>
      </c>
      <c r="B48" s="41" t="s">
        <v>57</v>
      </c>
      <c r="C48" s="41" t="s">
        <v>470</v>
      </c>
      <c r="D48" s="41" t="s">
        <v>460</v>
      </c>
      <c r="E48" s="41" t="s">
        <v>2</v>
      </c>
    </row>
    <row r="49" spans="1:5">
      <c r="A49" s="42" t="s">
        <v>2</v>
      </c>
      <c r="B49" s="41" t="s">
        <v>90</v>
      </c>
      <c r="C49" s="41" t="s">
        <v>471</v>
      </c>
      <c r="D49" s="41" t="s">
        <v>460</v>
      </c>
      <c r="E49" s="41" t="s">
        <v>2</v>
      </c>
    </row>
    <row r="50" spans="1:5">
      <c r="A50" s="42" t="s">
        <v>2</v>
      </c>
      <c r="B50" s="41" t="s">
        <v>239</v>
      </c>
      <c r="C50" s="41" t="s">
        <v>472</v>
      </c>
      <c r="D50" s="41" t="s">
        <v>460</v>
      </c>
      <c r="E50" s="41" t="s">
        <v>2</v>
      </c>
    </row>
    <row r="51" spans="1:5">
      <c r="A51" s="42" t="s">
        <v>2</v>
      </c>
      <c r="B51" s="41" t="s">
        <v>473</v>
      </c>
      <c r="C51" s="41" t="s">
        <v>474</v>
      </c>
      <c r="D51" s="41" t="s">
        <v>460</v>
      </c>
      <c r="E51" s="41" t="s">
        <v>2</v>
      </c>
    </row>
    <row r="52" spans="1:5">
      <c r="A52" s="42" t="s">
        <v>2</v>
      </c>
      <c r="B52" s="41" t="s">
        <v>36</v>
      </c>
      <c r="C52" s="41" t="s">
        <v>475</v>
      </c>
      <c r="D52" s="41" t="s">
        <v>460</v>
      </c>
      <c r="E52" s="41" t="s">
        <v>2</v>
      </c>
    </row>
    <row r="53" spans="1:5">
      <c r="A53" s="42" t="s">
        <v>2</v>
      </c>
      <c r="B53" s="41" t="s">
        <v>129</v>
      </c>
      <c r="C53" s="41" t="s">
        <v>476</v>
      </c>
      <c r="D53" s="41" t="s">
        <v>460</v>
      </c>
      <c r="E53" s="41" t="s">
        <v>2</v>
      </c>
    </row>
    <row r="54" spans="1:5" ht="30.75">
      <c r="A54" s="42" t="s">
        <v>2</v>
      </c>
      <c r="B54" s="41" t="s">
        <v>122</v>
      </c>
      <c r="C54" s="41" t="s">
        <v>477</v>
      </c>
      <c r="D54" s="41" t="s">
        <v>460</v>
      </c>
      <c r="E54" s="41" t="s">
        <v>2</v>
      </c>
    </row>
    <row r="55" spans="1:5">
      <c r="A55" s="42" t="s">
        <v>2</v>
      </c>
      <c r="B55" s="41" t="s">
        <v>320</v>
      </c>
      <c r="C55" s="41" t="s">
        <v>478</v>
      </c>
      <c r="D55" s="41" t="s">
        <v>460</v>
      </c>
      <c r="E55" s="41" t="s">
        <v>2</v>
      </c>
    </row>
    <row r="56" spans="1:5" ht="30.75">
      <c r="A56" s="42" t="s">
        <v>2</v>
      </c>
      <c r="B56" s="41" t="s">
        <v>245</v>
      </c>
      <c r="C56" s="41" t="s">
        <v>479</v>
      </c>
      <c r="D56" s="41" t="s">
        <v>460</v>
      </c>
      <c r="E56" s="41" t="s">
        <v>2</v>
      </c>
    </row>
    <row r="57" spans="1:5" ht="30.75">
      <c r="A57" s="42" t="s">
        <v>480</v>
      </c>
      <c r="B57" s="41" t="s">
        <v>25</v>
      </c>
      <c r="C57" s="41" t="s">
        <v>481</v>
      </c>
      <c r="D57" s="41" t="s">
        <v>482</v>
      </c>
      <c r="E57" s="41" t="s">
        <v>6</v>
      </c>
    </row>
    <row r="58" spans="1:5" ht="30.75">
      <c r="A58" s="42" t="s">
        <v>480</v>
      </c>
      <c r="B58" s="41" t="s">
        <v>104</v>
      </c>
      <c r="C58" s="41" t="s">
        <v>483</v>
      </c>
      <c r="D58" s="41" t="s">
        <v>484</v>
      </c>
      <c r="E58" s="41" t="s">
        <v>6</v>
      </c>
    </row>
    <row r="59" spans="1:5" ht="30.75">
      <c r="A59" s="42" t="s">
        <v>485</v>
      </c>
      <c r="B59" s="41" t="s">
        <v>51</v>
      </c>
      <c r="C59" s="41" t="s">
        <v>486</v>
      </c>
      <c r="D59" s="41" t="s">
        <v>487</v>
      </c>
      <c r="E59" s="41" t="s">
        <v>8</v>
      </c>
    </row>
    <row r="60" spans="1:5" ht="30.75">
      <c r="A60" s="42" t="s">
        <v>485</v>
      </c>
      <c r="B60" s="41" t="s">
        <v>72</v>
      </c>
      <c r="C60" s="41" t="s">
        <v>488</v>
      </c>
      <c r="D60" s="41" t="s">
        <v>487</v>
      </c>
      <c r="E60" s="41" t="s">
        <v>8</v>
      </c>
    </row>
    <row r="61" spans="1:5" ht="30.75">
      <c r="A61" s="42" t="s">
        <v>485</v>
      </c>
      <c r="B61" s="41" t="s">
        <v>27</v>
      </c>
      <c r="C61" s="41" t="s">
        <v>489</v>
      </c>
      <c r="D61" s="41" t="s">
        <v>487</v>
      </c>
      <c r="E61" s="41" t="s">
        <v>8</v>
      </c>
    </row>
    <row r="62" spans="1:5">
      <c r="A62" s="42" t="s">
        <v>9</v>
      </c>
      <c r="B62" s="41" t="s">
        <v>188</v>
      </c>
      <c r="C62" s="41" t="s">
        <v>490</v>
      </c>
      <c r="D62" s="41" t="s">
        <v>491</v>
      </c>
      <c r="E62" s="41" t="s">
        <v>9</v>
      </c>
    </row>
    <row r="63" spans="1:5">
      <c r="A63" s="42" t="s">
        <v>9</v>
      </c>
      <c r="B63" s="41" t="s">
        <v>93</v>
      </c>
      <c r="C63" s="41" t="s">
        <v>492</v>
      </c>
      <c r="D63" s="41" t="s">
        <v>491</v>
      </c>
      <c r="E63" s="41" t="s">
        <v>9</v>
      </c>
    </row>
    <row r="64" spans="1:5" ht="30.75">
      <c r="A64" s="42" t="s">
        <v>9</v>
      </c>
      <c r="B64" s="41" t="s">
        <v>44</v>
      </c>
      <c r="C64" s="41" t="s">
        <v>493</v>
      </c>
      <c r="D64" s="41" t="s">
        <v>491</v>
      </c>
      <c r="E64" s="41" t="s">
        <v>9</v>
      </c>
    </row>
    <row r="65" spans="1:5">
      <c r="A65" s="42" t="s">
        <v>9</v>
      </c>
      <c r="B65" s="41" t="s">
        <v>156</v>
      </c>
      <c r="C65" s="41" t="s">
        <v>494</v>
      </c>
      <c r="D65" s="41" t="s">
        <v>491</v>
      </c>
      <c r="E65" s="41" t="s">
        <v>9</v>
      </c>
    </row>
    <row r="66" spans="1:5">
      <c r="A66" s="42" t="s">
        <v>9</v>
      </c>
      <c r="B66" s="41" t="s">
        <v>28</v>
      </c>
      <c r="C66" s="41" t="s">
        <v>495</v>
      </c>
      <c r="D66" s="41" t="s">
        <v>491</v>
      </c>
      <c r="E66" s="41" t="s">
        <v>9</v>
      </c>
    </row>
    <row r="67" spans="1:5" ht="30.75">
      <c r="A67" s="42" t="s">
        <v>9</v>
      </c>
      <c r="B67" s="41" t="s">
        <v>106</v>
      </c>
      <c r="C67" s="41" t="s">
        <v>496</v>
      </c>
      <c r="D67" s="41" t="s">
        <v>491</v>
      </c>
      <c r="E67" s="41" t="s">
        <v>9</v>
      </c>
    </row>
    <row r="68" spans="1:5">
      <c r="A68" s="42" t="s">
        <v>9</v>
      </c>
      <c r="B68" s="41" t="s">
        <v>203</v>
      </c>
      <c r="C68" s="41" t="s">
        <v>497</v>
      </c>
      <c r="D68" s="41" t="s">
        <v>491</v>
      </c>
      <c r="E68" s="41" t="s">
        <v>9</v>
      </c>
    </row>
    <row r="69" spans="1:5">
      <c r="A69" s="42" t="s">
        <v>9</v>
      </c>
      <c r="B69" s="41" t="s">
        <v>151</v>
      </c>
      <c r="C69" s="41" t="s">
        <v>498</v>
      </c>
      <c r="D69" s="41" t="s">
        <v>491</v>
      </c>
      <c r="E69" s="41" t="s">
        <v>9</v>
      </c>
    </row>
    <row r="70" spans="1:5" ht="30.75">
      <c r="A70" s="42" t="s">
        <v>9</v>
      </c>
      <c r="B70" s="41" t="s">
        <v>133</v>
      </c>
      <c r="C70" s="41" t="s">
        <v>499</v>
      </c>
      <c r="D70" s="41" t="s">
        <v>491</v>
      </c>
      <c r="E70" s="41" t="s">
        <v>9</v>
      </c>
    </row>
    <row r="71" spans="1:5" ht="30.75">
      <c r="A71" s="42" t="s">
        <v>9</v>
      </c>
      <c r="B71" s="41" t="s">
        <v>233</v>
      </c>
      <c r="C71" s="41" t="s">
        <v>500</v>
      </c>
      <c r="D71" s="41" t="s">
        <v>491</v>
      </c>
      <c r="E71" s="41" t="s">
        <v>9</v>
      </c>
    </row>
    <row r="72" spans="1:5">
      <c r="A72" s="42" t="s">
        <v>9</v>
      </c>
      <c r="B72" s="41" t="s">
        <v>52</v>
      </c>
      <c r="C72" s="41" t="s">
        <v>501</v>
      </c>
      <c r="D72" s="41" t="s">
        <v>491</v>
      </c>
      <c r="E72" s="41" t="s">
        <v>9</v>
      </c>
    </row>
    <row r="73" spans="1:5" ht="30.75">
      <c r="A73" s="42" t="s">
        <v>9</v>
      </c>
      <c r="B73" s="41" t="s">
        <v>39</v>
      </c>
      <c r="C73" s="41" t="s">
        <v>502</v>
      </c>
      <c r="D73" s="41" t="s">
        <v>491</v>
      </c>
      <c r="E73" s="41" t="s">
        <v>9</v>
      </c>
    </row>
    <row r="74" spans="1:5">
      <c r="A74" s="42" t="s">
        <v>9</v>
      </c>
      <c r="B74" s="41" t="s">
        <v>73</v>
      </c>
      <c r="C74" s="41" t="s">
        <v>503</v>
      </c>
      <c r="D74" s="41" t="s">
        <v>491</v>
      </c>
      <c r="E74" s="41" t="s">
        <v>9</v>
      </c>
    </row>
    <row r="75" spans="1:5">
      <c r="A75" s="42" t="s">
        <v>9</v>
      </c>
      <c r="B75" s="41" t="s">
        <v>138</v>
      </c>
      <c r="C75" s="41" t="s">
        <v>504</v>
      </c>
      <c r="D75" s="41" t="s">
        <v>491</v>
      </c>
      <c r="E75" s="41" t="s">
        <v>9</v>
      </c>
    </row>
    <row r="76" spans="1:5" ht="30.75">
      <c r="A76" s="42" t="s">
        <v>9</v>
      </c>
      <c r="B76" s="41" t="s">
        <v>87</v>
      </c>
      <c r="C76" s="41" t="s">
        <v>505</v>
      </c>
      <c r="D76" s="41" t="s">
        <v>491</v>
      </c>
      <c r="E76" s="41" t="s">
        <v>9</v>
      </c>
    </row>
    <row r="77" spans="1:5" ht="30.75">
      <c r="A77" s="42" t="s">
        <v>9</v>
      </c>
      <c r="B77" s="41" t="s">
        <v>312</v>
      </c>
      <c r="C77" s="41" t="s">
        <v>506</v>
      </c>
      <c r="D77" s="41" t="s">
        <v>491</v>
      </c>
      <c r="E77" s="41" t="s">
        <v>9</v>
      </c>
    </row>
    <row r="78" spans="1:5" ht="30.75">
      <c r="A78" s="42" t="s">
        <v>507</v>
      </c>
      <c r="B78" s="41" t="s">
        <v>29</v>
      </c>
      <c r="C78" s="41" t="s">
        <v>508</v>
      </c>
      <c r="D78" s="41" t="s">
        <v>509</v>
      </c>
      <c r="E78" s="41" t="s">
        <v>10</v>
      </c>
    </row>
    <row r="79" spans="1:5" ht="30.75">
      <c r="A79" s="42" t="s">
        <v>507</v>
      </c>
      <c r="B79" s="41" t="s">
        <v>127</v>
      </c>
      <c r="C79" s="41" t="s">
        <v>510</v>
      </c>
      <c r="D79" s="41" t="s">
        <v>511</v>
      </c>
      <c r="E79" s="41" t="s">
        <v>10</v>
      </c>
    </row>
    <row r="80" spans="1:5">
      <c r="A80" s="42" t="s">
        <v>512</v>
      </c>
      <c r="B80" s="41" t="s">
        <v>30</v>
      </c>
      <c r="C80" s="41" t="s">
        <v>513</v>
      </c>
      <c r="D80" s="41" t="s">
        <v>514</v>
      </c>
      <c r="E80" s="41" t="s">
        <v>11</v>
      </c>
    </row>
    <row r="81" spans="1:5">
      <c r="A81" s="42" t="s">
        <v>512</v>
      </c>
      <c r="B81" s="41" t="s">
        <v>237</v>
      </c>
      <c r="C81" s="41" t="s">
        <v>515</v>
      </c>
      <c r="D81" s="41" t="s">
        <v>514</v>
      </c>
      <c r="E81" s="41" t="s">
        <v>11</v>
      </c>
    </row>
    <row r="82" spans="1:5" ht="30.75">
      <c r="A82" s="42" t="s">
        <v>512</v>
      </c>
      <c r="B82" s="41" t="s">
        <v>74</v>
      </c>
      <c r="C82" s="41" t="s">
        <v>516</v>
      </c>
      <c r="D82" s="41" t="s">
        <v>514</v>
      </c>
      <c r="E82" s="41" t="s">
        <v>11</v>
      </c>
    </row>
    <row r="83" spans="1:5">
      <c r="A83" s="42" t="s">
        <v>517</v>
      </c>
      <c r="B83" s="41" t="s">
        <v>518</v>
      </c>
      <c r="C83" s="41" t="s">
        <v>519</v>
      </c>
      <c r="D83" s="41" t="s">
        <v>34</v>
      </c>
      <c r="E83" s="41" t="s">
        <v>13</v>
      </c>
    </row>
    <row r="84" spans="1:5">
      <c r="A84" s="42" t="s">
        <v>517</v>
      </c>
      <c r="B84" s="41" t="s">
        <v>520</v>
      </c>
      <c r="C84" s="41" t="s">
        <v>521</v>
      </c>
      <c r="D84" s="41" t="s">
        <v>32</v>
      </c>
      <c r="E84" s="41" t="s">
        <v>13</v>
      </c>
    </row>
    <row r="85" spans="1:5" ht="30.75">
      <c r="A85" s="42" t="s">
        <v>517</v>
      </c>
      <c r="B85" s="41" t="s">
        <v>522</v>
      </c>
      <c r="C85" s="41" t="s">
        <v>523</v>
      </c>
      <c r="D85" s="41" t="s">
        <v>34</v>
      </c>
      <c r="E85" s="41" t="s">
        <v>16</v>
      </c>
    </row>
    <row r="86" spans="1:5" ht="30.75">
      <c r="A86" s="42" t="s">
        <v>517</v>
      </c>
      <c r="B86" s="41" t="s">
        <v>524</v>
      </c>
      <c r="C86" s="41" t="s">
        <v>525</v>
      </c>
      <c r="D86" s="41" t="s">
        <v>32</v>
      </c>
      <c r="E86" s="41" t="s">
        <v>16</v>
      </c>
    </row>
    <row r="87" spans="1:5">
      <c r="A87" s="42" t="s">
        <v>20</v>
      </c>
      <c r="B87" s="41" t="s">
        <v>220</v>
      </c>
      <c r="C87" s="41" t="s">
        <v>526</v>
      </c>
      <c r="D87" s="41" t="s">
        <v>527</v>
      </c>
      <c r="E87" s="41" t="s">
        <v>20</v>
      </c>
    </row>
    <row r="88" spans="1:5">
      <c r="A88" s="42" t="s">
        <v>20</v>
      </c>
      <c r="B88" s="41" t="s">
        <v>35</v>
      </c>
      <c r="C88" s="41" t="s">
        <v>528</v>
      </c>
      <c r="D88" s="41" t="s">
        <v>527</v>
      </c>
      <c r="E88" s="41" t="s">
        <v>20</v>
      </c>
    </row>
    <row r="89" spans="1:5">
      <c r="A89" s="42" t="s">
        <v>20</v>
      </c>
      <c r="B89" s="41" t="s">
        <v>262</v>
      </c>
      <c r="C89" s="41" t="s">
        <v>529</v>
      </c>
      <c r="D89" s="41" t="s">
        <v>527</v>
      </c>
      <c r="E89" s="41" t="s">
        <v>20</v>
      </c>
    </row>
    <row r="90" spans="1:5">
      <c r="A90" s="42" t="s">
        <v>530</v>
      </c>
      <c r="B90" s="41" t="s">
        <v>161</v>
      </c>
      <c r="C90" s="41" t="s">
        <v>531</v>
      </c>
      <c r="D90" s="41" t="s">
        <v>532</v>
      </c>
      <c r="E90" s="41" t="s">
        <v>21</v>
      </c>
    </row>
    <row r="91" spans="1:5">
      <c r="A91" s="42" t="s">
        <v>530</v>
      </c>
      <c r="B91" s="41" t="s">
        <v>141</v>
      </c>
      <c r="C91" s="41" t="s">
        <v>533</v>
      </c>
      <c r="D91" s="41" t="s">
        <v>532</v>
      </c>
      <c r="E91" s="41" t="s">
        <v>21</v>
      </c>
    </row>
    <row r="92" spans="1:5" ht="30.75">
      <c r="A92" s="42" t="s">
        <v>530</v>
      </c>
      <c r="B92" s="41" t="s">
        <v>96</v>
      </c>
      <c r="C92" s="41" t="s">
        <v>534</v>
      </c>
      <c r="D92" s="41" t="s">
        <v>532</v>
      </c>
      <c r="E92" s="41" t="s">
        <v>21</v>
      </c>
    </row>
    <row r="93" spans="1:5">
      <c r="A93" s="42" t="s">
        <v>530</v>
      </c>
      <c r="B93" s="41" t="s">
        <v>31</v>
      </c>
      <c r="C93" s="41" t="s">
        <v>535</v>
      </c>
      <c r="D93" s="41" t="s">
        <v>532</v>
      </c>
      <c r="E93" s="41" t="s">
        <v>21</v>
      </c>
    </row>
    <row r="94" spans="1:5" ht="30.75">
      <c r="A94" s="42" t="s">
        <v>530</v>
      </c>
      <c r="B94" s="41" t="s">
        <v>109</v>
      </c>
      <c r="C94" s="41" t="s">
        <v>536</v>
      </c>
      <c r="D94" s="41" t="s">
        <v>532</v>
      </c>
      <c r="E94" s="41" t="s">
        <v>21</v>
      </c>
    </row>
    <row r="95" spans="1:5" ht="30.75">
      <c r="A95" s="42" t="s">
        <v>530</v>
      </c>
      <c r="B95" s="41" t="s">
        <v>170</v>
      </c>
      <c r="C95" s="41" t="s">
        <v>537</v>
      </c>
      <c r="D95" s="41" t="s">
        <v>532</v>
      </c>
      <c r="E95" s="41" t="s">
        <v>21</v>
      </c>
    </row>
    <row r="96" spans="1:5" ht="30.75">
      <c r="A96" s="42" t="s">
        <v>530</v>
      </c>
      <c r="B96" s="41" t="s">
        <v>89</v>
      </c>
      <c r="C96" s="41" t="s">
        <v>538</v>
      </c>
      <c r="D96" s="41" t="s">
        <v>532</v>
      </c>
      <c r="E96" s="41" t="s">
        <v>21</v>
      </c>
    </row>
    <row r="97" spans="1:5">
      <c r="A97" s="42" t="s">
        <v>530</v>
      </c>
      <c r="B97" s="41" t="s">
        <v>46</v>
      </c>
      <c r="C97" s="41" t="s">
        <v>539</v>
      </c>
      <c r="D97" s="41" t="s">
        <v>532</v>
      </c>
      <c r="E97" s="41" t="s">
        <v>21</v>
      </c>
    </row>
    <row r="98" spans="1:5" ht="30.75">
      <c r="A98" s="42" t="s">
        <v>530</v>
      </c>
      <c r="B98" s="41" t="s">
        <v>56</v>
      </c>
      <c r="C98" s="41" t="s">
        <v>540</v>
      </c>
      <c r="D98" s="41" t="s">
        <v>532</v>
      </c>
      <c r="E98" s="41" t="s">
        <v>21</v>
      </c>
    </row>
    <row r="99" spans="1:5" ht="30.75">
      <c r="A99" s="42" t="s">
        <v>541</v>
      </c>
      <c r="B99" s="41" t="s">
        <v>86</v>
      </c>
      <c r="C99" s="41" t="s">
        <v>542</v>
      </c>
      <c r="D99" s="41" t="s">
        <v>543</v>
      </c>
      <c r="E99" s="41" t="s">
        <v>7</v>
      </c>
    </row>
    <row r="100" spans="1:5" ht="30.75">
      <c r="A100" s="42" t="s">
        <v>541</v>
      </c>
      <c r="B100" s="41" t="s">
        <v>280</v>
      </c>
      <c r="C100" s="41" t="s">
        <v>542</v>
      </c>
      <c r="D100" s="41" t="s">
        <v>543</v>
      </c>
      <c r="E100" s="41" t="s">
        <v>7</v>
      </c>
    </row>
    <row r="101" spans="1:5" ht="30.75">
      <c r="A101" s="42" t="s">
        <v>541</v>
      </c>
      <c r="B101" s="41" t="s">
        <v>299</v>
      </c>
      <c r="C101" s="41" t="s">
        <v>544</v>
      </c>
      <c r="D101" s="41" t="s">
        <v>543</v>
      </c>
      <c r="E101" s="41" t="s">
        <v>7</v>
      </c>
    </row>
    <row r="102" spans="1:5" ht="30.75">
      <c r="A102" s="42" t="s">
        <v>541</v>
      </c>
      <c r="B102" s="41" t="s">
        <v>124</v>
      </c>
      <c r="C102" s="41" t="s">
        <v>545</v>
      </c>
      <c r="D102" s="41" t="s">
        <v>543</v>
      </c>
      <c r="E102" s="41" t="s">
        <v>7</v>
      </c>
    </row>
    <row r="103" spans="1:5" ht="30.75">
      <c r="A103" s="42" t="s">
        <v>541</v>
      </c>
      <c r="B103" s="41" t="s">
        <v>242</v>
      </c>
      <c r="C103" s="41" t="s">
        <v>545</v>
      </c>
      <c r="D103" s="41" t="s">
        <v>543</v>
      </c>
      <c r="E103" s="41" t="s">
        <v>7</v>
      </c>
    </row>
    <row r="104" spans="1:5" ht="30.75">
      <c r="A104" s="42" t="s">
        <v>541</v>
      </c>
      <c r="B104" s="41" t="s">
        <v>150</v>
      </c>
      <c r="C104" s="41" t="s">
        <v>545</v>
      </c>
      <c r="D104" s="41" t="s">
        <v>543</v>
      </c>
      <c r="E104" s="41" t="s">
        <v>7</v>
      </c>
    </row>
    <row r="105" spans="1:5" ht="30.75">
      <c r="A105" s="42" t="s">
        <v>541</v>
      </c>
      <c r="B105" s="41" t="s">
        <v>192</v>
      </c>
      <c r="C105" s="41" t="s">
        <v>545</v>
      </c>
      <c r="D105" s="41" t="s">
        <v>543</v>
      </c>
      <c r="E105" s="41" t="s">
        <v>7</v>
      </c>
    </row>
    <row r="106" spans="1:5" ht="30.75">
      <c r="A106" s="42" t="s">
        <v>541</v>
      </c>
      <c r="B106" s="41" t="s">
        <v>146</v>
      </c>
      <c r="C106" s="41" t="s">
        <v>545</v>
      </c>
      <c r="D106" s="41" t="s">
        <v>543</v>
      </c>
      <c r="E106" s="41" t="s">
        <v>7</v>
      </c>
    </row>
    <row r="107" spans="1:5" ht="30.75">
      <c r="A107" s="42" t="s">
        <v>541</v>
      </c>
      <c r="B107" s="41" t="s">
        <v>92</v>
      </c>
      <c r="C107" s="41" t="s">
        <v>546</v>
      </c>
      <c r="D107" s="41" t="s">
        <v>543</v>
      </c>
      <c r="E107" s="41" t="s">
        <v>7</v>
      </c>
    </row>
    <row r="108" spans="1:5" ht="30.75">
      <c r="A108" s="42" t="s">
        <v>541</v>
      </c>
      <c r="B108" s="41" t="s">
        <v>105</v>
      </c>
      <c r="C108" s="41" t="s">
        <v>547</v>
      </c>
      <c r="D108" s="41" t="s">
        <v>543</v>
      </c>
      <c r="E108" s="41" t="s">
        <v>7</v>
      </c>
    </row>
    <row r="109" spans="1:5" ht="30.75">
      <c r="A109" s="42" t="s">
        <v>541</v>
      </c>
      <c r="B109" s="41" t="s">
        <v>179</v>
      </c>
      <c r="C109" s="41" t="s">
        <v>548</v>
      </c>
      <c r="D109" s="41" t="s">
        <v>543</v>
      </c>
      <c r="E109" s="41" t="s">
        <v>7</v>
      </c>
    </row>
    <row r="110" spans="1:5" ht="30.75">
      <c r="A110" s="42" t="s">
        <v>541</v>
      </c>
      <c r="B110" s="41" t="s">
        <v>295</v>
      </c>
      <c r="C110" s="41" t="s">
        <v>549</v>
      </c>
      <c r="D110" s="41" t="s">
        <v>543</v>
      </c>
      <c r="E110" s="41" t="s">
        <v>7</v>
      </c>
    </row>
    <row r="111" spans="1:5" ht="30.75">
      <c r="A111" s="42" t="s">
        <v>541</v>
      </c>
      <c r="B111" s="41" t="s">
        <v>274</v>
      </c>
      <c r="C111" s="41" t="s">
        <v>550</v>
      </c>
      <c r="D111" s="41" t="s">
        <v>543</v>
      </c>
      <c r="E111" s="41" t="s">
        <v>7</v>
      </c>
    </row>
    <row r="112" spans="1:5" ht="30.75">
      <c r="A112" s="42" t="s">
        <v>541</v>
      </c>
      <c r="B112" s="41" t="s">
        <v>50</v>
      </c>
      <c r="C112" s="41" t="s">
        <v>551</v>
      </c>
      <c r="D112" s="41" t="s">
        <v>543</v>
      </c>
      <c r="E112" s="41" t="s">
        <v>7</v>
      </c>
    </row>
    <row r="113" spans="1:5" ht="30.75">
      <c r="A113" s="42" t="s">
        <v>541</v>
      </c>
      <c r="B113" s="41" t="s">
        <v>155</v>
      </c>
      <c r="C113" s="41" t="s">
        <v>552</v>
      </c>
      <c r="D113" s="41" t="s">
        <v>543</v>
      </c>
      <c r="E113" s="41" t="s">
        <v>7</v>
      </c>
    </row>
    <row r="114" spans="1:5" ht="30.75">
      <c r="A114" s="42" t="s">
        <v>541</v>
      </c>
      <c r="B114" s="41" t="s">
        <v>217</v>
      </c>
      <c r="C114" s="41" t="s">
        <v>545</v>
      </c>
      <c r="D114" s="41" t="s">
        <v>543</v>
      </c>
      <c r="E114" s="41" t="s">
        <v>7</v>
      </c>
    </row>
    <row r="115" spans="1:5" ht="30.75">
      <c r="A115" s="42" t="s">
        <v>541</v>
      </c>
      <c r="B115" s="41" t="s">
        <v>210</v>
      </c>
      <c r="C115" s="41" t="s">
        <v>545</v>
      </c>
      <c r="D115" s="41" t="s">
        <v>543</v>
      </c>
      <c r="E115" s="41" t="s">
        <v>7</v>
      </c>
    </row>
    <row r="116" spans="1:5" ht="30.75">
      <c r="A116" s="42" t="s">
        <v>541</v>
      </c>
      <c r="B116" s="41" t="s">
        <v>26</v>
      </c>
      <c r="C116" s="41" t="s">
        <v>547</v>
      </c>
      <c r="D116" s="41" t="s">
        <v>543</v>
      </c>
      <c r="E116" s="41" t="s">
        <v>7</v>
      </c>
    </row>
    <row r="117" spans="1:5" ht="30.75">
      <c r="A117" s="42" t="s">
        <v>541</v>
      </c>
      <c r="B117" s="41" t="s">
        <v>254</v>
      </c>
      <c r="C117" s="41" t="s">
        <v>547</v>
      </c>
      <c r="D117" s="41" t="s">
        <v>543</v>
      </c>
      <c r="E117" s="41" t="s">
        <v>7</v>
      </c>
    </row>
    <row r="118" spans="1:5" ht="30.75">
      <c r="A118" s="42" t="s">
        <v>541</v>
      </c>
      <c r="B118" s="41" t="s">
        <v>200</v>
      </c>
      <c r="C118" s="41" t="s">
        <v>547</v>
      </c>
      <c r="D118" s="41" t="s">
        <v>543</v>
      </c>
      <c r="E118" s="41" t="s">
        <v>7</v>
      </c>
    </row>
    <row r="119" spans="1:5" ht="30.75">
      <c r="A119" s="42" t="s">
        <v>541</v>
      </c>
      <c r="B119" s="41" t="s">
        <v>228</v>
      </c>
      <c r="C119" s="41" t="s">
        <v>547</v>
      </c>
      <c r="D119" s="41" t="s">
        <v>543</v>
      </c>
      <c r="E119" s="41" t="s">
        <v>7</v>
      </c>
    </row>
    <row r="120" spans="1:5" ht="30.75">
      <c r="A120" s="42" t="s">
        <v>541</v>
      </c>
      <c r="B120" s="41" t="s">
        <v>98</v>
      </c>
      <c r="C120" s="41" t="s">
        <v>547</v>
      </c>
      <c r="D120" s="41" t="s">
        <v>543</v>
      </c>
      <c r="E120" s="41" t="s">
        <v>7</v>
      </c>
    </row>
    <row r="121" spans="1:5" ht="30.75">
      <c r="A121" s="42" t="s">
        <v>541</v>
      </c>
      <c r="B121" s="41" t="s">
        <v>66</v>
      </c>
      <c r="C121" s="41" t="s">
        <v>547</v>
      </c>
      <c r="D121" s="41" t="s">
        <v>543</v>
      </c>
      <c r="E121" s="41" t="s">
        <v>7</v>
      </c>
    </row>
    <row r="122" spans="1:5" ht="30.75">
      <c r="A122" s="42" t="s">
        <v>541</v>
      </c>
      <c r="B122" s="41" t="s">
        <v>101</v>
      </c>
      <c r="C122" s="41" t="s">
        <v>547</v>
      </c>
      <c r="D122" s="41" t="s">
        <v>543</v>
      </c>
      <c r="E122" s="41" t="s">
        <v>7</v>
      </c>
    </row>
    <row r="123" spans="1:5" ht="30.75">
      <c r="A123" s="42" t="s">
        <v>541</v>
      </c>
      <c r="B123" s="41" t="s">
        <v>143</v>
      </c>
      <c r="C123" s="41" t="s">
        <v>547</v>
      </c>
      <c r="D123" s="41" t="s">
        <v>543</v>
      </c>
      <c r="E123" s="41" t="s">
        <v>7</v>
      </c>
    </row>
    <row r="124" spans="1:5" ht="30.75">
      <c r="A124" s="42" t="s">
        <v>541</v>
      </c>
      <c r="B124" s="41" t="s">
        <v>137</v>
      </c>
      <c r="C124" s="41" t="s">
        <v>552</v>
      </c>
      <c r="D124" s="41" t="s">
        <v>543</v>
      </c>
      <c r="E124" s="41" t="s">
        <v>7</v>
      </c>
    </row>
    <row r="125" spans="1:5" ht="30.75">
      <c r="A125" s="42" t="s">
        <v>541</v>
      </c>
      <c r="B125" s="41" t="s">
        <v>120</v>
      </c>
      <c r="C125" s="41" t="s">
        <v>547</v>
      </c>
      <c r="D125" s="41" t="s">
        <v>543</v>
      </c>
      <c r="E125" s="41" t="s">
        <v>7</v>
      </c>
    </row>
    <row r="126" spans="1:5" ht="30.75">
      <c r="A126" s="42" t="s">
        <v>541</v>
      </c>
      <c r="B126" s="41" t="s">
        <v>111</v>
      </c>
      <c r="C126" s="41" t="s">
        <v>547</v>
      </c>
      <c r="D126" s="41" t="s">
        <v>543</v>
      </c>
      <c r="E126" s="41" t="s">
        <v>7</v>
      </c>
    </row>
    <row r="127" spans="1:5" ht="30.75">
      <c r="A127" s="42" t="s">
        <v>541</v>
      </c>
      <c r="B127" s="41" t="s">
        <v>132</v>
      </c>
      <c r="C127" s="41" t="s">
        <v>553</v>
      </c>
      <c r="D127" s="41" t="s">
        <v>543</v>
      </c>
      <c r="E127" s="41" t="s">
        <v>7</v>
      </c>
    </row>
    <row r="128" spans="1:5" ht="30.75">
      <c r="A128" s="42" t="s">
        <v>541</v>
      </c>
      <c r="B128" s="41" t="s">
        <v>71</v>
      </c>
      <c r="C128" s="41" t="s">
        <v>554</v>
      </c>
      <c r="D128" s="41" t="s">
        <v>543</v>
      </c>
      <c r="E128" s="41" t="s">
        <v>7</v>
      </c>
    </row>
    <row r="129" spans="1:5" ht="30.75">
      <c r="A129" s="42" t="s">
        <v>541</v>
      </c>
      <c r="B129" s="41" t="s">
        <v>259</v>
      </c>
      <c r="C129" s="41" t="s">
        <v>555</v>
      </c>
      <c r="D129" s="41" t="s">
        <v>543</v>
      </c>
      <c r="E129" s="41" t="s">
        <v>7</v>
      </c>
    </row>
    <row r="130" spans="1:5" ht="30.75">
      <c r="A130" s="42" t="s">
        <v>541</v>
      </c>
      <c r="B130" s="41" t="s">
        <v>81</v>
      </c>
      <c r="C130" s="41" t="s">
        <v>547</v>
      </c>
      <c r="D130" s="41" t="s">
        <v>543</v>
      </c>
      <c r="E130" s="41" t="s">
        <v>7</v>
      </c>
    </row>
    <row r="131" spans="1:5" ht="30.75">
      <c r="A131" s="42" t="s">
        <v>541</v>
      </c>
      <c r="B131" s="41" t="s">
        <v>338</v>
      </c>
      <c r="C131" s="41" t="s">
        <v>556</v>
      </c>
      <c r="D131" s="41" t="s">
        <v>543</v>
      </c>
      <c r="E131" s="41" t="s">
        <v>7</v>
      </c>
    </row>
    <row r="132" spans="1:5" ht="30.75">
      <c r="A132" s="42" t="s">
        <v>541</v>
      </c>
      <c r="B132" s="41" t="s">
        <v>60</v>
      </c>
      <c r="C132" s="41" t="s">
        <v>557</v>
      </c>
      <c r="D132" s="41" t="s">
        <v>543</v>
      </c>
      <c r="E132" s="41" t="s">
        <v>7</v>
      </c>
    </row>
    <row r="133" spans="1:5" ht="30.75">
      <c r="A133" s="42" t="s">
        <v>541</v>
      </c>
      <c r="B133" s="41" t="s">
        <v>116</v>
      </c>
      <c r="C133" s="41" t="s">
        <v>556</v>
      </c>
      <c r="D133" s="41" t="s">
        <v>543</v>
      </c>
      <c r="E133" s="41" t="s">
        <v>7</v>
      </c>
    </row>
    <row r="134" spans="1:5" ht="30.75">
      <c r="A134" s="42" t="s">
        <v>541</v>
      </c>
      <c r="B134" s="41" t="s">
        <v>232</v>
      </c>
      <c r="C134" s="41" t="s">
        <v>558</v>
      </c>
      <c r="D134" s="41" t="s">
        <v>543</v>
      </c>
      <c r="E134" s="41" t="s">
        <v>7</v>
      </c>
    </row>
    <row r="135" spans="1:5" ht="30.75">
      <c r="A135" s="42" t="s">
        <v>2</v>
      </c>
      <c r="B135" s="41" t="s">
        <v>332</v>
      </c>
      <c r="C135" s="41" t="s">
        <v>559</v>
      </c>
      <c r="D135" s="41" t="s">
        <v>560</v>
      </c>
      <c r="E135" s="41" t="s">
        <v>2</v>
      </c>
    </row>
    <row r="136" spans="1:5" ht="30.75">
      <c r="A136" s="42" t="s">
        <v>2</v>
      </c>
      <c r="B136" s="41" t="s">
        <v>277</v>
      </c>
      <c r="C136" s="41" t="s">
        <v>561</v>
      </c>
      <c r="D136" s="41" t="s">
        <v>562</v>
      </c>
      <c r="E136" s="41" t="s">
        <v>2</v>
      </c>
    </row>
  </sheetData>
  <mergeCells count="2">
    <mergeCell ref="A1:E1"/>
    <mergeCell ref="A2:E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1D8E2-6689-46FE-B5F9-7504A274CDA5}">
  <dimension ref="A1:H30"/>
  <sheetViews>
    <sheetView showGridLines="0" workbookViewId="0">
      <pane ySplit="2" topLeftCell="A3" activePane="bottomLeft" state="frozen"/>
      <selection pane="bottomLeft"/>
    </sheetView>
  </sheetViews>
  <sheetFormatPr defaultRowHeight="15"/>
  <cols>
    <col min="1" max="8" width="15.5703125" customWidth="1"/>
  </cols>
  <sheetData>
    <row r="1" spans="1:8" ht="33.75" customHeight="1">
      <c r="A1" s="91" t="s">
        <v>563</v>
      </c>
      <c r="B1" s="91"/>
      <c r="C1" s="91"/>
      <c r="D1" s="91"/>
      <c r="E1" s="91"/>
      <c r="F1" s="91"/>
      <c r="G1" s="91"/>
      <c r="H1" s="91"/>
    </row>
    <row r="2" spans="1:8" ht="24" customHeight="1">
      <c r="A2" s="92" t="str">
        <f>TEXT(MIN(ComplaintTracker[Reporting Month]),"mmm")&amp;"–"&amp;TEXT(MAX(ComplaintTracker[Reporting Month]),"mmm yyyy")&amp;" · "&amp;ROWS(ComplaintTracker[Issue Type])&amp;" records · Live from Data"</f>
        <v>Jan–Aug 2026 · 80 records · Live from Data</v>
      </c>
      <c r="B2" s="92"/>
      <c r="C2" s="92"/>
      <c r="D2" s="92"/>
      <c r="E2" s="92"/>
      <c r="F2" s="92"/>
      <c r="G2" s="92"/>
      <c r="H2" s="92"/>
    </row>
    <row r="3" spans="1:8">
      <c r="A3" s="43"/>
      <c r="B3" s="43"/>
      <c r="C3" s="43"/>
      <c r="D3" s="43"/>
      <c r="E3" s="43"/>
      <c r="F3" s="43"/>
      <c r="G3" s="43"/>
      <c r="H3" s="43"/>
    </row>
    <row r="4" spans="1:8">
      <c r="A4" s="44" t="s">
        <v>349</v>
      </c>
      <c r="B4" s="44"/>
      <c r="C4" s="44" t="s">
        <v>350</v>
      </c>
      <c r="D4" s="44"/>
      <c r="E4" s="44" t="s">
        <v>351</v>
      </c>
      <c r="F4" s="44"/>
      <c r="G4" s="44" t="s">
        <v>564</v>
      </c>
      <c r="H4" s="44"/>
    </row>
    <row r="5" spans="1:8">
      <c r="A5" s="74">
        <f>ROWS(ComplaintTracker[Issue Type])</f>
        <v>80</v>
      </c>
      <c r="B5" s="74"/>
      <c r="C5" s="74">
        <f>COUNTIF(ComplaintTracker[Issue Type],"Complaint")</f>
        <v>73</v>
      </c>
      <c r="D5" s="74"/>
      <c r="E5" s="74">
        <f>COUNTIF(ComplaintTracker[Severity],"Medium")</f>
        <v>75</v>
      </c>
      <c r="F5" s="74"/>
      <c r="G5" s="74">
        <f>COUNTIF(ComplaintTracker[RCA Requested],"Yes")</f>
        <v>66</v>
      </c>
      <c r="H5" s="74"/>
    </row>
    <row r="6" spans="1:8">
      <c r="A6" s="74"/>
      <c r="B6" s="74"/>
      <c r="C6" s="74"/>
      <c r="D6" s="74"/>
      <c r="E6" s="74"/>
      <c r="F6" s="74"/>
      <c r="G6" s="74"/>
      <c r="H6" s="74"/>
    </row>
    <row r="7" spans="1:8">
      <c r="A7" s="43"/>
      <c r="B7" s="43"/>
      <c r="C7" s="43"/>
      <c r="D7" s="43"/>
      <c r="E7" s="43"/>
      <c r="F7" s="43"/>
      <c r="G7" s="43"/>
      <c r="H7" s="43"/>
    </row>
    <row r="8" spans="1:8">
      <c r="A8" s="43"/>
      <c r="B8" s="43"/>
      <c r="C8" s="43"/>
      <c r="D8" s="43"/>
      <c r="E8" s="43"/>
      <c r="F8" s="43"/>
      <c r="G8" s="43"/>
      <c r="H8" s="43"/>
    </row>
    <row r="9" spans="1:8" ht="23.25" customHeight="1">
      <c r="A9" s="88" t="s">
        <v>565</v>
      </c>
      <c r="B9" s="88"/>
      <c r="C9" s="88"/>
      <c r="D9" s="88"/>
      <c r="E9" s="88"/>
      <c r="F9" s="88"/>
      <c r="G9" s="88"/>
      <c r="H9" s="88"/>
    </row>
    <row r="10" spans="1:8" ht="33.75" customHeight="1">
      <c r="A10" s="73" t="str">
        <f>COUNTIF(ComplaintTracker[Severity],"Medium")&amp;" medium records ("&amp;TEXT(COUNTIF(ComplaintTracker[Severity],"Medium")/ROWS(ComplaintTracker[Severity]),"0%")&amp;"); "&amp;COUNTIFS(ComplaintTracker[Issue Type],"Complaint",ComplaintTracker[Severity],"Medium")&amp;" are complaints."</f>
        <v>75 medium records (94%); 70 are complaints.</v>
      </c>
      <c r="B10" s="73"/>
      <c r="C10" s="73"/>
      <c r="D10" s="73"/>
      <c r="E10" s="73"/>
      <c r="F10" s="73"/>
      <c r="G10" s="73"/>
      <c r="H10" s="73"/>
    </row>
    <row r="11" spans="1:8">
      <c r="A11" s="43"/>
      <c r="B11" s="43"/>
      <c r="C11" s="43"/>
      <c r="D11" s="43"/>
      <c r="E11" s="43"/>
      <c r="F11" s="43"/>
      <c r="G11" s="43"/>
      <c r="H11" s="43"/>
    </row>
    <row r="12" spans="1:8" ht="23.25" customHeight="1">
      <c r="A12" s="88" t="s">
        <v>566</v>
      </c>
      <c r="B12" s="88"/>
      <c r="C12" s="88"/>
      <c r="D12" s="88"/>
      <c r="E12" s="88"/>
      <c r="F12" s="88"/>
      <c r="G12" s="88"/>
      <c r="H12" s="88"/>
    </row>
    <row r="13" spans="1:8" ht="33.75" customHeight="1">
      <c r="A13" s="73" t="str" cm="1">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Ford contributes 32 complaints (44%); the top three customers contribute 66%.</v>
      </c>
      <c r="B13" s="73"/>
      <c r="C13" s="73"/>
      <c r="D13" s="73"/>
      <c r="E13" s="73"/>
      <c r="F13" s="73"/>
      <c r="G13" s="73"/>
      <c r="H13" s="73"/>
    </row>
    <row r="14" spans="1:8">
      <c r="A14" s="43"/>
      <c r="B14" s="43"/>
      <c r="C14" s="43"/>
      <c r="D14" s="43"/>
      <c r="E14" s="43"/>
      <c r="F14" s="43"/>
      <c r="G14" s="43"/>
      <c r="H14" s="43"/>
    </row>
    <row r="15" spans="1:8" ht="23.25" customHeight="1">
      <c r="A15" s="88" t="s">
        <v>567</v>
      </c>
      <c r="B15" s="88"/>
      <c r="C15" s="88"/>
      <c r="D15" s="88"/>
      <c r="E15" s="88"/>
      <c r="F15" s="88"/>
      <c r="G15" s="88"/>
      <c r="H15" s="88"/>
    </row>
    <row r="16" spans="1:8" ht="33.75" customHeight="1">
      <c r="A16" s="73" t="str" cm="1">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Product issues drive 38 complaints (52%), ahead of People (28) and Process (7).</v>
      </c>
      <c r="B16" s="73"/>
      <c r="C16" s="73"/>
      <c r="D16" s="73"/>
      <c r="E16" s="73"/>
      <c r="F16" s="73"/>
      <c r="G16" s="73"/>
      <c r="H16" s="73"/>
    </row>
    <row r="17" spans="1:8">
      <c r="A17" s="43"/>
      <c r="B17" s="43"/>
      <c r="C17" s="43"/>
      <c r="D17" s="43"/>
      <c r="E17" s="43"/>
      <c r="F17" s="43"/>
      <c r="G17" s="43"/>
      <c r="H17" s="43"/>
    </row>
    <row r="18" spans="1:8" ht="23.25" customHeight="1">
      <c r="A18" s="88" t="s">
        <v>568</v>
      </c>
      <c r="B18" s="88"/>
      <c r="C18" s="88"/>
      <c r="D18" s="88"/>
      <c r="E18" s="88"/>
      <c r="F18" s="88"/>
      <c r="G18" s="88"/>
      <c r="H18" s="88"/>
    </row>
    <row r="19" spans="1:8" ht="33.75" customHeight="1">
      <c r="A19" s="73" t="str" cm="1">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Dynamic Source Discovery and WarRoom &amp; Decision Validation cover 48 complaints (66%) combined.</v>
      </c>
      <c r="B19" s="73"/>
      <c r="C19" s="73"/>
      <c r="D19" s="73"/>
      <c r="E19" s="73"/>
      <c r="F19" s="73"/>
      <c r="G19" s="73"/>
      <c r="H19" s="73"/>
    </row>
    <row r="20" spans="1:8">
      <c r="A20" s="43"/>
      <c r="B20" s="43"/>
      <c r="C20" s="43"/>
      <c r="D20" s="43"/>
      <c r="E20" s="43"/>
      <c r="F20" s="43"/>
      <c r="G20" s="43"/>
      <c r="H20" s="43"/>
    </row>
    <row r="21" spans="1:8" ht="23.25" customHeight="1">
      <c r="A21" s="88" t="s">
        <v>569</v>
      </c>
      <c r="B21" s="88"/>
      <c r="C21" s="88"/>
      <c r="D21" s="88"/>
      <c r="E21" s="88"/>
      <c r="F21" s="88"/>
      <c r="G21" s="88"/>
      <c r="H21" s="88"/>
    </row>
    <row r="22" spans="1:8" ht="33.75" customHeight="1">
      <c r="A22" s="73" t="str" cm="1">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24 records have clarification provided: 17 complaints and 7 inquiries.</v>
      </c>
      <c r="B22" s="73"/>
      <c r="C22" s="73"/>
      <c r="D22" s="73"/>
      <c r="E22" s="73"/>
      <c r="F22" s="73"/>
      <c r="G22" s="73"/>
      <c r="H22" s="73"/>
    </row>
    <row r="23" spans="1:8">
      <c r="A23" s="43"/>
      <c r="B23" s="43"/>
      <c r="C23" s="43"/>
      <c r="D23" s="43"/>
      <c r="E23" s="43"/>
      <c r="F23" s="43"/>
      <c r="G23" s="43"/>
      <c r="H23" s="43"/>
    </row>
    <row r="24" spans="1:8" ht="23.25" customHeight="1">
      <c r="A24" s="88" t="s">
        <v>570</v>
      </c>
      <c r="B24" s="88"/>
      <c r="C24" s="88"/>
      <c r="D24" s="88"/>
      <c r="E24" s="88"/>
      <c r="F24" s="88"/>
      <c r="G24" s="88"/>
      <c r="H24" s="88"/>
    </row>
    <row r="25" spans="1:8" ht="33.75" customHeight="1">
      <c r="A25" s="73" t="str">
        <f>"Only "&amp;COUNT(ComplaintTracker[Delay (Hours)])&amp;" of "&amp;ROWS(ComplaintTracker[Issue Type])&amp;" records have numeric delay hours; median is "&amp;TEXT(MEDIAN(ComplaintTracker[Delay (Hours)]),"0")&amp;" hours and mean is "&amp;TEXT(AVERAGE(ComplaintTracker[Delay (Hours)]),"0")&amp;" hours."</f>
        <v>Only 13 of 80 records have numeric delay hours; median is 48 hours and mean is 239 hours.</v>
      </c>
      <c r="B25" s="73"/>
      <c r="C25" s="73"/>
      <c r="D25" s="73"/>
      <c r="E25" s="73"/>
      <c r="F25" s="73"/>
      <c r="G25" s="73"/>
      <c r="H25" s="73"/>
    </row>
    <row r="26" spans="1:8">
      <c r="A26" s="43"/>
      <c r="B26" s="43"/>
      <c r="C26" s="43"/>
      <c r="D26" s="43"/>
      <c r="E26" s="43"/>
      <c r="F26" s="43"/>
      <c r="G26" s="43"/>
      <c r="H26" s="43"/>
    </row>
    <row r="27" spans="1:8" ht="23.25" customHeight="1">
      <c r="A27" s="88" t="s">
        <v>571</v>
      </c>
      <c r="B27" s="88"/>
      <c r="C27" s="88"/>
      <c r="D27" s="88"/>
      <c r="E27" s="88"/>
      <c r="F27" s="88"/>
      <c r="G27" s="88"/>
      <c r="H27" s="88"/>
    </row>
    <row r="28" spans="1:8" ht="33.75" customHeight="1">
      <c r="A28" s="73" t="str" cm="1">
        <f t="array" ref="A28">SUMPRODUCT(--ISTEXT(ComplaintTracker[Email/JIRA Date]))&amp;" dates are text; "&amp;(COUNTIF(ComplaintTracker[Delay],"Yes")+COUNTIF(ComplaintTracker[Delay],"No"))&amp;" Delay entries are Yes/No. Standardize these fields before trend SLA analysis."</f>
        <v>0 dates are text; 2 Delay entries are Yes/No. Standardize these fields before trend SLA analysis.</v>
      </c>
      <c r="B28" s="73"/>
      <c r="C28" s="73"/>
      <c r="D28" s="73"/>
      <c r="E28" s="73"/>
      <c r="F28" s="73"/>
      <c r="G28" s="73"/>
      <c r="H28" s="73"/>
    </row>
    <row r="29" spans="1:8">
      <c r="A29" s="43"/>
      <c r="B29" s="43"/>
      <c r="C29" s="43"/>
      <c r="D29" s="43"/>
      <c r="E29" s="43"/>
      <c r="F29" s="43"/>
      <c r="G29" s="43"/>
      <c r="H29" s="43"/>
    </row>
    <row r="30" spans="1:8">
      <c r="A30" s="43"/>
      <c r="B30" s="43"/>
      <c r="C30" s="43"/>
      <c r="D30" s="43"/>
      <c r="E30" s="43"/>
      <c r="F30" s="43"/>
      <c r="G30" s="43"/>
      <c r="H30" s="43"/>
    </row>
  </sheetData>
  <mergeCells count="20">
    <mergeCell ref="A16:H16"/>
    <mergeCell ref="A1:H1"/>
    <mergeCell ref="A2:H2"/>
    <mergeCell ref="A5:B6"/>
    <mergeCell ref="C5:D6"/>
    <mergeCell ref="E5:F6"/>
    <mergeCell ref="G5:H6"/>
    <mergeCell ref="A9:H9"/>
    <mergeCell ref="A10:H10"/>
    <mergeCell ref="A12:H12"/>
    <mergeCell ref="A13:H13"/>
    <mergeCell ref="A15:H15"/>
    <mergeCell ref="A27:H27"/>
    <mergeCell ref="A28:H28"/>
    <mergeCell ref="A18:H18"/>
    <mergeCell ref="A19:H19"/>
    <mergeCell ref="A21:H21"/>
    <mergeCell ref="A22:H22"/>
    <mergeCell ref="A24:H24"/>
    <mergeCell ref="A25:H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Sangram Barge</dc:creator>
  <cp:keywords/>
  <dc:description/>
  <cp:lastModifiedBy/>
  <cp:revision/>
  <dcterms:created xsi:type="dcterms:W3CDTF">2026-09-01T08:44:59Z</dcterms:created>
  <dcterms:modified xsi:type="dcterms:W3CDTF">2026-09-01T16:47:13Z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add3fb8-64db-456b-a303-7b817e576329_Enabled">
    <vt:lpwstr>true</vt:lpwstr>
  </property>
  <property fmtid="{D5CDD505-2E9C-101B-9397-08002B2CF9AE}" pid="3" name="MSIP_Label_5add3fb8-64db-456b-a303-7b817e576329_SetDate">
    <vt:lpwstr>2026-05-24T19:15:02Z</vt:lpwstr>
  </property>
  <property fmtid="{D5CDD505-2E9C-101B-9397-08002B2CF9AE}" pid="4" name="MSIP_Label_5add3fb8-64db-456b-a303-7b817e576329_Method">
    <vt:lpwstr>Standard</vt:lpwstr>
  </property>
  <property fmtid="{D5CDD505-2E9C-101B-9397-08002B2CF9AE}" pid="5" name="MSIP_Label_5add3fb8-64db-456b-a303-7b817e576329_Name">
    <vt:lpwstr>defa4170-0d19-0005-0004-bc88714345d2</vt:lpwstr>
  </property>
  <property fmtid="{D5CDD505-2E9C-101B-9397-08002B2CF9AE}" pid="6" name="MSIP_Label_5add3fb8-64db-456b-a303-7b817e576329_SiteId">
    <vt:lpwstr>208a6c18-704f-4104-93bb-558e02a18f9b</vt:lpwstr>
  </property>
  <property fmtid="{D5CDD505-2E9C-101B-9397-08002B2CF9AE}" pid="7" name="MSIP_Label_5add3fb8-64db-456b-a303-7b817e576329_ActionId">
    <vt:lpwstr>50eac479-8e77-42a1-989b-7f2ea862db2f</vt:lpwstr>
  </property>
  <property fmtid="{D5CDD505-2E9C-101B-9397-08002B2CF9AE}" pid="8" name="MSIP_Label_5add3fb8-64db-456b-a303-7b817e576329_ContentBits">
    <vt:lpwstr>0</vt:lpwstr>
  </property>
</Properties>
</file>