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6</v>
                </pt>
                <pt idx="7">
                  <v>13</v>
                </pt>
                <pt idx="8">
                  <v>7</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5</v>
                </pt>
                <pt idx="7">
                  <v>4</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27</v>
                </pt>
                <pt idx="2">
                  <v>17</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96</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51</v>
                </pt>
                <pt idx="1">
                  <v>32</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31</v>
                </pt>
                <pt idx="1">
                  <v>12</v>
                </pt>
                <pt idx="2">
                  <v>7</v>
                </pt>
                <pt idx="3">
                  <v>4</v>
                </pt>
                <pt idx="4">
                  <v>4</v>
                </pt>
                <pt idx="5">
                  <v>3</v>
                </pt>
                <pt idx="6">
                  <v>2</v>
                </pt>
                <pt idx="7">
                  <v>2</v>
                </pt>
                <pt idx="8">
                  <v>2</v>
                </pt>
                <pt idx="9">
                  <v>2</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31</v>
                </pt>
                <pt idx="2">
                  <v>3</v>
                </pt>
                <pt idx="3">
                  <v>7</v>
                </pt>
                <pt idx="4">
                  <v>7</v>
                </pt>
                <pt idx="5">
                  <v>4</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Cluster Integrity &amp; Duplicate Prevention</t>
        </is>
      </c>
      <c r="W70" s="33" t="inlineStr">
        <is>
          <t>EAO-5</t>
        </is>
      </c>
      <c r="X70"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Product</t>
        </is>
      </c>
      <c r="J73" s="33" t="inlineStr">
        <is>
          <t>Policy/Logic</t>
        </is>
      </c>
      <c r="K73" s="33" t="inlineStr">
        <is>
          <t>Improvement</t>
        </is>
      </c>
      <c r="L73" s="33" t="inlineStr">
        <is>
          <t>RCA Shared</t>
        </is>
      </c>
      <c r="M73"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3" s="33" t="inlineStr">
        <is>
          <t>Yes</t>
        </is>
      </c>
      <c r="O73" s="33" t="inlineStr">
        <is>
          <t>Customer reported a fire at FXI, a Tier 2 supplier, causing a Force Majeure at Sage Automotive Interiors, with no matching EventWatch notification. Established as a relevance-scoring weakness rather than an analyst error: the event was captured, classified Not Impactful because the company was unmapped, and the analyst review concurred. Resilinc accepted the customer's challenge to the methodology, issued an ICA on 17-Jul-2026 adding a manual review for major industrial incidents initially classified Not Impactful, and committed to a PCA enhancing the AI relevance-scoring models by end July 2026.</t>
        </is>
      </c>
      <c r="P73" s="33" t="n"/>
      <c r="Q73" s="33" t="inlineStr">
        <is>
          <t>Yes</t>
        </is>
      </c>
      <c r="R73" s="39" t="n">
        <v>7</v>
      </c>
      <c r="S73" s="39" t="n"/>
      <c r="T73" s="35" t="n">
        <v>46204</v>
      </c>
      <c r="U73" s="33" t="inlineStr">
        <is>
          <t>Medium</t>
        </is>
      </c>
      <c r="V73" s="33" t="inlineStr">
        <is>
          <t>WarRoom &amp; Decision Validation</t>
        </is>
      </c>
      <c r="W73" s="33" t="inlineStr">
        <is>
          <t>EAO-13</t>
        </is>
      </c>
      <c r="X73" s="33" t="inlineStr">
        <is>
          <t>A methodology weakness that Resilinc accepted, not an analyst error. EventWatch did capture multiple public reports of the 28-Jun-2026 fire at the foam manufacturing facility in Cuautitlan Izcalli, Mexico. The AI classification models then categorised it Not Impactful on three grounds: the company was not a mapped supplier in the database, no mapped supplier sites sat near the incident, and public reporting described a mattress/foam plant fire with no confirmed downstream impact. The reporting team reviewed the captured articles under human-in-the-loop validation and concurred, so nothing was published. The Force Majeure that Sage Automotive Interiors issued could not be confirmed in English or Spanish public sources and appears to have gone through direct supplier channels, so EventWatch could not publish it either; a monitoring record was created to catch any public confirmation. The customer challenged the methodology itself - why supplier presence in an internal database filters an assessment that is meant to rest on public information - and Resilinc agreed the observation was right. Interim corrective action, in force now: major industrial incidents at manufacturing facilities initially classified Not Impactful get an additional manual review, and are no longer closed solely on the absence of mapped suppliers or immediately confirmed downstream impact; analysts weigh facility type, manufacturing activity, incident severity, industry relevance and downstream potential before the publication decision. Permanent corrective action: the AI relevance-scoring models are being enhanced so supplier mapping is no longer a dominant factor, shared with Data Science and on the AI roadmap, targeted for deployment by end July 2026, at which point the interim manual control folds into the automated decision.</t>
        </is>
      </c>
      <c r="Y73" s="33" t="inlineStr">
        <is>
          <t>Product &amp; Platform</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Inquiry</t>
        </is>
      </c>
      <c r="H82" s="33" t="inlineStr">
        <is>
          <t>Wrong Relevancy</t>
        </is>
      </c>
      <c r="I82" s="33" t="inlineStr">
        <is>
          <t>Process</t>
        </is>
      </c>
      <c r="J82" s="33" t="inlineStr">
        <is>
          <t>Policy/Logic</t>
        </is>
      </c>
      <c r="K82" s="33" t="inlineStr">
        <is>
          <t>Improvement</t>
        </is>
      </c>
      <c r="L82" s="33" t="inlineStr">
        <is>
          <t>Clarification Provided</t>
        </is>
      </c>
      <c r="M82" s="33" t="inlineStr">
        <is>
          <t>A feedback path from a disputed Not Impactful classification back into the reporting criteria, so a customer telling us a government-services disruption does affect them tunes the model rather than closing as no further context</t>
        </is>
      </c>
      <c r="N82" s="33" t="inlineStr">
        <is>
          <t>No</t>
        </is>
      </c>
      <c r="O82" s="33" t="inlineStr">
        <is>
          <t>Staged from Jira EAO-22 (Done). Eaton reported the July 14-16 ANCPI (Romania land registry) cyberattack had no corresponding WarRoom or news on the portal; RCA requested if it was in scope.</t>
        </is>
      </c>
      <c r="Q82" s="33" t="inlineStr">
        <is>
          <t>No</t>
        </is>
      </c>
      <c r="R82" s="39" t="n">
        <v>7</v>
      </c>
      <c r="T82" s="35" t="n">
        <v>46204</v>
      </c>
      <c r="U82" s="33" t="inlineStr">
        <is>
          <t>Medium</t>
        </is>
      </c>
      <c r="V82" s="33" t="inlineStr">
        <is>
          <t>WarRoom &amp; Decision Validation</t>
        </is>
      </c>
      <c r="W82" s="33" t="inlineStr">
        <is>
          <t>EAO-22</t>
        </is>
      </c>
      <c r="X82"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2" s="33" t="inlineStr">
        <is>
          <t>EventWatch Ops - Nitin Rindhe</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Inquiry</t>
        </is>
      </c>
      <c r="H83" s="33" t="inlineStr">
        <is>
          <t>Coverage Verification Request</t>
        </is>
      </c>
      <c r="I83" s="33" t="inlineStr">
        <is>
          <t>Process</t>
        </is>
      </c>
      <c r="J83" s="33" t="inlineStr">
        <is>
          <t>Process Clarification</t>
        </is>
      </c>
      <c r="K83" s="33" t="inlineStr">
        <is>
          <t>Improvement</t>
        </is>
      </c>
      <c r="L83" s="33" t="inlineStr">
        <is>
          <t>Clarification Provided</t>
        </is>
      </c>
      <c r="M83" s="33" t="inlineStr">
        <is>
          <t>A customer-reported event with no public source should register as a monitoring story the customer can see, and publish automatically once a credible public source appears, rather than the customer having to ask again</t>
        </is>
      </c>
      <c r="N83" s="33" t="inlineStr">
        <is>
          <t>No</t>
        </is>
      </c>
      <c r="O83" s="33" t="inlineStr">
        <is>
          <t>EAO-24: No proactive alert was generated for the July 21 fire. Customer requested RCA, ICA, and PCA for the missed coverage. RCA shared.</t>
        </is>
      </c>
      <c r="P83" s="33" t="n"/>
      <c r="Q83" s="33" t="inlineStr">
        <is>
          <t>No</t>
        </is>
      </c>
      <c r="R83" s="39" t="n">
        <v>8</v>
      </c>
      <c r="S83" s="39" t="n"/>
      <c r="T83" s="35" t="n">
        <v>46235</v>
      </c>
      <c r="U83" s="33" t="inlineStr">
        <is>
          <t>Medium</t>
        </is>
      </c>
      <c r="V83" s="33" t="inlineStr">
        <is>
          <t>Other Control Automation</t>
        </is>
      </c>
      <c r="W83" s="33" t="inlineStr">
        <is>
          <t>EAO-24</t>
        </is>
      </c>
      <c r="X83"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3" s="33" t="inlineStr">
        <is>
          <t>EventWatch Ops - Nitin Rindhe</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Inquiry</t>
        </is>
      </c>
      <c r="H91" s="33" t="inlineStr">
        <is>
          <t>Coverage Verification Request</t>
        </is>
      </c>
      <c r="I91" s="33" t="inlineStr">
        <is>
          <t>Process</t>
        </is>
      </c>
      <c r="J91" s="33" t="inlineStr">
        <is>
          <t>Policy/Logic</t>
        </is>
      </c>
      <c r="K91" s="33" t="inlineStr">
        <is>
          <t>Improvement</t>
        </is>
      </c>
      <c r="L91" s="33" t="inlineStr">
        <is>
          <t>Clarification Provided</t>
        </is>
      </c>
      <c r="M91" s="33" t="inlineStr">
        <is>
          <t>Make the shared update sequence legible on the bulletin itself, so a jump from Update 2 to Update 5 in one country's WarRoom shows which storm-lifecycle updates ran under the other WarRooms instead of reading as missing bulletins</t>
        </is>
      </c>
      <c r="N91" s="33" t="inlineStr">
        <is>
          <t>No</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Other Control Automation</t>
        </is>
      </c>
      <c r="W91" s="33" t="inlineStr">
        <is>
          <t>EAO-29</t>
        </is>
      </c>
      <c r="X91"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1" s="33" t="inlineStr">
        <is>
          <t>EventWatch Ops - Nitin Rindhe</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EAO-44: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Logged as an Inquiry and marked Clarification Provided on review; the explanation was given outside the ticket, which still shows Open in Jira with no comments.</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n"/>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Inquiry</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31</v>
      </c>
      <c r="C67" s="23" t="n" cm="1">
        <f t="array" ref="C67:C76">_xlfn.ANCHORARRAY(B67)/COUNTIF(ComplaintTracker[Issue Type],"Complaint")</f>
        <v>0.34444444444444444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12</v>
      </c>
      <c r="C68" s="24" t="n">
        <v>0.13333333333333333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0.07777777777777778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0.044444444444444446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1</v>
      </c>
      <c r="L70" s="76" t="n">
        <v>14</v>
      </c>
    </row>
    <row r="71" ht="23.25" customHeight="1">
      <c r="A71" s="20" t="inlineStr">
        <is>
          <t>GM</t>
        </is>
      </c>
      <c r="B71" s="22" t="n">
        <v>4</v>
      </c>
      <c r="C71" s="24" t="n">
        <v>0.044444444444444446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0.03333333333333333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0.022222222222222223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0.022222222222222223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0.022222222222222223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12</v>
      </c>
      <c r="K75" s="76" t="n">
        <v>4</v>
      </c>
      <c r="L75" s="76" t="n">
        <v>16</v>
      </c>
    </row>
    <row r="76" ht="23.25" customHeight="1">
      <c r="A76" s="20" t="inlineStr">
        <is>
          <t>UVM Health Network</t>
        </is>
      </c>
      <c r="B76" s="22" t="n">
        <v>2</v>
      </c>
      <c r="C76" s="24" t="n">
        <v>0.022222222222222223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0</v>
      </c>
      <c r="K78" s="76" t="n">
        <v>2</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90</v>
      </c>
      <c r="K91" s="77" t="n">
        <v>21</v>
      </c>
      <c r="L91" s="77" t="n">
        <v>111</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