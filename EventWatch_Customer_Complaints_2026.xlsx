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18</v>
                </pt>
                <pt idx="5">
                  <v>9</v>
                </pt>
                <pt idx="6">
                  <v>7</v>
                </pt>
                <pt idx="7">
                  <v>14</v>
                </pt>
                <pt idx="8">
                  <v>14</v>
                </pt>
                <pt idx="9">
                  <v>4</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39</v>
                </pt>
                <pt idx="2">
                  <v>16</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106</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37</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General Mills</v>
                </pt>
                <pt idx="8">
                  <v>META</v>
                </pt>
                <pt idx="9">
                  <v>Merck</v>
                </pt>
                <pt idx="10">
                  <v>Other customers</v>
                </pt>
              </strCache>
            </strRef>
          </cat>
          <val>
            <numRef>
              <f>Dashboard!$B$67:$B$77</f>
              <numCache>
                <formatCode>General</formatCode>
                <ptCount val="11"/>
                <pt idx="0">
                  <v>36</v>
                </pt>
                <pt idx="1">
                  <v>13</v>
                </pt>
                <pt idx="2">
                  <v>7</v>
                </pt>
                <pt idx="3">
                  <v>5</v>
                </pt>
                <pt idx="4">
                  <v>4</v>
                </pt>
                <pt idx="5">
                  <v>3</v>
                </pt>
                <pt idx="6">
                  <v>2</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31</v>
                </pt>
                <pt idx="1">
                  <v>32</v>
                </pt>
                <pt idx="2">
                  <v>5</v>
                </pt>
                <pt idx="3">
                  <v>7</v>
                </pt>
                <pt idx="4">
                  <v>9</v>
                </pt>
                <pt idx="5">
                  <v>3</v>
                </pt>
                <pt idx="6">
                  <v>3</v>
                </pt>
                <pt idx="7">
                  <v>2</v>
                </pt>
                <pt idx="8">
                  <v>10</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Process</t>
        </is>
      </c>
      <c r="J74" s="33" t="inlineStr">
        <is>
          <t>Methodology Weakness</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4" s="33" t="inlineStr">
        <is>
          <t>EventWatch Ops - Nitin Rindhe</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Process</t>
        </is>
      </c>
      <c r="J76" s="33" t="inlineStr">
        <is>
          <t>WarRoom Creation</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Process</t>
        </is>
      </c>
      <c r="J97" s="33" t="inlineStr">
        <is>
          <t>Visibility</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Complaint</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Yes</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Inquiry</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No</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n"/>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Pending</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Keyword Update</t>
        </is>
      </c>
      <c r="K125" s="33" t="inlineStr">
        <is>
          <t>Improvement</t>
        </is>
      </c>
      <c r="L125" s="33" t="inlineStr">
        <is>
          <t>Pending</t>
        </is>
      </c>
      <c r="M125" s="33" t="inlineStr">
        <is>
          <t>Keyword coverage for bankruptcy, insolvency and fraud proceedings in Türkiye's automotive manufacturing cluster, so a filing at a sub-tier supplier is matched when it is published rather than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n"/>
      <c r="Y125" s="33" t="inlineStr">
        <is>
          <t>Product &amp; Platform</t>
        </is>
      </c>
      <c r="Z12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0.34951456310679613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Belden Inc</t>
        </is>
      </c>
      <c r="B73" s="22" t="n">
        <v>2</v>
      </c>
      <c r="C73" s="24" t="n">
        <v>0.019417475728155338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META</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Merck</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1</v>
      </c>
      <c r="K77" s="76" t="n">
        <v>1</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3</v>
      </c>
      <c r="K83" s="76" t="n">
        <v>2</v>
      </c>
      <c r="L83" s="76" t="n">
        <v>5</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6</v>
      </c>
      <c r="K89" s="76" t="n">
        <v>0</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6</v>
      </c>
      <c r="K90" s="76" t="n">
        <v>2</v>
      </c>
      <c r="L90" s="76" t="n">
        <v>8</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21</v>
      </c>
      <c r="L93" s="77" t="n">
        <v>124</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