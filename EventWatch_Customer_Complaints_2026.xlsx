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13</v>
                </pt>
                <pt idx="3">
                  <v>11</v>
                </pt>
                <pt idx="4">
                  <v>17</v>
                </pt>
                <pt idx="5">
                  <v>9</v>
                </pt>
                <pt idx="6">
                  <v>6</v>
                </pt>
                <pt idx="7">
                  <v>13</v>
                </pt>
                <pt idx="8">
                  <v>11</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1</v>
                </pt>
                <pt idx="3">
                  <v>2</v>
                </pt>
                <pt idx="4">
                  <v>1</v>
                </pt>
                <pt idx="5">
                  <v>3</v>
                </pt>
                <pt idx="6">
                  <v>5</v>
                </pt>
                <pt idx="7">
                  <v>4</v>
                </pt>
                <pt idx="8">
                  <v>6</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31</v>
                </pt>
                <pt idx="2">
                  <v>15</v>
                </pt>
                <pt idx="3">
                  <v>1</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99</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54</v>
                </pt>
                <pt idx="1">
                  <v>34</v>
                </pt>
                <pt idx="2">
                  <v>4</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Merck</v>
                </pt>
                <pt idx="7">
                  <v>Schneider Electric</v>
                </pt>
                <pt idx="8">
                  <v>UVM Health Network</v>
                </pt>
                <pt idx="9">
                  <v>Belden Inc</v>
                </pt>
                <pt idx="10">
                  <v>Other customers</v>
                </pt>
              </strCache>
            </strRef>
          </cat>
          <val>
            <numRef>
              <f>Dashboard!$B$67:$B$77</f>
              <numCache>
                <formatCode>General</formatCode>
                <ptCount val="11"/>
                <pt idx="0">
                  <v>33</v>
                </pt>
                <pt idx="1">
                  <v>13</v>
                </pt>
                <pt idx="2">
                  <v>7</v>
                </pt>
                <pt idx="3">
                  <v>4</v>
                </pt>
                <pt idx="4">
                  <v>4</v>
                </pt>
                <pt idx="5">
                  <v>3</v>
                </pt>
                <pt idx="6">
                  <v>2</v>
                </pt>
                <pt idx="7">
                  <v>2</v>
                </pt>
                <pt idx="8">
                  <v>2</v>
                </pt>
                <pt idx="9">
                  <v>1</v>
                </pt>
                <pt idx="10">
                  <v>21</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29</v>
                </pt>
                <pt idx="1">
                  <v>29</v>
                </pt>
                <pt idx="2">
                  <v>5</v>
                </pt>
                <pt idx="3">
                  <v>7</v>
                </pt>
                <pt idx="4">
                  <v>7</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6"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6"/>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RCA Shared</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RCA Shared</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46281</v>
      </c>
      <c r="C110" s="33" t="inlineStr">
        <is>
          <t>Cyber Attack</t>
        </is>
      </c>
      <c r="D110" s="33" t="inlineStr">
        <is>
          <t>General Mills</t>
        </is>
      </c>
      <c r="E110" s="39" t="n">
        <v>1</v>
      </c>
      <c r="F110" s="33" t="inlineStr">
        <is>
          <t>ADM Data Breach Exposes Personal Data - No WarRoom Created (General Mills)</t>
        </is>
      </c>
      <c r="G110" s="33" t="inlineStr">
        <is>
          <t>Complaint</t>
        </is>
      </c>
      <c r="H110" s="33" t="inlineStr">
        <is>
          <t>Missed Event</t>
        </is>
      </c>
      <c r="I110" s="33" t="inlineStr">
        <is>
          <t>Product</t>
        </is>
      </c>
      <c r="J110" s="33" t="inlineStr">
        <is>
          <t>Source Coverage</t>
        </is>
      </c>
      <c r="K110" s="33" t="inlineStr">
        <is>
          <t>Improvement</t>
        </is>
      </c>
      <c r="L110" s="33" t="inlineStr">
        <is>
          <t>RCA Shared</t>
        </is>
      </c>
      <c r="M110" s="33" t="inlineStr">
        <is>
          <t>Coverage of ransomware-group leak-site claims and threat-intelligence reporting, so a claimed breach at a named supplier is captured when the group publishes it rather than when a customer's own threat team circulates it internally</t>
        </is>
      </c>
      <c r="N110" s="33" t="inlineStr">
        <is>
          <t>Yes</t>
        </is>
      </c>
      <c r="O110"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There is no EAO key for this record: the CSM raised it by email to the team rather than opening a Jira ticket.</t>
        </is>
      </c>
      <c r="P110" s="33" t="n"/>
      <c r="Q110" s="33" t="inlineStr">
        <is>
          <t>Yes</t>
        </is>
      </c>
      <c r="R110" s="39" t="n">
        <v>9</v>
      </c>
      <c r="S110" s="39" t="n"/>
      <c r="T110" s="35" t="inlineStr">
        <is>
          <t>Sep 2026</t>
        </is>
      </c>
      <c r="U110" s="33" t="inlineStr">
        <is>
          <t>Medium</t>
        </is>
      </c>
      <c r="V110" s="33" t="inlineStr">
        <is>
          <t>Dynamic Source Discovery</t>
        </is>
      </c>
      <c r="W110" s="33" t="n"/>
      <c r="X110" s="33" t="inlineStr">
        <is>
          <t>Internal investigation found that the ADM breach was not captured on the EventWatch portal, and attributes the miss to source coverage. The finding has been shared with General Mills.</t>
        </is>
      </c>
      <c r="Y110" s="33" t="inlineStr">
        <is>
          <t>Product &amp; Platform</t>
        </is>
      </c>
      <c r="Z110" s="37" t="n"/>
    </row>
    <row r="111">
      <c r="A111" s="35" t="n">
        <v>46266</v>
      </c>
      <c r="B111" s="37" t="n">
        <v>46283</v>
      </c>
      <c r="C111" s="33" t="inlineStr">
        <is>
          <t>Merger &amp; Acquisition</t>
        </is>
      </c>
      <c r="D111" s="33" t="inlineStr">
        <is>
          <t>Eaton</t>
        </is>
      </c>
      <c r="E111" s="39" t="n">
        <v>1</v>
      </c>
      <c r="F111" s="33" t="inlineStr">
        <is>
          <t>Clarification on Impact Confirmation Requests for Supplier Acquisitions (Eaton)</t>
        </is>
      </c>
      <c r="G111" s="33" t="inlineStr">
        <is>
          <t>Inquiry</t>
        </is>
      </c>
      <c r="H111" s="33" t="inlineStr">
        <is>
          <t>Monitoring Strategy RFI</t>
        </is>
      </c>
      <c r="I111" s="33" t="inlineStr">
        <is>
          <t>Process</t>
        </is>
      </c>
      <c r="J111" s="33" t="inlineStr">
        <is>
          <t>Process Clarification</t>
        </is>
      </c>
      <c r="K111" s="33" t="inlineStr">
        <is>
          <t>Improvement</t>
        </is>
      </c>
      <c r="L111" s="33" t="inlineStr">
        <is>
          <t>Clarification Provided</t>
        </is>
      </c>
      <c r="M111" s="33" t="inlineStr">
        <is>
          <t>Publish the M&amp;A impact-confirmation trigger criteria in-product, so the rationale for an acquiring-side outreach is visible on the request itself instead of being explained per account after the fact</t>
        </is>
      </c>
      <c r="N111" s="33" t="inlineStr">
        <is>
          <t>No</t>
        </is>
      </c>
      <c r="O111"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1" s="33" t="n"/>
      <c r="Q111" s="33" t="inlineStr">
        <is>
          <t>No</t>
        </is>
      </c>
      <c r="R111" s="39" t="n">
        <v>9</v>
      </c>
      <c r="S111" s="39" t="n"/>
      <c r="T111" s="35" t="inlineStr">
        <is>
          <t>Sep 2026</t>
        </is>
      </c>
      <c r="U111" s="33" t="inlineStr">
        <is>
          <t>Low</t>
        </is>
      </c>
      <c r="V111" s="33" t="inlineStr">
        <is>
          <t>WarRoom &amp; Decision Validation</t>
        </is>
      </c>
      <c r="W111" s="33" t="inlineStr">
        <is>
          <t>EAO-43</t>
        </is>
      </c>
      <c r="X111"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1" s="33" t="inlineStr">
        <is>
          <t>EventWatch Ops - Nitin Rindhe</t>
        </is>
      </c>
      <c r="Z111" s="37" t="n"/>
    </row>
    <row r="112">
      <c r="A112" s="35" t="n">
        <v>46266</v>
      </c>
      <c r="B112" s="37" t="n">
        <v>46289</v>
      </c>
      <c r="C112" s="33" t="inlineStr">
        <is>
          <t>Bankruptcy</t>
        </is>
      </c>
      <c r="D112" s="33" t="inlineStr">
        <is>
          <t>Eaton</t>
        </is>
      </c>
      <c r="E112" s="39" t="n">
        <v>1</v>
      </c>
      <c r="F112" s="33" t="inlineStr">
        <is>
          <t>UPG Enterprises Chapter 11 Mapped to Mapes &amp; Sprowl - Mapping and Severity Queried (Eaton)</t>
        </is>
      </c>
      <c r="G112" s="33" t="inlineStr">
        <is>
          <t>Inquiry</t>
        </is>
      </c>
      <c r="H112" s="33" t="inlineStr">
        <is>
          <t>Wrong Relevancy</t>
        </is>
      </c>
      <c r="I112" s="33" t="inlineStr">
        <is>
          <t>Product</t>
        </is>
      </c>
      <c r="J112" s="33" t="inlineStr">
        <is>
          <t>Mapping</t>
        </is>
      </c>
      <c r="K112" s="33" t="inlineStr">
        <is>
          <t>Improvement</t>
        </is>
      </c>
      <c r="L112" s="33" t="inlineStr">
        <is>
          <t>Clarification Provided</t>
        </is>
      </c>
      <c r="M112" s="33" t="inlineStr">
        <is>
          <t>Scope check on parent-subsidiary linkage for insolvency filings, so a WarRoom is not raised against a subsidiary the filing text explicitly excludes, plus a recorded basis for the severity grade</t>
        </is>
      </c>
      <c r="N112" s="33" t="inlineStr">
        <is>
          <t>No</t>
        </is>
      </c>
      <c r="O112"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2" s="33" t="n"/>
      <c r="Q112" s="33" t="inlineStr">
        <is>
          <t>No</t>
        </is>
      </c>
      <c r="R112" s="39" t="n">
        <v>9</v>
      </c>
      <c r="S112" s="39" t="n"/>
      <c r="T112" s="35" t="inlineStr">
        <is>
          <t>Sep 2026</t>
        </is>
      </c>
      <c r="U112" s="33" t="inlineStr">
        <is>
          <t>Medium</t>
        </is>
      </c>
      <c r="V112" s="33" t="inlineStr">
        <is>
          <t>Entity &amp; Supplier Resolution</t>
        </is>
      </c>
      <c r="W112" s="33" t="inlineStr">
        <is>
          <t>EAO-44</t>
        </is>
      </c>
      <c r="X112"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2" s="33" t="inlineStr">
        <is>
          <t>Product &amp; Platform</t>
        </is>
      </c>
      <c r="Z112" s="37" t="n"/>
    </row>
    <row r="113">
      <c r="A113" s="35" t="n">
        <v>46266</v>
      </c>
      <c r="B113" s="37" t="n">
        <v>46289</v>
      </c>
      <c r="C113" s="33" t="inlineStr">
        <is>
          <t>Factory Fire</t>
        </is>
      </c>
      <c r="D113" s="33" t="inlineStr">
        <is>
          <t>Ford</t>
        </is>
      </c>
      <c r="E113" s="39" t="n">
        <v>1</v>
      </c>
      <c r="F113" s="33" t="inlineStr">
        <is>
          <t>Purflux Group Filter Systems Maroc Facility Fire - 10-11 Day Alert Delay (Ford)</t>
        </is>
      </c>
      <c r="G113" s="33" t="inlineStr">
        <is>
          <t>Complaint</t>
        </is>
      </c>
      <c r="H113" s="33" t="inlineStr">
        <is>
          <t>Delayed Event</t>
        </is>
      </c>
      <c r="I113" s="33" t="inlineStr">
        <is>
          <t>Product</t>
        </is>
      </c>
      <c r="J113" s="33" t="inlineStr">
        <is>
          <t>Source Coverage</t>
        </is>
      </c>
      <c r="K113" s="33" t="inlineStr">
        <is>
          <t>Improvement</t>
        </is>
      </c>
      <c r="L113" s="33" t="inlineStr">
        <is>
          <t>RCA Shared</t>
        </is>
      </c>
      <c r="M113" s="33" t="inlineStr">
        <is>
          <t>Latency monitoring on the gap between an incident's first public report and EventWatch publication, so a multi-day lag on a Tier-1 manufacturing site raises an internal alarm instead of waiting for the customer to notice</t>
        </is>
      </c>
      <c r="N113" s="33" t="inlineStr">
        <is>
          <t>Yes</t>
        </is>
      </c>
      <c r="O113"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3" s="33" t="inlineStr">
        <is>
          <t>~10-11 days (event 11/12-Sep-2026 -&gt; published 22-Sep-2026)</t>
        </is>
      </c>
      <c r="Q113" s="33" t="inlineStr">
        <is>
          <t>Yes</t>
        </is>
      </c>
      <c r="R113" s="39" t="n">
        <v>9</v>
      </c>
      <c r="S113" s="39" t="n">
        <v>252</v>
      </c>
      <c r="T113" s="35" t="inlineStr">
        <is>
          <t>Sep 2026</t>
        </is>
      </c>
      <c r="U113" s="33" t="inlineStr">
        <is>
          <t>High</t>
        </is>
      </c>
      <c r="V113" s="33" t="inlineStr">
        <is>
          <t>Dynamic Source Discovery</t>
        </is>
      </c>
      <c r="W113" s="33" t="inlineStr">
        <is>
          <t>EAO-45</t>
        </is>
      </c>
      <c r="X113"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3" s="33" t="inlineStr">
        <is>
          <t>Product &amp; Platform</t>
        </is>
      </c>
      <c r="Z113" s="37" t="n"/>
    </row>
    <row r="114">
      <c r="A114" s="35" t="n">
        <v>46266</v>
      </c>
      <c r="B114" s="37" t="n">
        <v>46293</v>
      </c>
      <c r="C114" s="33" t="inlineStr">
        <is>
          <t>Litigation/Legal</t>
        </is>
      </c>
      <c r="D114" s="33" t="inlineStr">
        <is>
          <t>Eaton</t>
        </is>
      </c>
      <c r="E114" s="39" t="n">
        <v>1</v>
      </c>
      <c r="F114" s="33" t="inlineStr">
        <is>
          <t>USITC DRAM Patent Investigation - Duplicate WarRooms Published for One Event (Eaton)</t>
        </is>
      </c>
      <c r="G114" s="33" t="inlineStr">
        <is>
          <t>Complaint</t>
        </is>
      </c>
      <c r="H114" s="33" t="inlineStr">
        <is>
          <t>Duplicate WarRooms</t>
        </is>
      </c>
      <c r="I114" s="33" t="inlineStr">
        <is>
          <t>People</t>
        </is>
      </c>
      <c r="J114" s="33" t="inlineStr">
        <is>
          <t>Duplication</t>
        </is>
      </c>
      <c r="K114" s="33" t="inlineStr">
        <is>
          <t>Improvement</t>
        </is>
      </c>
      <c r="L114" s="33" t="inlineStr">
        <is>
          <t>Fixed</t>
        </is>
      </c>
      <c r="M114"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4" s="33" t="inlineStr">
        <is>
          <t>Yes</t>
        </is>
      </c>
      <c r="O114"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4" s="33" t="n"/>
      <c r="Q114" s="33" t="inlineStr">
        <is>
          <t>No</t>
        </is>
      </c>
      <c r="R114" s="39" t="n">
        <v>9</v>
      </c>
      <c r="S114" s="39" t="n"/>
      <c r="T114" s="35" t="inlineStr">
        <is>
          <t>Sep 2026</t>
        </is>
      </c>
      <c r="U114" s="33" t="inlineStr">
        <is>
          <t>Medium</t>
        </is>
      </c>
      <c r="V114" s="33" t="inlineStr">
        <is>
          <t>Cluster Integrity &amp; Duplicate Prevention</t>
        </is>
      </c>
      <c r="W114" s="33" t="inlineStr">
        <is>
          <t>EAO-46</t>
        </is>
      </c>
      <c r="X114"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4" s="33" t="inlineStr">
        <is>
          <t>EventWatch Ops - Nitin Rindhe</t>
        </is>
      </c>
      <c r="Z114" s="37" t="n"/>
    </row>
    <row r="115">
      <c r="A115" s="35" t="n">
        <v>46266</v>
      </c>
      <c r="B115" s="37" t="n">
        <v>46293</v>
      </c>
      <c r="C115" s="33" t="inlineStr">
        <is>
          <t>Financial Distress</t>
        </is>
      </c>
      <c r="D115" s="33" t="inlineStr">
        <is>
          <t>Western Digital</t>
        </is>
      </c>
      <c r="E115" s="39" t="n">
        <v>1</v>
      </c>
      <c r="F115" s="33" t="inlineStr">
        <is>
          <t>Nidec Reported 1tn Yen Impairment and CEO Dismissal - No EventWatch Event Created (Western Digital)</t>
        </is>
      </c>
      <c r="G115" s="33" t="inlineStr">
        <is>
          <t>Inquiry</t>
        </is>
      </c>
      <c r="H115" s="33" t="inlineStr">
        <is>
          <t>Wrong Relevancy</t>
        </is>
      </c>
      <c r="I115" s="33" t="inlineStr">
        <is>
          <t>People</t>
        </is>
      </c>
      <c r="J115" s="33" t="inlineStr">
        <is>
          <t>Review</t>
        </is>
      </c>
      <c r="K115" s="33" t="inlineStr">
        <is>
          <t>Improvement</t>
        </is>
      </c>
      <c r="L115" s="33" t="inlineStr">
        <is>
          <t>Clarification Provided</t>
        </is>
      </c>
      <c r="M115" s="33" t="inlineStr">
        <is>
          <t>A mapped-partner check at the point an analyst marks an event Not Impactful, so an event touching a customer's own mapped supplier cannot be closed out of their feed without that being surfaced to the reviewer</t>
        </is>
      </c>
      <c r="N115" s="33" t="inlineStr">
        <is>
          <t>Yes</t>
        </is>
      </c>
      <c r="O115"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5" s="33" t="n"/>
      <c r="Q115" s="33" t="inlineStr">
        <is>
          <t>No</t>
        </is>
      </c>
      <c r="R115" s="39" t="n">
        <v>9</v>
      </c>
      <c r="S115" s="39" t="n"/>
      <c r="T115" s="35" t="inlineStr">
        <is>
          <t>Sep 2026</t>
        </is>
      </c>
      <c r="U115" s="33" t="inlineStr">
        <is>
          <t>Medium</t>
        </is>
      </c>
      <c r="V115" s="33" t="inlineStr">
        <is>
          <t>WarRoom &amp; Decision Validation</t>
        </is>
      </c>
      <c r="W115" s="33" t="inlineStr">
        <is>
          <t>EAO-47</t>
        </is>
      </c>
      <c r="X115"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5" s="33" t="inlineStr">
        <is>
          <t>EventWatch Ops - Nitin Rindhe</t>
        </is>
      </c>
      <c r="Z115" s="37" t="n"/>
    </row>
    <row r="116">
      <c r="A116" s="35" t="n">
        <v>46266</v>
      </c>
      <c r="B116" s="37" t="n">
        <v>46293</v>
      </c>
      <c r="C116" s="33" t="inlineStr">
        <is>
          <t>Port Disruption</t>
        </is>
      </c>
      <c r="D116" s="33" t="inlineStr">
        <is>
          <t>Ford</t>
        </is>
      </c>
      <c r="E116" s="39" t="n">
        <v>1</v>
      </c>
      <c r="F116" s="33" t="inlineStr">
        <is>
          <t>South Africa Port and Corridor Congestion - EWC Cargo Movement Update Not Flagged (Ford)</t>
        </is>
      </c>
      <c r="G116" s="33" t="inlineStr">
        <is>
          <t>Complaint</t>
        </is>
      </c>
      <c r="H116" s="33" t="inlineStr">
        <is>
          <t>Missed Event</t>
        </is>
      </c>
      <c r="I116" s="33" t="inlineStr">
        <is>
          <t>Product</t>
        </is>
      </c>
      <c r="J116" s="33" t="inlineStr">
        <is>
          <t>Source Coverage</t>
        </is>
      </c>
      <c r="K116" s="33" t="inlineStr">
        <is>
          <t>Improvement</t>
        </is>
      </c>
      <c r="L116" s="33" t="inlineStr">
        <is>
          <t>Pending</t>
        </is>
      </c>
      <c r="M116"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6" s="33" t="inlineStr">
        <is>
          <t>Yes</t>
        </is>
      </c>
      <c r="O116"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Currently under investigation, so Root Cause, Sub-type and Standard Automation Focus remain provisional.</t>
        </is>
      </c>
      <c r="P116" s="33" t="n"/>
      <c r="Q116" s="33" t="inlineStr">
        <is>
          <t>Yes</t>
        </is>
      </c>
      <c r="R116" s="39" t="n">
        <v>9</v>
      </c>
      <c r="S116" s="39" t="n"/>
      <c r="T116" s="35" t="inlineStr">
        <is>
          <t>Sep 2026</t>
        </is>
      </c>
      <c r="U116" s="33" t="inlineStr">
        <is>
          <t>High</t>
        </is>
      </c>
      <c r="V116" s="33" t="inlineStr">
        <is>
          <t>Dynamic Source Discovery</t>
        </is>
      </c>
      <c r="W116" s="33" t="inlineStr">
        <is>
          <t>EAO-48</t>
        </is>
      </c>
      <c r="X116" s="33" t="n"/>
      <c r="Y116" s="33" t="inlineStr">
        <is>
          <t>Product &amp; Platform</t>
        </is>
      </c>
      <c r="Z116"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33</v>
      </c>
      <c r="C67" s="23" t="n" cm="1">
        <f t="array" ref="C67:C76">_xlfn.ANCHORARRAY(B67)/COUNTIF(ComplaintTracker[Issue Type],"Complaint")</f>
        <v>0.358695652173913</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13</v>
      </c>
      <c r="C68" s="24" t="n">
        <v>0.14130434782608695</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0.07608695652173914</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0.043478260869565216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0.043478260869565216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0.03260869565217391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Merck</t>
        </is>
      </c>
      <c r="B73" s="22" t="n">
        <v>2</v>
      </c>
      <c r="C73" s="24" t="n">
        <v>0.021739130434782608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Schneider Electric</t>
        </is>
      </c>
      <c r="B74" s="22" t="n">
        <v>2</v>
      </c>
      <c r="C74" s="24" t="n">
        <v>0.021739130434782608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UVM Health Network</t>
        </is>
      </c>
      <c r="B75" s="22" t="n">
        <v>2</v>
      </c>
      <c r="C75" s="24" t="n">
        <v>0.021739130434782608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13</v>
      </c>
      <c r="K75" s="76" t="n">
        <v>3</v>
      </c>
      <c r="L75" s="76" t="n">
        <v>16</v>
      </c>
    </row>
    <row r="76" ht="23.25" customHeight="1">
      <c r="A76" s="20" t="inlineStr">
        <is>
          <t>Belden Inc</t>
        </is>
      </c>
      <c r="B76" s="22" t="n">
        <v>1</v>
      </c>
      <c r="C76" s="24" t="n">
        <v>0.010869565217391304</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4</v>
      </c>
      <c r="K88" s="76" t="n">
        <v>4</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92</v>
      </c>
      <c r="K91" s="77" t="n">
        <v>23</v>
      </c>
      <c r="L91" s="77" t="n">
        <v>115</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