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9</v>
                </pt>
                <pt idx="2">
                  <v>13</v>
                </pt>
                <pt idx="3">
                  <v>12</v>
                </pt>
                <pt idx="4">
                  <v>17</v>
                </pt>
                <pt idx="5">
                  <v>9</v>
                </pt>
                <pt idx="6">
                  <v>6</v>
                </pt>
                <pt idx="7">
                  <v>13</v>
                </pt>
                <pt idx="8">
                  <v>7</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0</v>
                </pt>
                <pt idx="2">
                  <v>1</v>
                </pt>
                <pt idx="3">
                  <v>1</v>
                </pt>
                <pt idx="4">
                  <v>1</v>
                </pt>
                <pt idx="5">
                  <v>3</v>
                </pt>
                <pt idx="6">
                  <v>5</v>
                </pt>
                <pt idx="7">
                  <v>4</v>
                </pt>
                <pt idx="8">
                  <v>6</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44</v>
                </pt>
                <pt idx="1">
                  <v>26</v>
                </pt>
                <pt idx="2">
                  <v>18</v>
                </pt>
                <pt idx="3">
                  <v>2</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4</v>
                </pt>
                <pt idx="2">
                  <v>96</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50</v>
                </pt>
                <pt idx="1">
                  <v>33</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Hitachi</v>
                </pt>
                <pt idx="7">
                  <v>Merck</v>
                </pt>
                <pt idx="8">
                  <v>Schneider Electric</v>
                </pt>
                <pt idx="9">
                  <v>UVM Health Network</v>
                </pt>
                <pt idx="10">
                  <v>Other customers</v>
                </pt>
              </strCache>
            </strRef>
          </cat>
          <val>
            <numRef>
              <f>Dashboard!$B$67:$B$77</f>
              <numCache>
                <formatCode>General</formatCode>
                <ptCount val="11"/>
                <pt idx="0">
                  <v>31</v>
                </pt>
                <pt idx="1">
                  <v>12</v>
                </pt>
                <pt idx="2">
                  <v>7</v>
                </pt>
                <pt idx="3">
                  <v>4</v>
                </pt>
                <pt idx="4">
                  <v>4</v>
                </pt>
                <pt idx="5">
                  <v>3</v>
                </pt>
                <pt idx="6">
                  <v>2</v>
                </pt>
                <pt idx="7">
                  <v>2</v>
                </pt>
                <pt idx="8">
                  <v>2</v>
                </pt>
                <pt idx="9">
                  <v>2</v>
                </pt>
                <pt idx="10">
                  <v>21</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27</v>
                </pt>
                <pt idx="1">
                  <v>31</v>
                </pt>
                <pt idx="2">
                  <v>3</v>
                </pt>
                <pt idx="3">
                  <v>7</v>
                </pt>
                <pt idx="4">
                  <v>7</v>
                </pt>
                <pt idx="5">
                  <v>4</v>
                </pt>
                <pt idx="6">
                  <v>2</v>
                </pt>
                <pt idx="7">
                  <v>2</v>
                </pt>
                <pt idx="8">
                  <v>7</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12"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1"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12"/>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n"/>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n"/>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Dynamic Source Discovery</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n"/>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Source coverage expansion</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Dynamic Source Discovery</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Event Identification</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Event Identification</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Event Identification</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Event Identification</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n"/>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n"/>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n"/>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n"/>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Event Identification</t>
        </is>
      </c>
      <c r="K72" s="33" t="inlineStr">
        <is>
          <t>Improvement</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Dynamic Source Discovery</t>
        </is>
      </c>
      <c r="W72" s="33" t="inlineStr">
        <is>
          <t>EAO-12</t>
        </is>
      </c>
      <c r="X72" s="33" t="inlineStr">
        <is>
          <t>Feeds covering the BorgWarner Vigo indefinite strike were in the public domain from 26-Jun-2026 but were not captured on the portal until 1 July; Engineering was asked to investigate why the 26-27 June sources were missed. RCA approved and shared 09-Jul-2026.</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People</t>
        </is>
      </c>
      <c r="J73" s="33" t="inlineStr">
        <is>
          <t>Event Identification</t>
        </is>
      </c>
      <c r="K73" s="33" t="inlineStr">
        <is>
          <t>Improvement</t>
        </is>
      </c>
      <c r="L73" s="33" t="inlineStr">
        <is>
          <t>Clarification Provided</t>
        </is>
      </c>
      <c r="M73" s="33" t="inlineStr">
        <is>
          <t>Supplier-aware factory fire escalation model + Not Impactful override validation</t>
        </is>
      </c>
      <c r="N73" s="33" t="inlineStr">
        <is>
          <t>Yes</t>
        </is>
      </c>
      <c r="O73" s="33" t="inlineStr">
        <is>
          <t>Customer reported fire at FXI (Tier 2 supplier) causing Force Majeure at Sage Automotive Interiors. No matching EventWatch notification/WarRoom found during investigation.</t>
        </is>
      </c>
      <c r="P73" s="33" t="n"/>
      <c r="Q73" s="33" t="inlineStr">
        <is>
          <t>Yes</t>
        </is>
      </c>
      <c r="R73" s="39" t="n">
        <v>7</v>
      </c>
      <c r="S73" s="39" t="n"/>
      <c r="T73" s="35" t="n">
        <v>46204</v>
      </c>
      <c r="U73" s="33" t="inlineStr">
        <is>
          <t>Medium</t>
        </is>
      </c>
      <c r="V73" s="33" t="inlineStr">
        <is>
          <t>WarRoom &amp; Decision Validation</t>
        </is>
      </c>
      <c r="W73" s="33" t="inlineStr">
        <is>
          <t>EAO-13</t>
        </is>
      </c>
      <c r="X73" s="33" t="n"/>
      <c r="Y73" s="33" t="inlineStr">
        <is>
          <t>EventWatch Ops - Nitin Rindhe</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n"/>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n"/>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Transport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Inquiry</t>
        </is>
      </c>
      <c r="H91" s="33" t="inlineStr">
        <is>
          <t>Coverage Verification Request</t>
        </is>
      </c>
      <c r="I91" s="33" t="inlineStr">
        <is>
          <t>Process</t>
        </is>
      </c>
      <c r="J91" s="33" t="inlineStr">
        <is>
          <t>Policy/Logic</t>
        </is>
      </c>
      <c r="K91" s="33" t="inlineStr">
        <is>
          <t>Improvement</t>
        </is>
      </c>
      <c r="L91" s="33" t="inlineStr">
        <is>
          <t>Clarification Provided</t>
        </is>
      </c>
      <c r="M91" s="33" t="inlineStr">
        <is>
          <t>Make the shared update sequence legible on the bulletin itself, so a jump from Update 2 to Update 5 in one country's WarRoom shows which storm-lifecycle updates ran under the other WarRooms instead of reading as missing bulletins</t>
        </is>
      </c>
      <c r="N91" s="33" t="inlineStr">
        <is>
          <t>No</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Other Control Automation</t>
        </is>
      </c>
      <c r="W91" s="33" t="inlineStr">
        <is>
          <t>EAO-29</t>
        </is>
      </c>
      <c r="X91"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1" s="33" t="inlineStr">
        <is>
          <t>EventWatch Ops - Nitin Rindhe</t>
        </is>
      </c>
      <c r="Z91" s="37" t="n">
        <v>46272</v>
      </c>
    </row>
    <row r="92">
      <c r="A92" s="35" t="n">
        <v>46235</v>
      </c>
      <c r="B92" s="37" t="n">
        <v>46255</v>
      </c>
      <c r="C92" s="33" t="inlineStr">
        <is>
          <t>Transport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Inquiry</t>
        </is>
      </c>
      <c r="H105" s="33" t="inlineStr">
        <is>
          <t>Coverage Verification Request</t>
        </is>
      </c>
      <c r="I105" s="33" t="inlineStr">
        <is>
          <t>Product</t>
        </is>
      </c>
      <c r="J105" s="33" t="inlineStr">
        <is>
          <t>Source Coverage</t>
        </is>
      </c>
      <c r="K105" s="33" t="inlineStr">
        <is>
          <t>Improvement</t>
        </is>
      </c>
      <c r="L105" s="33" t="inlineStr">
        <is>
          <t>Clarification Provided</t>
        </is>
      </c>
      <c r="M105"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5" s="33" t="inlineStr">
        <is>
          <t>Yes</t>
        </is>
      </c>
      <c r="O105"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5" s="33" t="n"/>
      <c r="Q105" s="33" t="inlineStr">
        <is>
          <t>No</t>
        </is>
      </c>
      <c r="R105" s="39" t="n">
        <v>9</v>
      </c>
      <c r="S105" s="39" t="n"/>
      <c r="T105" s="35" t="inlineStr">
        <is>
          <t>Sep 2026</t>
        </is>
      </c>
      <c r="U105" s="33" t="inlineStr">
        <is>
          <t>Medium</t>
        </is>
      </c>
      <c r="V105" s="33" t="inlineStr">
        <is>
          <t>Dynamic Source Discovery</t>
        </is>
      </c>
      <c r="W105" s="33" t="inlineStr">
        <is>
          <t>EAO-39</t>
        </is>
      </c>
      <c r="X105"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Pending</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row r="107">
      <c r="A107" s="35" t="n">
        <v>46266</v>
      </c>
      <c r="B107" s="37" t="n">
        <v>46276</v>
      </c>
      <c r="C107" s="33" t="inlineStr">
        <is>
          <t>Factory Fire</t>
        </is>
      </c>
      <c r="D107" s="33" t="inlineStr">
        <is>
          <t>Ford</t>
        </is>
      </c>
      <c r="E107" s="39" t="n">
        <v>1</v>
      </c>
      <c r="F107" s="33" t="inlineStr">
        <is>
          <t>Precision Resource Facility Fire, Mt. Sterling, Kentucky – Deep-Tier Supplier Event Not Captured (Ford)</t>
        </is>
      </c>
      <c r="G107" s="33" t="inlineStr">
        <is>
          <t>Complaint</t>
        </is>
      </c>
      <c r="H107" s="33" t="inlineStr">
        <is>
          <t>Missed Event</t>
        </is>
      </c>
      <c r="I107" s="33" t="inlineStr">
        <is>
          <t>Product</t>
        </is>
      </c>
      <c r="J107" s="33" t="inlineStr">
        <is>
          <t>Source Coverage</t>
        </is>
      </c>
      <c r="K107" s="33" t="inlineStr">
        <is>
          <t>Improvement</t>
        </is>
      </c>
      <c r="L107" s="33" t="inlineStr">
        <is>
          <t>Pending</t>
        </is>
      </c>
      <c r="M107" s="33" t="inlineStr">
        <is>
          <t>Monitoring of local and regional outlets covering industrial incidents at deep-tier supplier sites, with event-to-supply-chain correlation so a sub-tier fire is linked to the OEMs exposed through it</t>
        </is>
      </c>
      <c r="N107" s="33" t="inlineStr">
        <is>
          <t>Yes</t>
        </is>
      </c>
      <c r="O107"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7" s="33" t="n"/>
      <c r="Q107" s="33" t="inlineStr">
        <is>
          <t>Yes</t>
        </is>
      </c>
      <c r="R107" s="39" t="n">
        <v>9</v>
      </c>
      <c r="S107" s="39" t="n"/>
      <c r="T107" s="35" t="inlineStr">
        <is>
          <t>Sep 2026</t>
        </is>
      </c>
      <c r="U107" s="33" t="inlineStr">
        <is>
          <t>High</t>
        </is>
      </c>
      <c r="V107" s="33" t="inlineStr">
        <is>
          <t>Dynamic Source Discovery</t>
        </is>
      </c>
      <c r="W107" s="33" t="inlineStr">
        <is>
          <t>EAO-40</t>
        </is>
      </c>
      <c r="X107"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7" s="33" t="inlineStr">
        <is>
          <t>Product &amp; Platform</t>
        </is>
      </c>
      <c r="Z107" s="37" t="n"/>
    </row>
    <row r="108">
      <c r="A108" s="35" t="n">
        <v>46266</v>
      </c>
      <c r="B108" s="37" t="n">
        <v>46279</v>
      </c>
      <c r="C108" s="33" t="inlineStr">
        <is>
          <t>Bankruptcy</t>
        </is>
      </c>
      <c r="D108" s="33" t="inlineStr">
        <is>
          <t>Irving Oil</t>
        </is>
      </c>
      <c r="E108" s="39" t="n">
        <v>1</v>
      </c>
      <c r="F108" s="33" t="inlineStr">
        <is>
          <t>Paystone CCAA Filing – No EventWatch Notification (Irving Oil)</t>
        </is>
      </c>
      <c r="G108" s="33" t="inlineStr">
        <is>
          <t>Inquiry</t>
        </is>
      </c>
      <c r="H108" s="33" t="inlineStr">
        <is>
          <t>Missed insolvency alert</t>
        </is>
      </c>
      <c r="I108" s="33" t="inlineStr">
        <is>
          <t>Product</t>
        </is>
      </c>
      <c r="J108" s="33" t="inlineStr">
        <is>
          <t>Keyword Update</t>
        </is>
      </c>
      <c r="K108" s="33" t="inlineStr">
        <is>
          <t>Improvement</t>
        </is>
      </c>
      <c r="L108" s="33" t="inlineStr">
        <is>
          <t>RCA Shared</t>
        </is>
      </c>
      <c r="M108" s="33" t="inlineStr">
        <is>
          <t>Keyword coverage for insolvency and restructuring terminology in the bankruptcy algorithm, with a regression check when a filing type such as CCAA is added, so the same class of filing is not missed twice</t>
        </is>
      </c>
      <c r="N108" s="33" t="inlineStr">
        <is>
          <t>Yes</t>
        </is>
      </c>
      <c r="O108"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8" s="33" t="n"/>
      <c r="Q108" s="33" t="inlineStr">
        <is>
          <t>Yes</t>
        </is>
      </c>
      <c r="R108" s="39" t="n">
        <v>9</v>
      </c>
      <c r="S108" s="39" t="n"/>
      <c r="T108" s="35" t="inlineStr">
        <is>
          <t>Sep 2026</t>
        </is>
      </c>
      <c r="U108" s="33" t="inlineStr">
        <is>
          <t>Medium</t>
        </is>
      </c>
      <c r="V108" s="33" t="inlineStr">
        <is>
          <t>Dynamic Source Discovery</t>
        </is>
      </c>
      <c r="W108" s="33" t="inlineStr">
        <is>
          <t>EAO-41</t>
        </is>
      </c>
      <c r="X108"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8" s="33" t="inlineStr">
        <is>
          <t>Product &amp; Platform</t>
        </is>
      </c>
      <c r="Z108" s="37" t="n">
        <v>46288</v>
      </c>
    </row>
    <row r="109">
      <c r="A109" s="35" t="n">
        <v>46266</v>
      </c>
      <c r="B109" s="37" t="n">
        <v>46281</v>
      </c>
      <c r="C109" s="33" t="inlineStr">
        <is>
          <t>Bankruptcy</t>
        </is>
      </c>
      <c r="D109" s="33" t="inlineStr">
        <is>
          <t>Eaton</t>
        </is>
      </c>
      <c r="E109" s="39" t="n">
        <v>1</v>
      </c>
      <c r="F109" s="33" t="inlineStr">
        <is>
          <t>Pollmann Austria GmbH Insolvency – No EventWatch Notification (Eaton)</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is added, so the same class of filing is not missed twice</t>
        </is>
      </c>
      <c r="N109" s="33" t="inlineStr">
        <is>
          <t>Yes</t>
        </is>
      </c>
      <c r="O109"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09" s="33" t="inlineStr">
        <is>
          <t>15 days (01-Sep proceedings - 15-Sep escalation, never published)</t>
        </is>
      </c>
      <c r="Q109" s="33" t="inlineStr">
        <is>
          <t>Yes</t>
        </is>
      </c>
      <c r="R109" s="39" t="n">
        <v>9</v>
      </c>
      <c r="S109" s="39" t="n"/>
      <c r="T109" s="35" t="inlineStr">
        <is>
          <t>Sep 2026</t>
        </is>
      </c>
      <c r="U109" s="33" t="inlineStr">
        <is>
          <t>Medium</t>
        </is>
      </c>
      <c r="V109" s="33" t="inlineStr">
        <is>
          <t>Dynamic Source Discovery</t>
        </is>
      </c>
      <c r="W109" s="33" t="inlineStr">
        <is>
          <t>EAO-42</t>
        </is>
      </c>
      <c r="X109"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09" s="33" t="inlineStr">
        <is>
          <t>Product &amp; Platform</t>
        </is>
      </c>
      <c r="Z109" s="37" t="n">
        <v>46288</v>
      </c>
    </row>
    <row r="110">
      <c r="A110" s="35" t="n">
        <v>46266</v>
      </c>
      <c r="B110" s="37" t="n">
        <v>46283</v>
      </c>
      <c r="C110" s="33" t="inlineStr">
        <is>
          <t>Merger &amp; Acquisition</t>
        </is>
      </c>
      <c r="D110" s="33" t="inlineStr">
        <is>
          <t>Eaton</t>
        </is>
      </c>
      <c r="E110" s="39" t="n">
        <v>1</v>
      </c>
      <c r="F110" s="33" t="inlineStr">
        <is>
          <t>Clarification on Impact Confirmation Requests for Supplier Acquisitions (Eaton)</t>
        </is>
      </c>
      <c r="G110" s="33" t="inlineStr">
        <is>
          <t>Inquiry</t>
        </is>
      </c>
      <c r="H110" s="33" t="inlineStr">
        <is>
          <t>Monitoring Strategy RFI</t>
        </is>
      </c>
      <c r="I110" s="33" t="inlineStr">
        <is>
          <t>Process</t>
        </is>
      </c>
      <c r="J110" s="33" t="inlineStr">
        <is>
          <t>Process Clarification</t>
        </is>
      </c>
      <c r="K110" s="33" t="inlineStr">
        <is>
          <t>Improvement</t>
        </is>
      </c>
      <c r="L110" s="33" t="inlineStr">
        <is>
          <t>Clarification Provided</t>
        </is>
      </c>
      <c r="M110" s="33" t="inlineStr">
        <is>
          <t>Publish the M&amp;A impact-confirmation trigger criteria in-product, so the rationale for an acquiring-side outreach is visible on the request itself instead of being explained per account after the fact</t>
        </is>
      </c>
      <c r="N110" s="33" t="inlineStr">
        <is>
          <t>No</t>
        </is>
      </c>
      <c r="O110"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0" s="33" t="n"/>
      <c r="Q110" s="33" t="inlineStr">
        <is>
          <t>No</t>
        </is>
      </c>
      <c r="R110" s="39" t="n">
        <v>9</v>
      </c>
      <c r="S110" s="39" t="n"/>
      <c r="T110" s="35" t="inlineStr">
        <is>
          <t>Sep 2026</t>
        </is>
      </c>
      <c r="U110" s="33" t="inlineStr">
        <is>
          <t>Low</t>
        </is>
      </c>
      <c r="V110" s="33" t="inlineStr">
        <is>
          <t>WarRoom &amp; Decision Validation</t>
        </is>
      </c>
      <c r="W110" s="33" t="inlineStr">
        <is>
          <t>EAO-43</t>
        </is>
      </c>
      <c r="X110"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0" s="33" t="inlineStr">
        <is>
          <t>EventWatch Ops - Nitin Rindhe</t>
        </is>
      </c>
      <c r="Z110" s="37" t="n"/>
    </row>
    <row r="111">
      <c r="A111" s="35" t="n">
        <v>46266</v>
      </c>
      <c r="B111" s="37" t="n">
        <v>46289</v>
      </c>
      <c r="C111" s="33" t="inlineStr">
        <is>
          <t>Bankruptcy</t>
        </is>
      </c>
      <c r="D111" s="33" t="inlineStr">
        <is>
          <t>Eaton</t>
        </is>
      </c>
      <c r="E111" s="39" t="n">
        <v>1</v>
      </c>
      <c r="F111" s="33" t="inlineStr">
        <is>
          <t>UPG Enterprises Chapter 11 Mapped to Mapes &amp; Sprowl - Mapping and Severity Queried (Eaton)</t>
        </is>
      </c>
      <c r="G111" s="33" t="inlineStr">
        <is>
          <t>Inquiry</t>
        </is>
      </c>
      <c r="H111" s="33" t="inlineStr">
        <is>
          <t>Wrong Relevancy</t>
        </is>
      </c>
      <c r="I111" s="33" t="inlineStr">
        <is>
          <t>Product</t>
        </is>
      </c>
      <c r="J111" s="33" t="inlineStr">
        <is>
          <t>Mapping</t>
        </is>
      </c>
      <c r="K111" s="33" t="inlineStr">
        <is>
          <t>Improvement</t>
        </is>
      </c>
      <c r="L111" s="33" t="inlineStr">
        <is>
          <t>Clarification Provided</t>
        </is>
      </c>
      <c r="M111" s="33" t="inlineStr">
        <is>
          <t>Scope check on parent-subsidiary linkage for insolvency filings, so a WarRoom is not raised against a subsidiary the filing text explicitly excludes, plus a recorded basis for the severity grade</t>
        </is>
      </c>
      <c r="N111" s="33" t="inlineStr">
        <is>
          <t>No</t>
        </is>
      </c>
      <c r="O111" s="33" t="inlineStr">
        <is>
          <t>EAO-44: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Logged as an Inquiry and marked Clarification Provided on review; the explanation was given outside the ticket, which still shows Open in Jira with no comments.</t>
        </is>
      </c>
      <c r="P111" s="33" t="n"/>
      <c r="Q111" s="33" t="inlineStr">
        <is>
          <t>No</t>
        </is>
      </c>
      <c r="R111" s="39" t="n">
        <v>9</v>
      </c>
      <c r="S111" s="39" t="n"/>
      <c r="T111" s="35" t="inlineStr">
        <is>
          <t>Sep 2026</t>
        </is>
      </c>
      <c r="U111" s="33" t="inlineStr">
        <is>
          <t>Medium</t>
        </is>
      </c>
      <c r="V111" s="33" t="inlineStr">
        <is>
          <t>Entity &amp; Supplier Resolution</t>
        </is>
      </c>
      <c r="W111" s="33" t="inlineStr">
        <is>
          <t>EAO-44</t>
        </is>
      </c>
      <c r="X111" s="33" t="n"/>
      <c r="Y111" s="33" t="inlineStr">
        <is>
          <t>Product &amp; Platform</t>
        </is>
      </c>
      <c r="Z111" s="37" t="n"/>
    </row>
    <row r="112">
      <c r="A112" s="35" t="n">
        <v>46266</v>
      </c>
      <c r="B112" s="37" t="n">
        <v>46289</v>
      </c>
      <c r="C112" s="33" t="inlineStr">
        <is>
          <t>Factory Fire</t>
        </is>
      </c>
      <c r="D112" s="33" t="inlineStr">
        <is>
          <t>Ford</t>
        </is>
      </c>
      <c r="E112" s="39" t="n">
        <v>1</v>
      </c>
      <c r="F112" s="33" t="inlineStr">
        <is>
          <t>Purflux Group Filter Systems Maroc Facility Fire - 10-11 Day Alert Delay (Ford)</t>
        </is>
      </c>
      <c r="G112" s="33" t="inlineStr">
        <is>
          <t>Inquiry</t>
        </is>
      </c>
      <c r="H112" s="33" t="inlineStr">
        <is>
          <t>Delayed Event</t>
        </is>
      </c>
      <c r="I112" s="33" t="inlineStr">
        <is>
          <t>Product</t>
        </is>
      </c>
      <c r="J112" s="33" t="inlineStr">
        <is>
          <t>Captured Late</t>
        </is>
      </c>
      <c r="K112" s="33" t="inlineStr">
        <is>
          <t>Improvement</t>
        </is>
      </c>
      <c r="L112" s="33" t="inlineStr">
        <is>
          <t>Pending</t>
        </is>
      </c>
      <c r="M112" s="33" t="inlineStr">
        <is>
          <t>Latency monitoring on the gap between an incident's first public report and EventWatch publication, so a multi-day lag on a Tier-1 manufacturing site raises an internal alarm instead of waiting for the customer to notice</t>
        </is>
      </c>
      <c r="N112" s="33" t="inlineStr">
        <is>
          <t>Yes</t>
        </is>
      </c>
      <c r="O112"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Logged as an Inquiry on review. EventWatch review established that no article carrying the company name was captured on the portal on 11-Sep-2026; the rest of the delay is still under investigation.</t>
        </is>
      </c>
      <c r="P112" s="33" t="inlineStr">
        <is>
          <t>~10-11 days (event 11/12-Sep-2026 -&gt; published 22-Sep-2026)</t>
        </is>
      </c>
      <c r="Q112" s="33" t="inlineStr">
        <is>
          <t>Yes</t>
        </is>
      </c>
      <c r="R112" s="39" t="n">
        <v>9</v>
      </c>
      <c r="S112" s="39" t="n">
        <v>252</v>
      </c>
      <c r="T112" s="35" t="inlineStr">
        <is>
          <t>Sep 2026</t>
        </is>
      </c>
      <c r="U112" s="33" t="inlineStr">
        <is>
          <t>High</t>
        </is>
      </c>
      <c r="V112" s="33" t="inlineStr">
        <is>
          <t>Dynamic Source Discovery</t>
        </is>
      </c>
      <c r="W112" s="33" t="inlineStr">
        <is>
          <t>EAO-45</t>
        </is>
      </c>
      <c r="X112"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2" s="33" t="inlineStr">
        <is>
          <t>Product &amp; Platform</t>
        </is>
      </c>
      <c r="Z112"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31</v>
      </c>
      <c r="C67" s="23" t="n" cm="1">
        <f t="array" ref="C67:C76">_xlfn.ANCHORARRAY(B67)/COUNTIF(ComplaintTracker[Issue Type],"Complaint")</f>
        <v>0.34444444444444444</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11</v>
      </c>
      <c r="K67" s="75" t="n">
        <v>2</v>
      </c>
      <c r="L67" s="75" t="n">
        <v>13</v>
      </c>
    </row>
    <row r="68" ht="23.25" customHeight="1">
      <c r="A68" s="20" t="inlineStr">
        <is>
          <t>Eaton</t>
        </is>
      </c>
      <c r="B68" s="22" t="n">
        <v>12</v>
      </c>
      <c r="C68" s="24" t="n">
        <v>0.13333333333333333</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0.07777777777777778</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0.044444444444444446</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1</v>
      </c>
      <c r="L70" s="76" t="n">
        <v>14</v>
      </c>
    </row>
    <row r="71" ht="23.25" customHeight="1">
      <c r="A71" s="20" t="inlineStr">
        <is>
          <t>GM</t>
        </is>
      </c>
      <c r="B71" s="22" t="n">
        <v>4</v>
      </c>
      <c r="C71" s="24" t="n">
        <v>0.044444444444444446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2</v>
      </c>
      <c r="K71" s="76" t="n">
        <v>1</v>
      </c>
      <c r="L71" s="76" t="n">
        <v>3</v>
      </c>
    </row>
    <row r="72" ht="18" customHeight="1">
      <c r="A72" s="20" t="inlineStr">
        <is>
          <t>Ford/GM</t>
        </is>
      </c>
      <c r="B72" s="22" t="n">
        <v>3</v>
      </c>
      <c r="C72" s="24" t="n">
        <v>0.03333333333333333</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Hitachi</t>
        </is>
      </c>
      <c r="B73" s="22" t="n">
        <v>2</v>
      </c>
      <c r="C73" s="24" t="n">
        <v>0.022222222222222223</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Merck</t>
        </is>
      </c>
      <c r="B74" s="22" t="n">
        <v>2</v>
      </c>
      <c r="C74" s="24" t="n">
        <v>0.022222222222222223</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Schneider Electric</t>
        </is>
      </c>
      <c r="B75" s="22" t="n">
        <v>2</v>
      </c>
      <c r="C75" s="24" t="n">
        <v>0.022222222222222223</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12</v>
      </c>
      <c r="K75" s="76" t="n">
        <v>4</v>
      </c>
      <c r="L75" s="76" t="n">
        <v>16</v>
      </c>
    </row>
    <row r="76" ht="23.25" customHeight="1">
      <c r="A76" s="20" t="inlineStr">
        <is>
          <t>UVM Health Network</t>
        </is>
      </c>
      <c r="B76" s="22" t="n">
        <v>2</v>
      </c>
      <c r="C76" s="24" t="n">
        <v>0.022222222222222223</v>
      </c>
      <c r="D76" s="3" t="n"/>
      <c r="E76" s="25" t="inlineStr">
        <is>
          <t>Total</t>
        </is>
      </c>
      <c r="F76" s="26">
        <f>SUM(F67:F75)</f>
        <v/>
      </c>
      <c r="G76" s="27">
        <f>SUM(G67:G75)</f>
        <v/>
      </c>
      <c r="H76" s="3" t="n"/>
      <c r="I76" s="20" t="inlineStr">
        <is>
          <t>Financial Distress</t>
        </is>
      </c>
      <c r="J76" s="76" t="n">
        <v>1</v>
      </c>
      <c r="K76" s="76" t="n">
        <v>0</v>
      </c>
      <c r="L76" s="76" t="n">
        <v>1</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6</v>
      </c>
      <c r="K77" s="76" t="n">
        <v>1</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Litigation/Legal</t>
        </is>
      </c>
      <c r="J81" s="76" t="n">
        <v>1</v>
      </c>
      <c r="K81" s="76" t="n">
        <v>0</v>
      </c>
      <c r="L81" s="76" t="n">
        <v>1</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Power Outage</t>
        </is>
      </c>
      <c r="J84" s="76" t="n">
        <v>1</v>
      </c>
      <c r="K84" s="76" t="n">
        <v>1</v>
      </c>
      <c r="L84" s="76" t="n">
        <v>2</v>
      </c>
    </row>
    <row r="85" ht="23.25" customHeight="1">
      <c r="A85" s="3" t="n"/>
      <c r="B85" s="3" t="n"/>
      <c r="C85" s="3" t="n"/>
      <c r="D85" s="3" t="n"/>
      <c r="E85" s="3" t="n"/>
      <c r="F85" s="3" t="n"/>
      <c r="G85" s="3" t="n"/>
      <c r="H85" s="3" t="n"/>
      <c r="I85" s="20" t="inlineStr">
        <is>
          <t>Protest/Riot</t>
        </is>
      </c>
      <c r="J85" s="76" t="n">
        <v>5</v>
      </c>
      <c r="K85" s="76" t="n">
        <v>0</v>
      </c>
      <c r="L85" s="76" t="n">
        <v>5</v>
      </c>
    </row>
    <row r="86" ht="23.25" customHeight="1">
      <c r="A86" s="3" t="n"/>
      <c r="B86" s="3" t="n"/>
      <c r="C86" s="3" t="n"/>
      <c r="D86" s="3" t="n"/>
      <c r="E86" s="3" t="n"/>
      <c r="F86" s="3" t="n"/>
      <c r="G86" s="3" t="n"/>
      <c r="H86" s="3" t="n"/>
      <c r="I86" s="20" t="inlineStr">
        <is>
          <t>Regulatory Change</t>
        </is>
      </c>
      <c r="J86" s="76" t="n">
        <v>6</v>
      </c>
      <c r="K86" s="76" t="n">
        <v>0</v>
      </c>
      <c r="L86" s="76" t="n">
        <v>6</v>
      </c>
    </row>
    <row r="87" ht="18" customHeight="1">
      <c r="A87" s="3" t="n"/>
      <c r="B87" s="3" t="n"/>
      <c r="C87" s="3" t="n"/>
      <c r="D87" s="3" t="n"/>
      <c r="E87" s="3" t="n"/>
      <c r="F87" s="3" t="n"/>
      <c r="G87" s="3" t="n"/>
      <c r="H87" s="3" t="n"/>
      <c r="I87" s="20" t="inlineStr">
        <is>
          <t>Supply Shortage</t>
        </is>
      </c>
      <c r="J87" s="76" t="n">
        <v>4</v>
      </c>
      <c r="K87" s="76" t="n">
        <v>4</v>
      </c>
      <c r="L87" s="76" t="n">
        <v>8</v>
      </c>
      <c r="M87" s="3" t="n"/>
      <c r="N87" s="3" t="n"/>
      <c r="O87" s="3" t="n"/>
      <c r="P87" s="3" t="n"/>
      <c r="Q87" s="3" t="n"/>
      <c r="R87" s="3" t="n"/>
    </row>
    <row r="88" ht="18" customHeight="1">
      <c r="A88" s="3" t="n"/>
      <c r="B88" s="3" t="n"/>
      <c r="C88" s="3" t="n"/>
      <c r="D88" s="3" t="n"/>
      <c r="E88" s="3" t="n"/>
      <c r="F88" s="3" t="n"/>
      <c r="G88" s="3" t="n"/>
      <c r="H88" s="3" t="n"/>
      <c r="I88" s="20" t="inlineStr">
        <is>
          <t>Tornado</t>
        </is>
      </c>
      <c r="J88" s="76" t="n">
        <v>3</v>
      </c>
      <c r="K88" s="76" t="n">
        <v>0</v>
      </c>
      <c r="L88" s="76" t="n">
        <v>3</v>
      </c>
      <c r="M88" s="3" t="n"/>
      <c r="N88" s="3" t="n"/>
      <c r="O88" s="3" t="n"/>
      <c r="P88" s="3" t="n"/>
      <c r="Q88" s="3" t="n"/>
      <c r="R88" s="3" t="n"/>
    </row>
    <row r="89" ht="18" customHeight="1">
      <c r="A89" s="3" t="n"/>
      <c r="B89" s="3" t="n"/>
      <c r="C89" s="3" t="n"/>
      <c r="D89" s="3" t="n"/>
      <c r="E89" s="3" t="n"/>
      <c r="F89" s="3" t="n"/>
      <c r="G89" s="3" t="n"/>
      <c r="H89" s="3" t="n"/>
      <c r="I89" s="20" t="inlineStr">
        <is>
          <t>Transport Disruption</t>
        </is>
      </c>
      <c r="J89" s="76" t="n">
        <v>1</v>
      </c>
      <c r="K89" s="76" t="n">
        <v>1</v>
      </c>
      <c r="L89" s="76" t="n">
        <v>2</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90</v>
      </c>
      <c r="K91" s="77" t="n">
        <v>21</v>
      </c>
      <c r="L91" s="77" t="n">
        <v>111</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1"/>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Litigation/Legal</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