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14</v>
                </pt>
                <pt idx="8">
                  <v>14</v>
                </pt>
                <pt idx="9">
                  <v>4</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39</v>
                </pt>
                <pt idx="2">
                  <v>14</v>
                </pt>
                <pt idx="3">
                  <v>2</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106</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59</v>
                </pt>
                <pt idx="1">
                  <v>40</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General Mills</v>
                </pt>
                <pt idx="7">
                  <v>META</v>
                </pt>
                <pt idx="8">
                  <v>Merck</v>
                </pt>
                <pt idx="9">
                  <v>Schneider Electric</v>
                </pt>
                <pt idx="10">
                  <v>Other customers</v>
                </pt>
              </strCache>
            </strRef>
          </cat>
          <val>
            <numRef>
              <f>Dashboard!$B$67:$B$77</f>
              <numCache>
                <formatCode>General</formatCode>
                <ptCount val="11"/>
                <pt idx="0">
                  <v>35</v>
                </pt>
                <pt idx="1">
                  <v>13</v>
                </pt>
                <pt idx="2">
                  <v>7</v>
                </pt>
                <pt idx="3">
                  <v>5</v>
                </pt>
                <pt idx="4">
                  <v>4</v>
                </pt>
                <pt idx="5">
                  <v>3</v>
                </pt>
                <pt idx="6">
                  <v>2</v>
                </pt>
                <pt idx="7">
                  <v>2</v>
                </pt>
                <pt idx="8">
                  <v>2</v>
                </pt>
                <pt idx="9">
                  <v>2</v>
                </pt>
                <pt idx="10">
                  <v>25</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32</v>
                </pt>
                <pt idx="1">
                  <v>32</v>
                </pt>
                <pt idx="2">
                  <v>5</v>
                </pt>
                <pt idx="3">
                  <v>5</v>
                </pt>
                <pt idx="4">
                  <v>9</v>
                </pt>
                <pt idx="5">
                  <v>3</v>
                </pt>
                <pt idx="6">
                  <v>3</v>
                </pt>
                <pt idx="7">
                  <v>2</v>
                </pt>
                <pt idx="8">
                  <v>8</v>
                </pt>
                <pt idx="9">
                  <v>1</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5"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6"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5"/>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Event Identification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Product</t>
        </is>
      </c>
      <c r="J65" s="33" t="inlineStr">
        <is>
          <t>Event Identification</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RCA approved and sent to the customer on 15-Jun-2026 as a PDF attached to EAO-4; the document text is not in the ticket.</t>
        </is>
      </c>
      <c r="Y65" s="33" t="inlineStr">
        <is>
          <t>Product &amp; Platform</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RCA reviewed and sent to the customer as a PDF attached to EAO-10 (29-Jun-2026); the document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Event Identification</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RCA approved and sent to the customer on 25-Jun-2026 as a PDF attached to EAO-9; the document text is not in the ticket. The WarRoom itself was published before the RCA was issued.</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Model Classification Defect</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rather than an analyst execution error. EventWatch captured multiple public reports of the June 28, 2026 fire at the foam-manufacturing facility in Cuautitlan Izcalli, Mexico. The AI classification models categorized the event as Not Impactful based on the relevance assessment, including the absence of confirmed downstream supply-chain impact in the available reporting. The reporting team reviewed the captured articles through the human-in-the-loop process and concurred with the classification, so the event was not published. The investigation concluded that the weakness was in the relevance-assessment methodology itself. Significant industrial incidents required greater evaluation based on incident severity, manufacturing activity, facility type, industry relevance, and potential downstream impact, even when the available reporting did not yet confirm a direct supply-chain disruption. Resilinc accepted this methodology weakness, issued an ICA on 17-Jul-2026 adding a manual review for major industrial incidents initially classified Not Impactful, and committed to a PCA enhancing the AI relevance-scoring models. An earlier version of this entry listed the company's absence from the supplier database as a ground for the Not Impactful classification. That explanation is superseded. Supplier mapping was not a dominant input to the Event/Non-Event or Impactful/Not-Impactful classification decision.</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RCA approved and sent to the customer on 13-Jul-2026 as a PDF attached to EAO-14; the document text is not in the ticket.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Product</t>
        </is>
      </c>
      <c r="J76" s="33" t="inlineStr">
        <is>
          <t>Mapping / Routing Defect</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6" s="33" t="inlineStr">
        <is>
          <t>Product &amp; Platform</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Staged from Jira EAO-16 (Done). 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Staged from Jira EAO-17 (Done). 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RCA reviewed and sent to the customer on 14-Jul-2026 as a PDF attached to EAO-17; the document text is not in the ticket.</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Staged from Jira EAO-18 (Done). 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Staged from Jira EAO-19 (Done). 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Staged from Jira EAO-20 (Done). 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Event Identification</t>
        </is>
      </c>
      <c r="K82" s="33" t="inlineStr">
        <is>
          <t>Improvement</t>
        </is>
      </c>
      <c r="L82" s="33" t="inlineStr">
        <is>
          <t>RCA Shared</t>
        </is>
      </c>
      <c r="M82" s="33" t="inlineStr">
        <is>
          <t>Escalation automation for environmental-hazard advisories</t>
        </is>
      </c>
      <c r="N82" s="33" t="inlineStr">
        <is>
          <t>Yes</t>
        </is>
      </c>
      <c r="O82" s="33" t="inlineStr">
        <is>
          <t>Staged from Jira EAO-21 (Done). Ford reported no EventWatch alert/WarRoom was generated for July 15-17 wildfire smoke air-quality degradation across the US Midwest/Northeast; CS confirmed no matching notification was found.</t>
        </is>
      </c>
      <c r="Q82" s="33" t="inlineStr">
        <is>
          <t>Yes</t>
        </is>
      </c>
      <c r="R82" s="39" t="n">
        <v>7</v>
      </c>
      <c r="T82" s="35" t="n">
        <v>46204</v>
      </c>
      <c r="U82" s="33" t="inlineStr">
        <is>
          <t>Medium</t>
        </is>
      </c>
      <c r="V82" s="33" t="inlineStr">
        <is>
          <t>WarRoom &amp; Decision Validation</t>
        </is>
      </c>
      <c r="W82" s="33" t="inlineStr">
        <is>
          <t>EAO-21</t>
        </is>
      </c>
      <c r="X82" s="33" t="inlineStr">
        <is>
          <t>RCA approved and sent to the customer on 21-Jul-2026 as a PDF attached to EAO-21; the document text is not in the ticket.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Staged from Jira EAO-22 (Done). 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RCA approved and sent to the customer on 05-Aug-2026 as a PDF attached to EAO-23; the document text is not in the ticket.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RCA reviewed and sent to the customer on 20-Aug-2026 as a PDF attached to EAO-27; the document text is not in the ticket. Closed 25-Aug-2026 after no customer follow-up.</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Staged from Jira EAO-28 (Done). 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Source Coverage</t>
        </is>
      </c>
      <c r="K92" s="33" t="inlineStr">
        <is>
          <t>Improvement</t>
        </is>
      </c>
      <c r="L92" s="33" t="inlineStr">
        <is>
          <t>RCA Shared</t>
        </is>
      </c>
      <c r="M92" s="33" t="inlineStr">
        <is>
          <t>Dynamic Source Discovery</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Dynamic Source Discovery</t>
        </is>
      </c>
      <c r="W92" s="33" t="inlineStr">
        <is>
          <t>EAO-26</t>
        </is>
      </c>
      <c r="X92" s="33" t="inlineStr">
        <is>
          <t>RCA reviewed and sent to the customer on 20-Aug-2026 as a PDF attached to EAO-26; the document text is not in the ticket. Closed 25-Aug-2026 after no customer follow-up.</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This is a publishing-quality complaint, not a missed bulletin, so Missed_Flag is No.</t>
        </is>
      </c>
      <c r="P97" s="33" t="n"/>
      <c r="Q97" s="33" t="inlineStr">
        <is>
          <t>Yes</t>
        </is>
      </c>
      <c r="R97" s="39" t="n">
        <v>8</v>
      </c>
      <c r="S97" s="39" t="n"/>
      <c r="T97" s="35" t="n">
        <v>46235</v>
      </c>
      <c r="U97" s="33" t="inlineStr">
        <is>
          <t>Medium</t>
        </is>
      </c>
      <c r="V97" s="33" t="inlineStr">
        <is>
          <t>Notification Visibility Monitoring</t>
        </is>
      </c>
      <c r="W97" s="33" t="inlineStr">
        <is>
          <t>TS-22695</t>
        </is>
      </c>
      <c r="X97" s="33" t="n"/>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Staged from Jira EAO-32 (Open). 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Staged from Jira EAO-33 (In Progress). 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Mapping / Routing Defect</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 Probable geocoding / address-to-coordinate mismatch. The impact polygon and automated selection operated on the coordinates available in the system. Detailed validation of the coordinate source and assignment process was referred to the Data team.</t>
        </is>
      </c>
      <c r="P104" s="33" t="n"/>
      <c r="Q104" s="33" t="inlineStr">
        <is>
          <t>No</t>
        </is>
      </c>
      <c r="R104" s="39" t="n">
        <v>9</v>
      </c>
      <c r="S104" s="39" t="n"/>
      <c r="T104" s="35" t="inlineStr">
        <is>
          <t>Sep 2026</t>
        </is>
      </c>
      <c r="U104" s="33" t="inlineStr">
        <is>
          <t>Medium</t>
        </is>
      </c>
      <c r="V104" s="33" t="inlineStr">
        <is>
          <t>AI-Assisted Geofencing</t>
        </is>
      </c>
      <c r="W104" s="33" t="inlineStr">
        <is>
          <t>EAO-35/EAO-36</t>
        </is>
      </c>
      <c r="X104"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4" s="33" t="inlineStr">
        <is>
          <t>Product &amp; Platform</t>
        </is>
      </c>
      <c r="Z104" s="37" t="n"/>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9" s="33" t="inlineStr">
        <is>
          <t>Product &amp; Platform</t>
        </is>
      </c>
      <c r="Z109" s="37" t="n"/>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RCA reviewed internally on 05-Oct-2026 and shared with the customer as a PDF attached to EAO-48; the document text is not in the ticket. Closed 07-Oct-2026 with no follow-up received.</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Pending</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that the keyword is being added, so the Sub-type is no longer a staging guess; the ticket is still open with PM and the geofencing and WarRoom questions have not been answered separately. Under investigation: no agreed RCA yet.</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The keyword is being added. Not a source-coverage gap - the row was staged as one before the investigation reported, and is corrected here.</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Keyword Update</t>
        </is>
      </c>
      <c r="K125" s="33" t="inlineStr">
        <is>
          <t>Improvement</t>
        </is>
      </c>
      <c r="L125" s="33" t="inlineStr">
        <is>
          <t>Pending</t>
        </is>
      </c>
      <c r="M125" s="33" t="inlineStr">
        <is>
          <t>Keyword coverage for bankruptcy, insolvency and fraud proceedings in Türkiye's automotive manufacturing cluster, so a filing at a sub-tier supplier is matched when it is published rather than when the customer raises it</t>
        </is>
      </c>
      <c r="N125" s="33" t="inlineStr">
        <is>
          <t>Yes</t>
        </is>
      </c>
      <c r="O125"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only cited source is a Turkish-language report of alleged billion-lira fraud in the Bursa automotive sector, offered as customer evidence rather than verified fact. The ticket asks for an RCA plus interim and permanent corrective actions. Under investigation: no RCA yet, and the Sub-type is a staging guess - source coverage and a keyword gap are both open, as EAO-52 has just shown.</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n"/>
      <c r="Y125" s="33" t="inlineStr">
        <is>
          <t>Product &amp; Platform</t>
        </is>
      </c>
      <c r="Z125"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0.35</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GM</t>
        </is>
      </c>
      <c r="B71" s="22" t="n">
        <v>4</v>
      </c>
      <c r="C71" s="24" t="n">
        <v>0.04</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General Mills</t>
        </is>
      </c>
      <c r="B73" s="22" t="n">
        <v>2</v>
      </c>
      <c r="C73" s="24" t="n">
        <v>0.02</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META</t>
        </is>
      </c>
      <c r="B74" s="22" t="n">
        <v>2</v>
      </c>
      <c r="C74" s="24" t="n">
        <v>0.02</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Merck</t>
        </is>
      </c>
      <c r="B75" s="22" t="n">
        <v>2</v>
      </c>
      <c r="C75" s="24" t="n">
        <v>0.02</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Schneider Electric</t>
        </is>
      </c>
      <c r="B76" s="22" t="n">
        <v>2</v>
      </c>
      <c r="C76" s="24" t="n">
        <v>0.02</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3</v>
      </c>
      <c r="K83" s="76" t="n">
        <v>2</v>
      </c>
      <c r="L83" s="76" t="n">
        <v>5</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5</v>
      </c>
      <c r="K90" s="76" t="n">
        <v>3</v>
      </c>
      <c r="L90" s="76" t="n">
        <v>8</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100</v>
      </c>
      <c r="K93" s="77" t="n">
        <v>24</v>
      </c>
      <c r="L93" s="77" t="n">
        <v>124</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6"/>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coordinates,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geocoding and address-to-coordinate mismatches, cross-tenant leakage and entity mislinkage. Use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