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9</v>
                </pt>
                <pt idx="2">
                  <v>13</v>
                </pt>
                <pt idx="3">
                  <v>12</v>
                </pt>
                <pt idx="4">
                  <v>17</v>
                </pt>
                <pt idx="5">
                  <v>9</v>
                </pt>
                <pt idx="6">
                  <v>7</v>
                </pt>
                <pt idx="7">
                  <v>15</v>
                </pt>
                <pt idx="8">
                  <v>4</v>
                </pt>
                <pt idx="9">
                  <v>0</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0</v>
                </pt>
                <pt idx="2">
                  <v>1</v>
                </pt>
                <pt idx="3">
                  <v>1</v>
                </pt>
                <pt idx="4">
                  <v>1</v>
                </pt>
                <pt idx="5">
                  <v>3</v>
                </pt>
                <pt idx="6">
                  <v>4</v>
                </pt>
                <pt idx="7">
                  <v>2</v>
                </pt>
                <pt idx="8">
                  <v>1</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21</v>
                </pt>
                <pt idx="2">
                  <v>17</v>
                </pt>
                <pt idx="3">
                  <v>7</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2</v>
                </pt>
                <pt idx="2">
                  <v>91</v>
                </pt>
                <pt idx="3">
                  <v>10</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51</v>
                </pt>
                <pt idx="1">
                  <v>32</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Hitachi</v>
                </pt>
                <pt idx="7">
                  <v>Merck</v>
                </pt>
                <pt idx="8">
                  <v>Schneider Electric</v>
                </pt>
                <pt idx="9">
                  <v>UVM Health Network</v>
                </pt>
                <pt idx="10">
                  <v>Other customers</v>
                </pt>
              </strCache>
            </strRef>
          </cat>
          <val>
            <numRef>
              <f>Dashboard!$B$67:$B$77</f>
              <numCache>
                <formatCode>General</formatCode>
                <ptCount val="11"/>
                <pt idx="0">
                  <v>32</v>
                </pt>
                <pt idx="1">
                  <v>12</v>
                </pt>
                <pt idx="2">
                  <v>7</v>
                </pt>
                <pt idx="3">
                  <v>4</v>
                </pt>
                <pt idx="4">
                  <v>4</v>
                </pt>
                <pt idx="5">
                  <v>3</v>
                </pt>
                <pt idx="6">
                  <v>2</v>
                </pt>
                <pt idx="7">
                  <v>2</v>
                </pt>
                <pt idx="8">
                  <v>2</v>
                </pt>
                <pt idx="9">
                  <v>2</v>
                </pt>
                <pt idx="10">
                  <v>20</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26</v>
                </pt>
                <pt idx="1">
                  <v>31</v>
                </pt>
                <pt idx="2">
                  <v>3</v>
                </pt>
                <pt idx="3">
                  <v>7</v>
                </pt>
                <pt idx="4">
                  <v>7</v>
                </pt>
                <pt idx="5">
                  <v>5</v>
                </pt>
                <pt idx="6">
                  <v>2</v>
                </pt>
                <pt idx="7">
                  <v>2</v>
                </pt>
                <pt idx="8">
                  <v>7</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Y104" headerRowCount="1" totalsRowShown="0" headerRowDxfId="30" dataDxfId="29">
  <autoFilter ref="A1:Y104"/>
  <tableColumns count="25">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0"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Y104"/>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Dynamic Source Discovery</t>
        </is>
      </c>
      <c r="X2" s="33" t="n"/>
      <c r="Y2" s="33" t="inlineStr">
        <is>
          <t>Product &amp; Platform</t>
        </is>
      </c>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n"/>
      <c r="Y7" s="33" t="inlineStr">
        <is>
          <t>Product &amp; Platform</t>
        </is>
      </c>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Complaint</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n"/>
      <c r="Y14" s="33" t="inlineStr">
        <is>
          <t>Product &amp; Platform</t>
        </is>
      </c>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Inquiry</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Improvement</t>
        </is>
      </c>
      <c r="L22" s="33" t="inlineStr">
        <is>
          <t>Fixed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n"/>
      <c r="Y22" s="33" t="inlineStr">
        <is>
          <t>Product &amp; Platform</t>
        </is>
      </c>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People</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Dynamic Source Discovery</t>
        </is>
      </c>
      <c r="X24" s="33" t="n"/>
      <c r="Y24" s="33" t="inlineStr">
        <is>
          <t>EventWatch Ops - Nitin Rindhe</t>
        </is>
      </c>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n"/>
      <c r="Y27" s="33" t="inlineStr">
        <is>
          <t>Product &amp; Platform</t>
        </is>
      </c>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Source coverage expansion</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Dynamic Source Discovery</t>
        </is>
      </c>
      <c r="X29" s="33" t="n"/>
      <c r="Y29" s="33" t="inlineStr">
        <is>
          <t>EventWatch Ops - Nitin Rindhe</t>
        </is>
      </c>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Pending</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n"/>
      <c r="Y31" s="33" t="inlineStr">
        <is>
          <t>Product &amp; Platform</t>
        </is>
      </c>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Event Identification</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Event Identification</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Event Identification</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row>
    <row r="38">
      <c r="A38" s="35" t="n">
        <v>46113</v>
      </c>
      <c r="B38" s="37" t="n">
        <v>46141</v>
      </c>
      <c r="C38" s="33" t="inlineStr">
        <is>
          <t>Earthquake</t>
        </is>
      </c>
      <c r="D38" s="33" t="inlineStr">
        <is>
          <t>Hitachi</t>
        </is>
      </c>
      <c r="E38" s="39" t="n">
        <v>1</v>
      </c>
      <c r="F38" s="33" t="inlineStr">
        <is>
          <t>HITACHI: Missing WarRoom Event for Japan Earthquake</t>
        </is>
      </c>
      <c r="G38" s="33" t="inlineStr">
        <is>
          <t>Complaint</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Event Identification</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Event Identification</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row>
    <row r="41">
      <c r="A41" s="35" t="n">
        <v>46113</v>
      </c>
      <c r="B41" s="37" t="n">
        <v>46142</v>
      </c>
      <c r="C41" s="33" t="inlineStr">
        <is>
          <t>Extreme Weather</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row>
    <row r="42">
      <c r="A42" s="35" t="n">
        <v>46143</v>
      </c>
      <c r="B42" s="37" t="n">
        <v>46143</v>
      </c>
      <c r="C42" s="33" t="inlineStr">
        <is>
          <t>Extreme Weather</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Event Identification</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Coverage Verification Request</t>
        </is>
      </c>
      <c r="I48" s="33" t="inlineStr">
        <is>
          <t>Process</t>
        </is>
      </c>
      <c r="J48" s="33" t="inlineStr">
        <is>
          <t>Process Clarification</t>
        </is>
      </c>
      <c r="K48" s="33" t="inlineStr">
        <is>
          <t>Improvement</t>
        </is>
      </c>
      <c r="L48" s="33" t="inlineStr">
        <is>
          <t>Clarification Provided</t>
        </is>
      </c>
      <c r="M48" s="33" t="inlineStr">
        <is>
          <t>Relevancy logic review</t>
        </is>
      </c>
      <c r="N48" s="33" t="inlineStr">
        <is>
          <t>Yes</t>
        </is>
      </c>
      <c r="O48" s="33" t="inlineStr">
        <is>
          <t>Customer asked RCA for Axios npm compromise; classified not relevant based on mapping + no operational disruption.</t>
        </is>
      </c>
      <c r="P48" s="33" t="n"/>
      <c r="Q48" s="33" t="inlineStr">
        <is>
          <t>No</t>
        </is>
      </c>
      <c r="R48" s="39" t="n">
        <v>5</v>
      </c>
      <c r="S48" s="39" t="n"/>
      <c r="T48" s="35" t="n">
        <v>46143</v>
      </c>
      <c r="U48" s="33" t="inlineStr">
        <is>
          <t>Medium</t>
        </is>
      </c>
      <c r="V48" s="33" t="inlineStr">
        <is>
          <t>Other Control Automation</t>
        </is>
      </c>
      <c r="X48" s="33" t="n"/>
      <c r="Y48" s="33" t="inlineStr">
        <is>
          <t>EventWatch Ops - Nitin Rindhe</t>
        </is>
      </c>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Process Clarification</t>
        </is>
      </c>
      <c r="K52" s="33" t="inlineStr">
        <is>
          <t>Improvement</t>
        </is>
      </c>
      <c r="L52" s="33" t="inlineStr">
        <is>
          <t>Clarification Provided</t>
        </is>
      </c>
      <c r="M52" s="33" t="inlineStr">
        <is>
          <t>Mapping validation</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Entity &amp; Supplier Resolution</t>
        </is>
      </c>
      <c r="X52" s="33" t="n"/>
      <c r="Y52" s="33" t="inlineStr">
        <is>
          <t>Product &amp; Platform</t>
        </is>
      </c>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n"/>
      <c r="Y63" s="33" t="inlineStr">
        <is>
          <t>Product &amp; Platform</t>
        </is>
      </c>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n"/>
      <c r="Y65" s="33" t="inlineStr">
        <is>
          <t>EventWatch Ops - Nitin Rindhe</t>
        </is>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n"/>
      <c r="Y67" s="33" t="inlineStr">
        <is>
          <t>EventWatch Ops - Nitin Rindhe</t>
        </is>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AI-Assisted Geofencing</t>
        </is>
      </c>
      <c r="W70" s="33" t="inlineStr">
        <is>
          <t>EAO-5</t>
        </is>
      </c>
      <c r="X70" s="33" t="n"/>
      <c r="Y70" s="33" t="inlineStr">
        <is>
          <t>EventWatch Ops - Nitin Rindhe</t>
        </is>
      </c>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n"/>
      <c r="Y71" s="33" t="inlineStr">
        <is>
          <t>EventWatch Ops - Nitin Rindhe</t>
        </is>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Event Identification</t>
        </is>
      </c>
      <c r="K72" s="33" t="inlineStr">
        <is>
          <t>Improvement</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Dynamic Source Discovery</t>
        </is>
      </c>
      <c r="W72" s="33" t="inlineStr">
        <is>
          <t>EAO-12</t>
        </is>
      </c>
      <c r="X72" s="33" t="inlineStr">
        <is>
          <t>Feeds covering the BorgWarner Vigo indefinite strike were in the public domain from 26-Jun-2026 but were not captured on the portal until 1 July; Engineering was asked to investigate why the 26-27 June sources were missed. RCA approved and shared 09-Jul-2026.</t>
        </is>
      </c>
      <c r="Y72" s="33" t="inlineStr">
        <is>
          <t>Product &amp; Platform</t>
        </is>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People</t>
        </is>
      </c>
      <c r="J73" s="33" t="inlineStr">
        <is>
          <t>Event Identification</t>
        </is>
      </c>
      <c r="K73" s="33" t="inlineStr">
        <is>
          <t>Improvement</t>
        </is>
      </c>
      <c r="L73" s="33" t="inlineStr">
        <is>
          <t>Clarification Provided</t>
        </is>
      </c>
      <c r="M73" s="33" t="inlineStr">
        <is>
          <t>Supplier-aware factory fire escalation model + Not Impactful override validation</t>
        </is>
      </c>
      <c r="N73" s="33" t="inlineStr">
        <is>
          <t>Yes</t>
        </is>
      </c>
      <c r="O73" s="33" t="inlineStr">
        <is>
          <t>Customer reported fire at FXI (Tier 2 supplier) causing Force Majeure at Sage Automotive Interiors. No matching EventWatch notification/WarRoom found during investigation.</t>
        </is>
      </c>
      <c r="P73" s="33" t="n"/>
      <c r="Q73" s="33" t="inlineStr">
        <is>
          <t>Yes</t>
        </is>
      </c>
      <c r="R73" s="39" t="n">
        <v>7</v>
      </c>
      <c r="S73" s="39" t="n"/>
      <c r="T73" s="35" t="n">
        <v>46204</v>
      </c>
      <c r="U73" s="33" t="inlineStr">
        <is>
          <t>Medium</t>
        </is>
      </c>
      <c r="V73" s="33" t="inlineStr">
        <is>
          <t>WarRoom &amp; Decision Validation</t>
        </is>
      </c>
      <c r="W73" s="33" t="inlineStr">
        <is>
          <t>EAO-13</t>
        </is>
      </c>
      <c r="X73" s="33" t="n"/>
      <c r="Y73" s="33" t="inlineStr">
        <is>
          <t>EventWatch Ops - Nitin Rindhe</t>
        </is>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Inquiry</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row>
    <row r="76">
      <c r="A76" s="35" t="n">
        <v>46204</v>
      </c>
      <c r="B76" s="37" t="n">
        <v>46213</v>
      </c>
      <c r="C76" s="33" t="inlineStr">
        <is>
          <t>WarRoom Operations</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row>
    <row r="77">
      <c r="A77" s="35" t="n">
        <v>46204</v>
      </c>
      <c r="B77" s="37" t="n">
        <v>46213</v>
      </c>
      <c r="C77" s="33" t="inlineStr">
        <is>
          <t>Litigation/Legal</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n"/>
      <c r="Y78" s="33" t="inlineStr">
        <is>
          <t>EventWatch Ops - Nitin Rindhe</t>
        </is>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Complaint</t>
        </is>
      </c>
      <c r="H82" s="33" t="inlineStr">
        <is>
          <t>Missed Event</t>
        </is>
      </c>
      <c r="I82" s="33" t="inlineStr">
        <is>
          <t>Product</t>
        </is>
      </c>
      <c r="J82" s="33" t="inlineStr">
        <is>
          <t>Source Coverage</t>
        </is>
      </c>
      <c r="K82" s="33" t="inlineStr">
        <is>
          <t>Improvement</t>
        </is>
      </c>
      <c r="L82" s="33" t="inlineStr">
        <is>
          <t>RCA Shared</t>
        </is>
      </c>
      <c r="M82" s="33" t="inlineStr">
        <is>
          <t>Government/public-sector cyberattack source coverage expansion (regional-language sources)</t>
        </is>
      </c>
      <c r="N82" s="33" t="inlineStr">
        <is>
          <t>Yes</t>
        </is>
      </c>
      <c r="O82" s="33" t="inlineStr">
        <is>
          <t>Staged from Jira EAO-22 (Done). Eaton reported the July 14-16 ANCPI (Romania land registry) cyberattack had no corresponding WarRoom or news on the portal; RCA requested if it was in scope.</t>
        </is>
      </c>
      <c r="Q82" s="33" t="inlineStr">
        <is>
          <t>Yes</t>
        </is>
      </c>
      <c r="R82" s="39" t="n">
        <v>7</v>
      </c>
      <c r="T82" s="35" t="n">
        <v>46204</v>
      </c>
      <c r="U82" s="33" t="inlineStr">
        <is>
          <t>Medium</t>
        </is>
      </c>
      <c r="V82" s="33" t="inlineStr">
        <is>
          <t>Dynamic Source Discovery</t>
        </is>
      </c>
      <c r="W82" s="33" t="inlineStr">
        <is>
          <t>EAO-22</t>
        </is>
      </c>
      <c r="X82" s="33" t="n"/>
      <c r="Y82" s="33" t="inlineStr">
        <is>
          <t>Product &amp; Platform</t>
        </is>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Complaint</t>
        </is>
      </c>
      <c r="H83" s="33" t="inlineStr">
        <is>
          <t>Missed Event</t>
        </is>
      </c>
      <c r="I83" s="33" t="inlineStr">
        <is>
          <t>Product</t>
        </is>
      </c>
      <c r="J83" s="33" t="inlineStr">
        <is>
          <t>Source Coverage</t>
        </is>
      </c>
      <c r="K83" s="33" t="inlineStr">
        <is>
          <t>Improvement</t>
        </is>
      </c>
      <c r="L83" s="33" t="inlineStr">
        <is>
          <t>RCA Shared</t>
        </is>
      </c>
      <c r="M83" s="33" t="inlineStr">
        <is>
          <t>Dynamic Source Discovery</t>
        </is>
      </c>
      <c r="N83" s="33" t="inlineStr">
        <is>
          <t>Yes</t>
        </is>
      </c>
      <c r="O83" s="33" t="inlineStr">
        <is>
          <t>EAO-24: No proactive alert was generated for the July 21 fire. Customer requested RCA, ICA, and PCA for the missed coverage. RCA shared.</t>
        </is>
      </c>
      <c r="P83" s="33" t="n"/>
      <c r="Q83" s="33" t="inlineStr">
        <is>
          <t>Yes</t>
        </is>
      </c>
      <c r="R83" s="39" t="n">
        <v>8</v>
      </c>
      <c r="S83" s="39" t="n"/>
      <c r="T83" s="35" t="n">
        <v>46235</v>
      </c>
      <c r="U83" s="33" t="inlineStr">
        <is>
          <t>Medium</t>
        </is>
      </c>
      <c r="V83" s="33" t="inlineStr">
        <is>
          <t>Dynamic Source Discovery</t>
        </is>
      </c>
      <c r="W83" s="33" t="inlineStr">
        <is>
          <t>EAO-24</t>
        </is>
      </c>
      <c r="X83" s="33" t="n"/>
      <c r="Y83" s="33" t="inlineStr">
        <is>
          <t>Product &amp; Platform</t>
        </is>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Pending</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Pending</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n"/>
      <c r="Y86" s="33" t="inlineStr">
        <is>
          <t>Product &amp; Platform</t>
        </is>
      </c>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row>
    <row r="89">
      <c r="A89" s="35" t="n">
        <v>46235</v>
      </c>
      <c r="B89" s="37" t="n">
        <v>46251</v>
      </c>
      <c r="C89" s="33" t="inlineStr">
        <is>
          <t>Transport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Complaint</t>
        </is>
      </c>
      <c r="H91" s="33" t="inlineStr">
        <is>
          <t>Duplicate WarRooms</t>
        </is>
      </c>
      <c r="I91" s="33" t="inlineStr">
        <is>
          <t>Product</t>
        </is>
      </c>
      <c r="J91" s="33" t="inlineStr">
        <is>
          <t>Duplication</t>
        </is>
      </c>
      <c r="K91" s="33" t="inlineStr">
        <is>
          <t>Improvement</t>
        </is>
      </c>
      <c r="L91" s="33" t="inlineStr">
        <is>
          <t>RCA Shared</t>
        </is>
      </c>
      <c r="M91" s="33" t="inlineStr">
        <is>
          <t>Cluster Integrity Validation</t>
        </is>
      </c>
      <c r="N91" s="33" t="inlineStr">
        <is>
          <t>Yes</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Cluster Integrity &amp; Duplicate Prevention</t>
        </is>
      </c>
      <c r="W91" s="33" t="inlineStr">
        <is>
          <t>EAO-29</t>
        </is>
      </c>
      <c r="X91" s="33" t="n"/>
      <c r="Y91" s="33" t="inlineStr">
        <is>
          <t>Product &amp; Platform</t>
        </is>
      </c>
    </row>
    <row r="92">
      <c r="A92" s="35" t="n">
        <v>46235</v>
      </c>
      <c r="B92" s="37" t="n">
        <v>46255</v>
      </c>
      <c r="C92" s="33" t="inlineStr">
        <is>
          <t>Transport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row>
    <row r="99">
      <c r="A99" s="35" t="n">
        <v>46235</v>
      </c>
      <c r="B99" s="37" t="n">
        <v>46265</v>
      </c>
      <c r="C99" s="33" t="inlineStr">
        <is>
          <t>Counterfeit</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Pending</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and the topic is under active monitoring. The record stays open until that monitoring produces something to share.</t>
        </is>
      </c>
      <c r="Y99" s="33" t="inlineStr">
        <is>
          <t>EventWatch Ops - Nitin Rindhe</t>
        </is>
      </c>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Pending</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Pending</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row>
    <row r="102">
      <c r="A102" s="35" t="n">
        <v>46266</v>
      </c>
      <c r="B102" s="37" t="n">
        <v>46272</v>
      </c>
      <c r="C102" s="33" t="inlineStr">
        <is>
          <t>Power Outage</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Pending</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n"/>
      <c r="Y102" s="33" t="inlineStr">
        <is>
          <t>Product &amp; Platform</t>
        </is>
      </c>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Delayed Event</t>
        </is>
      </c>
      <c r="I103" s="33" t="inlineStr">
        <is>
          <t>People</t>
        </is>
      </c>
      <c r="J103" s="33" t="inlineStr">
        <is>
          <t>Captured Late</t>
        </is>
      </c>
      <c r="K103" s="33" t="inlineStr">
        <is>
          <t>Improvement</t>
        </is>
      </c>
      <c r="L103" s="33" t="inlineStr">
        <is>
          <t>Pending</t>
        </is>
      </c>
      <c r="M103" s="33" t="inlineStr">
        <is>
          <t>Timeliness monitoring that flags a region already producing captured stories where a related event has not been published within the reporting window</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inlineStr">
        <is>
          <t>~1 day (customer query 08-Sep-2026 -&gt; EventWatch report 09-Sep-2026)</t>
        </is>
      </c>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3" s="33" t="inlineStr">
        <is>
          <t>EventWatch Ops - Nitin Rindhe</t>
        </is>
      </c>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Pending</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The Supplier Impact Confirmation was issued in line with one of the customers mapped to that supplier, whose settings called for it, so the request was correct for that account even though Eaton reads the M&amp;A threshold as excluding an acquiring supplier. The answer to Eaton is an explanation of how supplier notification follows each mapped customer's own configuration, plus the basis for the risk grade.</t>
        </is>
      </c>
      <c r="Y104" s="33" t="inlineStr">
        <is>
          <t>EventWatch Ops - Nitin Rindhe</t>
        </is>
      </c>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32</v>
      </c>
      <c r="C67" s="23" t="n" cm="1">
        <f t="array" ref="C67:C76">_xlfn.ANCHORARRAY(B67)/COUNTIF(ComplaintTracker[Issue Type],"Complaint")</f>
        <v>0.35555555555555557</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2">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10</v>
      </c>
      <c r="K67" s="75" t="n">
        <v>0</v>
      </c>
      <c r="L67" s="75" t="n">
        <v>10</v>
      </c>
    </row>
    <row r="68" ht="23.25" customHeight="1">
      <c r="A68" s="20" t="inlineStr">
        <is>
          <t>Eaton</t>
        </is>
      </c>
      <c r="B68" s="22" t="n">
        <v>12</v>
      </c>
      <c r="C68" s="24" t="n">
        <v>0.13333333333333333</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0.07777777777777778</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0.044444444444444446</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0</v>
      </c>
      <c r="L70" s="76" t="n">
        <v>14</v>
      </c>
    </row>
    <row r="71" ht="23.25" customHeight="1">
      <c r="A71" s="20" t="inlineStr">
        <is>
          <t>GM</t>
        </is>
      </c>
      <c r="B71" s="22" t="n">
        <v>4</v>
      </c>
      <c r="C71" s="24" t="n">
        <v>0.044444444444444446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2</v>
      </c>
      <c r="K71" s="76" t="n">
        <v>1</v>
      </c>
      <c r="L71" s="76" t="n">
        <v>3</v>
      </c>
    </row>
    <row r="72" ht="18" customHeight="1">
      <c r="A72" s="20" t="inlineStr">
        <is>
          <t>Ford/GM</t>
        </is>
      </c>
      <c r="B72" s="22" t="n">
        <v>3</v>
      </c>
      <c r="C72" s="24" t="n">
        <v>0.03333333333333333</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9</v>
      </c>
      <c r="K72" s="76" t="n">
        <v>0</v>
      </c>
      <c r="L72" s="76" t="n">
        <v>9</v>
      </c>
    </row>
    <row r="73" ht="23.25" customHeight="1">
      <c r="A73" s="20" t="inlineStr">
        <is>
          <t>Hitachi</t>
        </is>
      </c>
      <c r="B73" s="22" t="n">
        <v>2</v>
      </c>
      <c r="C73" s="24" t="n">
        <v>0.022222222222222223</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Merck</t>
        </is>
      </c>
      <c r="B74" s="22" t="n">
        <v>2</v>
      </c>
      <c r="C74" s="24" t="n">
        <v>0.022222222222222223</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Schneider Electric</t>
        </is>
      </c>
      <c r="B75" s="22" t="n">
        <v>2</v>
      </c>
      <c r="C75" s="24" t="n">
        <v>0.022222222222222223</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12</v>
      </c>
      <c r="K75" s="76" t="n">
        <v>2</v>
      </c>
      <c r="L75" s="76" t="n">
        <v>14</v>
      </c>
    </row>
    <row r="76" ht="23.25" customHeight="1">
      <c r="A76" s="20" t="inlineStr">
        <is>
          <t>UVM Health Network</t>
        </is>
      </c>
      <c r="B76" s="22" t="n">
        <v>2</v>
      </c>
      <c r="C76" s="24" t="n">
        <v>0.022222222222222223</v>
      </c>
      <c r="D76" s="3" t="n"/>
      <c r="E76" s="25" t="inlineStr">
        <is>
          <t>Total</t>
        </is>
      </c>
      <c r="F76" s="26">
        <f>SUM(F67:F75)</f>
        <v/>
      </c>
      <c r="G76" s="27">
        <f>SUM(G67:G75)</f>
        <v/>
      </c>
      <c r="H76" s="3" t="n"/>
      <c r="I76" s="20" t="inlineStr">
        <is>
          <t>Financial Distress</t>
        </is>
      </c>
      <c r="J76" s="76" t="n">
        <v>1</v>
      </c>
      <c r="K76" s="76" t="n">
        <v>0</v>
      </c>
      <c r="L76" s="76" t="n">
        <v>1</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6</v>
      </c>
      <c r="K77" s="76" t="n">
        <v>1</v>
      </c>
      <c r="L77" s="76" t="n">
        <v>7</v>
      </c>
    </row>
    <row r="78" ht="18" customHeight="1">
      <c r="A78" s="25" t="inlineStr">
        <is>
          <t>Total</t>
        </is>
      </c>
      <c r="B78" s="26">
        <f>SUM(B67:B77)</f>
        <v/>
      </c>
      <c r="C78" s="27">
        <f>SUM(C67:C77)</f>
        <v/>
      </c>
      <c r="D78" s="3" t="n"/>
      <c r="E78" s="3" t="n"/>
      <c r="F78" s="3" t="n"/>
      <c r="G78" s="3" t="n"/>
      <c r="H78" s="3" t="n"/>
      <c r="I78" s="20" t="inlineStr">
        <is>
          <t>Hurricane/Typhoon</t>
        </is>
      </c>
      <c r="J78" s="76" t="n">
        <v>1</v>
      </c>
      <c r="K78" s="76" t="n">
        <v>0</v>
      </c>
      <c r="L78" s="76" t="n">
        <v>1</v>
      </c>
    </row>
    <row r="79" ht="23.25" customHeight="1">
      <c r="A79" s="3" t="n"/>
      <c r="B79" s="3" t="n"/>
      <c r="C79" s="3" t="n"/>
      <c r="D79" s="3" t="n"/>
      <c r="E79" s="3" t="n"/>
      <c r="F79" s="3" t="n"/>
      <c r="G79" s="3" t="n"/>
      <c r="H79" s="3" t="n"/>
      <c r="I79" s="20" t="inlineStr">
        <is>
          <t>Labor Disruption</t>
        </is>
      </c>
      <c r="J79" s="76" t="n">
        <v>5</v>
      </c>
      <c r="K79" s="76" t="n">
        <v>0</v>
      </c>
      <c r="L79" s="76" t="n">
        <v>5</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Litigation/Legal</t>
        </is>
      </c>
      <c r="J81" s="76" t="n">
        <v>1</v>
      </c>
      <c r="K81" s="76" t="n">
        <v>0</v>
      </c>
      <c r="L81" s="76" t="n">
        <v>1</v>
      </c>
    </row>
    <row r="82" ht="23.25" customHeight="1">
      <c r="A82" s="3" t="n"/>
      <c r="B82" s="3" t="n"/>
      <c r="C82" s="3" t="n"/>
      <c r="D82" s="3" t="n"/>
      <c r="E82" s="3" t="n"/>
      <c r="F82" s="3" t="n"/>
      <c r="G82" s="3" t="n"/>
      <c r="H82" s="3" t="n"/>
      <c r="I82" s="20" t="inlineStr">
        <is>
          <t>Merger &amp; Acquisition</t>
        </is>
      </c>
      <c r="J82" s="76" t="n">
        <v>3</v>
      </c>
      <c r="K82" s="76" t="n">
        <v>1</v>
      </c>
      <c r="L82" s="76" t="n">
        <v>4</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Power Outage</t>
        </is>
      </c>
      <c r="J84" s="76" t="n">
        <v>1</v>
      </c>
      <c r="K84" s="76" t="n">
        <v>1</v>
      </c>
      <c r="L84" s="76" t="n">
        <v>2</v>
      </c>
    </row>
    <row r="85" ht="23.25" customHeight="1">
      <c r="A85" s="3" t="n"/>
      <c r="B85" s="3" t="n"/>
      <c r="C85" s="3" t="n"/>
      <c r="D85" s="3" t="n"/>
      <c r="E85" s="3" t="n"/>
      <c r="F85" s="3" t="n"/>
      <c r="G85" s="3" t="n"/>
      <c r="H85" s="3" t="n"/>
      <c r="I85" s="20" t="inlineStr">
        <is>
          <t>Protest/Riot</t>
        </is>
      </c>
      <c r="J85" s="76" t="n">
        <v>5</v>
      </c>
      <c r="K85" s="76" t="n">
        <v>0</v>
      </c>
      <c r="L85" s="76" t="n">
        <v>5</v>
      </c>
    </row>
    <row r="86" ht="23.25" customHeight="1">
      <c r="A86" s="3" t="n"/>
      <c r="B86" s="3" t="n"/>
      <c r="C86" s="3" t="n"/>
      <c r="D86" s="3" t="n"/>
      <c r="E86" s="3" t="n"/>
      <c r="F86" s="3" t="n"/>
      <c r="G86" s="3" t="n"/>
      <c r="H86" s="3" t="n"/>
      <c r="I86" s="20" t="inlineStr">
        <is>
          <t>Regulatory Change</t>
        </is>
      </c>
      <c r="J86" s="76" t="n">
        <v>6</v>
      </c>
      <c r="K86" s="76" t="n">
        <v>0</v>
      </c>
      <c r="L86" s="76" t="n">
        <v>6</v>
      </c>
    </row>
    <row r="87" ht="18" customHeight="1">
      <c r="A87" s="3" t="n"/>
      <c r="B87" s="3" t="n"/>
      <c r="C87" s="3" t="n"/>
      <c r="D87" s="3" t="n"/>
      <c r="E87" s="3" t="n"/>
      <c r="F87" s="3" t="n"/>
      <c r="G87" s="3" t="n"/>
      <c r="H87" s="3" t="n"/>
      <c r="I87" s="20" t="inlineStr">
        <is>
          <t>Supply Shortage</t>
        </is>
      </c>
      <c r="J87" s="76" t="n">
        <v>3</v>
      </c>
      <c r="K87" s="76" t="n">
        <v>3</v>
      </c>
      <c r="L87" s="76" t="n">
        <v>6</v>
      </c>
      <c r="M87" s="3" t="n"/>
      <c r="N87" s="3" t="n"/>
      <c r="O87" s="3" t="n"/>
      <c r="P87" s="3" t="n"/>
      <c r="Q87" s="3" t="n"/>
      <c r="R87" s="3" t="n"/>
    </row>
    <row r="88" ht="18" customHeight="1">
      <c r="A88" s="3" t="n"/>
      <c r="B88" s="3" t="n"/>
      <c r="C88" s="3" t="n"/>
      <c r="D88" s="3" t="n"/>
      <c r="E88" s="3" t="n"/>
      <c r="F88" s="3" t="n"/>
      <c r="G88" s="3" t="n"/>
      <c r="H88" s="3" t="n"/>
      <c r="I88" s="20" t="inlineStr">
        <is>
          <t>Tornado</t>
        </is>
      </c>
      <c r="J88" s="76" t="n">
        <v>1</v>
      </c>
      <c r="K88" s="76" t="n">
        <v>0</v>
      </c>
      <c r="L88" s="76" t="n">
        <v>1</v>
      </c>
      <c r="M88" s="3" t="n"/>
      <c r="N88" s="3" t="n"/>
      <c r="O88" s="3" t="n"/>
      <c r="P88" s="3" t="n"/>
      <c r="Q88" s="3" t="n"/>
      <c r="R88" s="3" t="n"/>
    </row>
    <row r="89" ht="18" customHeight="1">
      <c r="A89" s="3" t="n"/>
      <c r="B89" s="3" t="n"/>
      <c r="C89" s="3" t="n"/>
      <c r="D89" s="3" t="n"/>
      <c r="E89" s="3" t="n"/>
      <c r="F89" s="3" t="n"/>
      <c r="G89" s="3" t="n"/>
      <c r="H89" s="3" t="n"/>
      <c r="I89" s="20" t="inlineStr">
        <is>
          <t>Transport Disruption</t>
        </is>
      </c>
      <c r="J89" s="76" t="n">
        <v>1</v>
      </c>
      <c r="K89" s="76" t="n">
        <v>1</v>
      </c>
      <c r="L89" s="76" t="n">
        <v>2</v>
      </c>
      <c r="M89" s="3" t="n"/>
      <c r="N89" s="3" t="n"/>
      <c r="O89" s="3" t="n"/>
      <c r="P89" s="3" t="n"/>
      <c r="Q89" s="3" t="n"/>
      <c r="R89" s="3" t="n"/>
    </row>
    <row r="90" ht="18" customHeight="1">
      <c r="A90" s="3" t="n"/>
      <c r="B90" s="3" t="n"/>
      <c r="C90" s="3" t="n"/>
      <c r="D90" s="3" t="n"/>
      <c r="E90" s="3" t="n"/>
      <c r="F90" s="3" t="n"/>
      <c r="G90" s="3" t="n"/>
      <c r="H90" s="3" t="n"/>
      <c r="I90" s="20" t="inlineStr">
        <is>
          <t>WarRoom Operations</t>
        </is>
      </c>
      <c r="J90" s="76" t="n">
        <v>0</v>
      </c>
      <c r="K90" s="76" t="n">
        <v>1</v>
      </c>
      <c r="L90" s="76" t="n">
        <v>1</v>
      </c>
      <c r="M90" s="3" t="n"/>
      <c r="N90" s="3" t="n"/>
      <c r="O90" s="3" t="n"/>
      <c r="P90" s="3" t="n"/>
      <c r="Q90" s="3" t="n"/>
      <c r="R90" s="3" t="n"/>
    </row>
    <row r="91" ht="18" customHeight="1">
      <c r="A91" s="3" t="n"/>
      <c r="B91" s="3" t="n"/>
      <c r="C91" s="3" t="n"/>
      <c r="D91" s="3" t="n"/>
      <c r="E91" s="3" t="n"/>
      <c r="F91" s="3" t="n"/>
      <c r="G91" s="3" t="n"/>
      <c r="H91" s="3" t="n"/>
      <c r="I91" s="20" t="inlineStr">
        <is>
          <t>Wildfire</t>
        </is>
      </c>
      <c r="J91" s="76" t="n">
        <v>3</v>
      </c>
      <c r="K91" s="76" t="n">
        <v>1</v>
      </c>
      <c r="L91" s="76" t="n">
        <v>4</v>
      </c>
      <c r="M91" s="3" t="n"/>
      <c r="N91" s="3" t="n"/>
      <c r="O91" s="3" t="n"/>
      <c r="P91" s="3" t="n"/>
      <c r="Q91" s="3" t="n"/>
      <c r="R91" s="3" t="n"/>
    </row>
    <row r="92" ht="18" customHeight="1">
      <c r="A92" s="3" t="n"/>
      <c r="B92" s="3" t="n"/>
      <c r="C92" s="3" t="n"/>
      <c r="D92" s="3" t="n"/>
      <c r="E92" s="3" t="n"/>
      <c r="F92" s="3" t="n"/>
      <c r="G92" s="3" t="n"/>
      <c r="H92" s="3" t="n"/>
      <c r="I92" s="25" t="inlineStr">
        <is>
          <t>Total</t>
        </is>
      </c>
      <c r="J92" s="77" t="n">
        <v>90</v>
      </c>
      <c r="K92" s="77" t="n">
        <v>13</v>
      </c>
      <c r="L92" s="77" t="n">
        <v>103</v>
      </c>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0"/>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tornadoes, typhoons, flooding, or snowstorms.</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Litigation/Legal</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Retained for records logged specifically as tornado events; Extreme Weather is the broader category and also names tornadoes.</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