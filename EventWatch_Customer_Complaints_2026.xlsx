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1</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3</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102</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56</v>
                </pt>
                <pt idx="1">
                  <v>36</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META</v>
                </pt>
                <pt idx="7">
                  <v>Merck</v>
                </pt>
                <pt idx="8">
                  <v>Schneider Electric</v>
                </pt>
                <pt idx="9">
                  <v>UVM Health Network</v>
                </pt>
                <pt idx="10">
                  <v>Other customers</v>
                </pt>
              </strCache>
            </strRef>
          </cat>
          <val>
            <numRef>
              <f>Dashboard!$B$67:$B$77</f>
              <numCache>
                <formatCode>General</formatCode>
                <ptCount val="11"/>
                <pt idx="0">
                  <v>35</v>
                </pt>
                <pt idx="1">
                  <v>13</v>
                </pt>
                <pt idx="2">
                  <v>7</v>
                </pt>
                <pt idx="3">
                  <v>4</v>
                </pt>
                <pt idx="4">
                  <v>4</v>
                </pt>
                <pt idx="5">
                  <v>3</v>
                </pt>
                <pt idx="6">
                  <v>2</v>
                </pt>
                <pt idx="7">
                  <v>2</v>
                </pt>
                <pt idx="8">
                  <v>2</v>
                </pt>
                <pt idx="9">
                  <v>2</v>
                </pt>
                <pt idx="10">
                  <v>24</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31</v>
                </pt>
                <pt idx="1">
                  <v>31</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9"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9"/>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Product</t>
        </is>
      </c>
      <c r="J111" s="33" t="inlineStr">
        <is>
          <t>Source Coverage</t>
        </is>
      </c>
      <c r="K111" s="33" t="inlineStr">
        <is>
          <t>Improvement</t>
        </is>
      </c>
      <c r="L111" s="33" t="inlineStr">
        <is>
          <t>RCA Shared</t>
        </is>
      </c>
      <c r="M111" s="33" t="inlineStr">
        <is>
          <t>Coverage of ransomware-group leak-site claims and threat-intelligence reporting, so a claimed breach at a named supplier is captured when the group publishes it rather than when a customer's own threat team circulates it internally</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1" s="33" t="n"/>
      <c r="Q111" s="33" t="inlineStr">
        <is>
          <t>Yes</t>
        </is>
      </c>
      <c r="R111" s="39" t="n">
        <v>9</v>
      </c>
      <c r="S111" s="39" t="n"/>
      <c r="T111" s="35" t="inlineStr">
        <is>
          <t>Sep 2026</t>
        </is>
      </c>
      <c r="U111" s="33" t="inlineStr">
        <is>
          <t>Medium</t>
        </is>
      </c>
      <c r="V111" s="33" t="inlineStr">
        <is>
          <t>Dynamic Source Discovery</t>
        </is>
      </c>
      <c r="W111" s="33" t="n"/>
      <c r="X111" s="33" t="inlineStr">
        <is>
          <t>Internal investigation found that the ADM breach was not captured on the EventWatch portal, and attributes the miss to source coverage. The finding has been shared with General Mills.</t>
        </is>
      </c>
      <c r="Y111" s="33" t="inlineStr">
        <is>
          <t>Product &amp; Platform</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Pending</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n"/>
      <c r="Y117" s="33" t="inlineStr">
        <is>
          <t>EventWatch Ops - Nitin Rindhe</t>
        </is>
      </c>
      <c r="Z117" s="37" t="n"/>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n"/>
      <c r="Y119" s="33" t="inlineStr">
        <is>
          <t>EventWatch Ops - Nitin Rindhe</t>
        </is>
      </c>
      <c r="Z119"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0.35714285714285715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1</v>
      </c>
      <c r="L67" s="75" t="n">
        <v>14</v>
      </c>
    </row>
    <row r="68" ht="23.25" customHeight="1">
      <c r="A68" s="20" t="inlineStr">
        <is>
          <t>Eaton</t>
        </is>
      </c>
      <c r="B68" s="22" t="n">
        <v>13</v>
      </c>
      <c r="C68" s="24" t="n">
        <v>0.1326530612244898</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0.07142857142857142</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0.04081632653061224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0.04081632653061224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0.030612244897959183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META</t>
        </is>
      </c>
      <c r="B73" s="22" t="n">
        <v>2</v>
      </c>
      <c r="C73" s="24" t="n">
        <v>0.02040816326530612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0.02040816326530612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0.02040816326530612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UVM Health Network</t>
        </is>
      </c>
      <c r="B76" s="22" t="n">
        <v>2</v>
      </c>
      <c r="C76" s="24" t="n">
        <v>0.02040816326530612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0</v>
      </c>
      <c r="L79" s="76" t="n">
        <v>6</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98</v>
      </c>
      <c r="K91" s="77" t="n">
        <v>20</v>
      </c>
      <c r="L91" s="77" t="n">
        <v>118</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