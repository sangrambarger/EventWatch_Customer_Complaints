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18</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37</v>
                </pt>
                <pt idx="2">
                  <v>15</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META</v>
                </pt>
                <pt idx="9">
                  <v>Merck</v>
                </pt>
                <pt idx="10">
                  <v>Other customers</v>
                </pt>
              </strCache>
            </strRef>
          </cat>
          <val>
            <numRef>
              <f>Dashboard!$B$67:$B$77</f>
              <numCache>
                <formatCode>General</formatCode>
                <ptCount val="11"/>
                <pt idx="0">
                  <v>36</v>
                </pt>
                <pt idx="1">
                  <v>13</v>
                </pt>
                <pt idx="2">
                  <v>7</v>
                </pt>
                <pt idx="3">
                  <v>5</v>
                </pt>
                <pt idx="4">
                  <v>4</v>
                </pt>
                <pt idx="5">
                  <v>3</v>
                </pt>
                <pt idx="6">
                  <v>2</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33</v>
                </pt>
                <pt idx="2">
                  <v>5</v>
                </pt>
                <pt idx="3">
                  <v>7</v>
                </pt>
                <pt idx="4">
                  <v>9</v>
                </pt>
                <pt idx="5">
                  <v>3</v>
                </pt>
                <pt idx="6">
                  <v>3</v>
                </pt>
                <pt idx="7">
                  <v>2</v>
                </pt>
                <pt idx="8">
                  <v>10</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5"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Mapping</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Policy/Logic</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Process</t>
        </is>
      </c>
      <c r="J76" s="33" t="inlineStr">
        <is>
          <t>WarRoom Creation</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Policy/Logic</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Policy/Logic</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Mapping</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Process</t>
        </is>
      </c>
      <c r="J93" s="33" t="inlineStr">
        <is>
          <t>Policy/Logic</t>
        </is>
      </c>
      <c r="K93" s="33" t="inlineStr">
        <is>
          <t>Improvement</t>
        </is>
      </c>
      <c r="L93" s="33" t="inlineStr">
        <is>
          <t>Clarification Provided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EventWatch Ops - Nitin Rindhe</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Process</t>
        </is>
      </c>
      <c r="J97" s="33" t="inlineStr">
        <is>
          <t>Visibility</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Policy/Logic</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Complaint</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Yes</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People</t>
        </is>
      </c>
      <c r="J112" s="33" t="inlineStr">
        <is>
          <t>Review</t>
        </is>
      </c>
      <c r="K112" s="33" t="inlineStr">
        <is>
          <t>Improvement</t>
        </is>
      </c>
      <c r="L112" s="33" t="inlineStr">
        <is>
          <t>Pending</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2" s="33" t="n"/>
      <c r="Q112" s="33" t="inlineStr">
        <is>
          <t>Yes</t>
        </is>
      </c>
      <c r="R112" s="39" t="n">
        <v>9</v>
      </c>
      <c r="S112" s="39" t="n"/>
      <c r="T112" s="35" t="inlineStr">
        <is>
          <t>Sep 2026</t>
        </is>
      </c>
      <c r="U112" s="33" t="inlineStr">
        <is>
          <t>Medium</t>
        </is>
      </c>
      <c r="V112" s="33" t="inlineStr">
        <is>
          <t>WarRoom &amp; Decision Validation</t>
        </is>
      </c>
      <c r="W112" s="33" t="inlineStr">
        <is>
          <t>EAO-51</t>
        </is>
      </c>
      <c r="X112"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2" s="33" t="inlineStr">
        <is>
          <t>EventWatch Ops - Nitin Rindhe</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Product</t>
        </is>
      </c>
      <c r="J114" s="33" t="inlineStr">
        <is>
          <t>Mapping</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Product &amp; Platform</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Inquiry</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No</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Mapping</t>
        </is>
      </c>
      <c r="K119" s="33" t="inlineStr">
        <is>
          <t>Improvement</t>
        </is>
      </c>
      <c r="L119" s="33" t="inlineStr">
        <is>
          <t>Pending</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n"/>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Pending</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Mapping</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Product</t>
        </is>
      </c>
      <c r="J124" s="33" t="inlineStr">
        <is>
          <t>Captured Late</t>
        </is>
      </c>
      <c r="K124" s="33" t="inlineStr">
        <is>
          <t>Improvement</t>
        </is>
      </c>
      <c r="L124" s="33" t="inlineStr">
        <is>
          <t>Pending</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Dynamic Source Discovery</t>
        </is>
      </c>
      <c r="W124" s="33" t="n"/>
      <c r="X124" s="33" t="inlineStr">
        <is>
          <t>No agreed RCA yet. What the timeline establishes: the searches were conducted on 07-Oct-2026 and reported publicly before EventWatch carried anything, the customer raised the gap on 09-Oct, and the bulletin published at 12:07 AM IST on 10-Oct, after the escalation. The event therefore reached publication but not in time, and whether the delay sits in source coverage, keyword matching or the publishing pipeline is the open question. The customer's source list is part of that same investigation rather than a separate coverage query.</t>
        </is>
      </c>
      <c r="Y124" s="33" t="inlineStr">
        <is>
          <t>Product &amp; Platform</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0.34951456310679613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0.019417475728155338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META</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Merck</t>
        </is>
      </c>
      <c r="B76" s="22" t="n">
        <v>2</v>
      </c>
      <c r="C76" s="24" t="n">
        <v>0.019417475728155338</v>
      </c>
      <c r="D76" s="3" t="n"/>
      <c r="E76" s="25" t="inlineStr">
        <is>
          <t>Total</t>
        </is>
      </c>
      <c r="F76" s="26">
        <f>SUM(F67:F75)</f>
        <v/>
      </c>
      <c r="G76" s="27">
        <f>SUM(G67:G75)</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Financial Distress</t>
        </is>
      </c>
      <c r="J77" s="76" t="n">
        <v>1</v>
      </c>
      <c r="K77" s="76" t="n">
        <v>1</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6</v>
      </c>
      <c r="K89" s="76" t="n">
        <v>0</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2</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21</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5"/>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