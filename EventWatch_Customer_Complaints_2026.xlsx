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4</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105</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58</v>
                </pt>
                <pt idx="1">
                  <v>37</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36</v>
                </pt>
                <pt idx="1">
                  <v>13</v>
                </pt>
                <pt idx="2">
                  <v>7</v>
                </pt>
                <pt idx="3">
                  <v>4</v>
                </pt>
                <pt idx="4">
                  <v>4</v>
                </pt>
                <pt idx="5">
                  <v>3</v>
                </pt>
                <pt idx="6">
                  <v>2</v>
                </pt>
                <pt idx="7">
                  <v>2</v>
                </pt>
                <pt idx="8">
                  <v>2</v>
                </pt>
                <pt idx="9">
                  <v>2</v>
                </pt>
                <pt idx="10">
                  <v>26</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32</v>
                </pt>
                <pt idx="1">
                  <v>33</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4"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4"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People</t>
        </is>
      </c>
      <c r="J111" s="33" t="inlineStr">
        <is>
          <t>Review</t>
        </is>
      </c>
      <c r="K111" s="33" t="inlineStr">
        <is>
          <t>Improvement</t>
        </is>
      </c>
      <c r="L111" s="33" t="inlineStr">
        <is>
          <t>Pending</t>
        </is>
      </c>
      <c r="M111"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1" s="33" t="n"/>
      <c r="Q111" s="33" t="inlineStr">
        <is>
          <t>Yes</t>
        </is>
      </c>
      <c r="R111" s="39" t="n">
        <v>9</v>
      </c>
      <c r="S111" s="39" t="n"/>
      <c r="T111" s="35" t="inlineStr">
        <is>
          <t>Sep 2026</t>
        </is>
      </c>
      <c r="U111" s="33" t="inlineStr">
        <is>
          <t>Medium</t>
        </is>
      </c>
      <c r="V111" s="33" t="inlineStr">
        <is>
          <t>WarRoom &amp; Decision Validation</t>
        </is>
      </c>
      <c r="W111" s="33" t="inlineStr">
        <is>
          <t>EAO-51</t>
        </is>
      </c>
      <c r="X111"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Under investigation: no agreed RCA yet.</t>
        </is>
      </c>
      <c r="Y111" s="33" t="inlineStr">
        <is>
          <t>EventWatch Ops - Nitin Rindhe</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Keyword Update</t>
        </is>
      </c>
      <c r="K120" s="33" t="inlineStr">
        <is>
          <t>Improvement</t>
        </is>
      </c>
      <c r="L120" s="33" t="inlineStr">
        <is>
          <t>Pending</t>
        </is>
      </c>
      <c r="M120" s="33" t="inlineStr">
        <is>
          <t>Keyword coverage for municipal utility disruptions and do-not-use-water orders, so a named-locality utility failure is matched against mapped customer sites rather than passing the algorithm unrecognised</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0" s="33" t="inlineStr">
        <is>
          <t>Product &amp; Platform</t>
        </is>
      </c>
      <c r="Z120" s="37" t="n"/>
    </row>
    <row r="121">
      <c r="A121" s="35" t="n">
        <v>46296</v>
      </c>
      <c r="B121" s="37" t="n">
        <v>46304</v>
      </c>
      <c r="C121" s="33" t="inlineStr">
        <is>
          <t>Price Fluctuation</t>
        </is>
      </c>
      <c r="D121" s="33" t="inlineStr">
        <is>
          <t>META</t>
        </is>
      </c>
      <c r="E121" s="39" t="n">
        <v>1</v>
      </c>
      <c r="F121" s="33" t="inlineStr">
        <is>
          <t>Nvidia Shield TV Pro Price Increase WarRoom Trigger Clarification (META)</t>
        </is>
      </c>
      <c r="G121" s="33" t="inlineStr">
        <is>
          <t>Inquiry</t>
        </is>
      </c>
      <c r="H121" s="33" t="inlineStr">
        <is>
          <t>WarRoom Timing/Trigger Criteria Clarification</t>
        </is>
      </c>
      <c r="I121" s="33" t="inlineStr">
        <is>
          <t>Process</t>
        </is>
      </c>
      <c r="J121" s="33" t="inlineStr">
        <is>
          <t>Process Clarification</t>
        </is>
      </c>
      <c r="K121" s="33" t="inlineStr">
        <is>
          <t>Improvement</t>
        </is>
      </c>
      <c r="L121" s="33" t="inlineStr">
        <is>
          <t>Clarification Provided</t>
        </is>
      </c>
      <c r="M121" s="33" t="inlineStr">
        <is>
          <t>Product-level relevance check before WarRoom creation on a price fluctuation event, so a mapped supplier's price move raises a WarRoom only where the affected product is one the customer procures</t>
        </is>
      </c>
      <c r="N121" s="33" t="inlineStr">
        <is>
          <t>No</t>
        </is>
      </c>
      <c r="O121"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1" s="33" t="n"/>
      <c r="Q121" s="33" t="inlineStr">
        <is>
          <t>No</t>
        </is>
      </c>
      <c r="R121" s="39" t="n">
        <v>10</v>
      </c>
      <c r="S121" s="39" t="n"/>
      <c r="T121" s="35" t="inlineStr">
        <is>
          <t>Oct 2026</t>
        </is>
      </c>
      <c r="U121" s="33" t="inlineStr">
        <is>
          <t>Medium</t>
        </is>
      </c>
      <c r="V121" s="33" t="inlineStr">
        <is>
          <t>WarRoom &amp; Decision Validation</t>
        </is>
      </c>
      <c r="W121" s="33" t="n"/>
      <c r="X121"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1" s="33" t="inlineStr">
        <is>
          <t>EventWatch Ops - Nitin Rindhe</t>
        </is>
      </c>
      <c r="Z121" s="37" t="n"/>
    </row>
    <row r="122">
      <c r="A122" s="35" t="n">
        <v>46296</v>
      </c>
      <c r="B122" s="37" t="n">
        <v>46304</v>
      </c>
      <c r="C122" s="33" t="inlineStr">
        <is>
          <t>Labor Disruption</t>
        </is>
      </c>
      <c r="D122" s="33" t="inlineStr">
        <is>
          <t>NVR</t>
        </is>
      </c>
      <c r="E122" s="39" t="n">
        <v>1</v>
      </c>
      <c r="F122" s="33" t="inlineStr">
        <is>
          <t>MasterBrand Cabinets to Lay Off Employees at Its Facility in Kinston, North Carolina, USA</t>
        </is>
      </c>
      <c r="G122" s="33" t="inlineStr">
        <is>
          <t>Inquiry</t>
        </is>
      </c>
      <c r="H122" s="33" t="inlineStr">
        <is>
          <t>Supplier Impact Mapping Clarification</t>
        </is>
      </c>
      <c r="I122" s="33" t="inlineStr">
        <is>
          <t>Process</t>
        </is>
      </c>
      <c r="J122" s="33" t="inlineStr">
        <is>
          <t>Mapping</t>
        </is>
      </c>
      <c r="K122" s="33" t="inlineStr">
        <is>
          <t>Improvement</t>
        </is>
      </c>
      <c r="L122" s="33" t="inlineStr">
        <is>
          <t>Clarification Provided</t>
        </is>
      </c>
      <c r="M122" s="33" t="inlineStr">
        <is>
          <t>A site-data completeness review with the customer, so facilities of an already-mapped supplier are shared and on file before an event names one, rather than the gap surfacing when a WarRoom does not appear</t>
        </is>
      </c>
      <c r="N122" s="33" t="inlineStr">
        <is>
          <t>No</t>
        </is>
      </c>
      <c r="O122"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2" s="33" t="n"/>
      <c r="Q122" s="33" t="inlineStr">
        <is>
          <t>No</t>
        </is>
      </c>
      <c r="R122" s="39" t="n">
        <v>10</v>
      </c>
      <c r="S122" s="39" t="n"/>
      <c r="T122" s="35" t="inlineStr">
        <is>
          <t>Oct 2026</t>
        </is>
      </c>
      <c r="U122" s="33" t="inlineStr">
        <is>
          <t>Low</t>
        </is>
      </c>
      <c r="V122" s="33" t="inlineStr">
        <is>
          <t>Entity &amp; Supplier Resolution</t>
        </is>
      </c>
      <c r="W122" s="33" t="n"/>
      <c r="X122"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2" s="33" t="inlineStr">
        <is>
          <t>EventWatch Ops - Nitin Rindhe</t>
        </is>
      </c>
      <c r="Z122" s="37" t="n"/>
    </row>
    <row r="123">
      <c r="A123" s="35" t="n">
        <v>46296</v>
      </c>
      <c r="B123" s="37" t="n">
        <v>46304</v>
      </c>
      <c r="C123" s="33" t="inlineStr">
        <is>
          <t>FDA/EMA/OSHA Action</t>
        </is>
      </c>
      <c r="D123" s="33" t="inlineStr">
        <is>
          <t>Suntory Spirits</t>
        </is>
      </c>
      <c r="E123" s="39" t="n">
        <v>1</v>
      </c>
      <c r="F123" s="33" t="inlineStr">
        <is>
          <t>Antitrust Raids at Suntory Spirits, Asahi Breweries, Kirin Brewery, and Sapporo Breweries in Japan</t>
        </is>
      </c>
      <c r="G123" s="33" t="inlineStr">
        <is>
          <t>Complaint</t>
        </is>
      </c>
      <c r="H123" s="33" t="inlineStr">
        <is>
          <t>Missing EventWatch coverage / feeds not captured</t>
        </is>
      </c>
      <c r="I123" s="33" t="inlineStr">
        <is>
          <t>Product</t>
        </is>
      </c>
      <c r="J123" s="33" t="inlineStr">
        <is>
          <t>Captured Late</t>
        </is>
      </c>
      <c r="K123" s="33" t="inlineStr">
        <is>
          <t>Improvement</t>
        </is>
      </c>
      <c r="L123" s="33" t="inlineStr">
        <is>
          <t>Pending</t>
        </is>
      </c>
      <c r="M123" s="33" t="inlineStr">
        <is>
          <t>Timeliness monitoring for regulator and competition-authority actions against mapped suppliers, so a publicly reported raid or probe is matched and published before a customer asks where the coverage is</t>
        </is>
      </c>
      <c r="N123" s="33" t="inlineStr">
        <is>
          <t>Yes</t>
        </is>
      </c>
      <c r="O123"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3" s="33" t="n"/>
      <c r="Q123" s="33" t="inlineStr">
        <is>
          <t>Yes</t>
        </is>
      </c>
      <c r="R123" s="39" t="n">
        <v>10</v>
      </c>
      <c r="S123" s="39" t="n"/>
      <c r="T123" s="35" t="inlineStr">
        <is>
          <t>Oct 2026</t>
        </is>
      </c>
      <c r="U123" s="33" t="inlineStr">
        <is>
          <t>Medium</t>
        </is>
      </c>
      <c r="V123" s="33" t="inlineStr">
        <is>
          <t>Dynamic Source Discovery</t>
        </is>
      </c>
      <c r="W123" s="33" t="n"/>
      <c r="X123" s="33" t="inlineStr">
        <is>
          <t>No agreed RCA yet. What the timeline establishes: the searches were conducted on 07-Oct-2026 and reported publicly before EventWatch carried anything, the customer raised the gap on 09-Oct, and the bulletin published at 12:07 AM IST on 10-Oct, after the escalation. The event therefore reached publication but not in time, and whether the delay sits in source coverage, keyword matching or the publishing pipeline is the open question. The customer's source list is part of that same investigation rather than a separate coverage query.</t>
        </is>
      </c>
      <c r="Y123" s="33" t="inlineStr">
        <is>
          <t>Product &amp; Platform</t>
        </is>
      </c>
      <c r="Z123" s="37" t="n"/>
    </row>
    <row r="124">
      <c r="A124" s="35" t="n">
        <v>46296</v>
      </c>
      <c r="B124" s="37" t="n">
        <v>46307</v>
      </c>
      <c r="C124" s="33" t="inlineStr">
        <is>
          <t>Bankruptcy</t>
        </is>
      </c>
      <c r="D124" s="33" t="inlineStr">
        <is>
          <t>Ford</t>
        </is>
      </c>
      <c r="E124" s="39" t="n">
        <v>1</v>
      </c>
      <c r="F124" s="33" t="inlineStr">
        <is>
          <t>BER Automotive Bankruptcy, Bursa Türkiye – No EventWatch Alert (Ford)</t>
        </is>
      </c>
      <c r="G124" s="33" t="inlineStr">
        <is>
          <t>Complaint</t>
        </is>
      </c>
      <c r="H124" s="33" t="inlineStr">
        <is>
          <t>Missed insolvency alert</t>
        </is>
      </c>
      <c r="I124" s="33" t="inlineStr">
        <is>
          <t>Product</t>
        </is>
      </c>
      <c r="J124" s="33" t="inlineStr">
        <is>
          <t>Keyword Update</t>
        </is>
      </c>
      <c r="K124" s="33" t="inlineStr">
        <is>
          <t>Improvement</t>
        </is>
      </c>
      <c r="L124" s="33" t="inlineStr">
        <is>
          <t>Pending</t>
        </is>
      </c>
      <c r="M124" s="33" t="inlineStr">
        <is>
          <t>Keyword coverage for bankruptcy, insolvency and fraud proceedings in Türkiye's automotive manufacturing cluster, so a filing at a sub-tier supplier is matched when it is published rather than when the customer raises it</t>
        </is>
      </c>
      <c r="N124" s="33" t="inlineStr">
        <is>
          <t>Yes</t>
        </is>
      </c>
      <c r="O124"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4" s="33" t="n"/>
      <c r="Q124" s="33" t="inlineStr">
        <is>
          <t>Yes</t>
        </is>
      </c>
      <c r="R124" s="39" t="n">
        <v>10</v>
      </c>
      <c r="S124" s="39" t="n"/>
      <c r="T124" s="35" t="inlineStr">
        <is>
          <t>Oct 2026</t>
        </is>
      </c>
      <c r="U124" s="33" t="inlineStr">
        <is>
          <t>High</t>
        </is>
      </c>
      <c r="V124" s="33" t="inlineStr">
        <is>
          <t>Dynamic Source Discovery</t>
        </is>
      </c>
      <c r="W124" s="33" t="inlineStr">
        <is>
          <t>EAO-53</t>
        </is>
      </c>
      <c r="X124" s="33" t="n"/>
      <c r="Y124" s="33" t="inlineStr">
        <is>
          <t>Product &amp; Platform</t>
        </is>
      </c>
      <c r="Z124"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0.3564356435643564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0.12871287128712872</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0.06930693069306931</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0.039603960396039604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0.039603960396039604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0.0297029702970297</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0.019801980198019802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META</t>
        </is>
      </c>
      <c r="B74" s="22" t="n">
        <v>2</v>
      </c>
      <c r="C74" s="24" t="n">
        <v>0.019801980198019802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Merck</t>
        </is>
      </c>
      <c r="B75" s="22" t="n">
        <v>2</v>
      </c>
      <c r="C75" s="24" t="n">
        <v>0.019801980198019802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Schneider Electric</t>
        </is>
      </c>
      <c r="B76" s="22" t="n">
        <v>2</v>
      </c>
      <c r="C76" s="24" t="n">
        <v>0.019801980198019802</v>
      </c>
      <c r="D76" s="3" t="n"/>
      <c r="E76" s="25" t="inlineStr">
        <is>
          <t>Total</t>
        </is>
      </c>
      <c r="F76" s="26">
        <f>SUM(F67:F75)</f>
        <v/>
      </c>
      <c r="G76" s="27">
        <f>SUM(G67:G75)</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Financial Distress</t>
        </is>
      </c>
      <c r="J77" s="76" t="n">
        <v>1</v>
      </c>
      <c r="K77" s="76" t="n">
        <v>1</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6</v>
      </c>
      <c r="K80" s="76" t="n">
        <v>1</v>
      </c>
      <c r="L80" s="76" t="n">
        <v>7</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3</v>
      </c>
      <c r="K83" s="76" t="n">
        <v>2</v>
      </c>
      <c r="L83" s="76" t="n">
        <v>5</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6</v>
      </c>
      <c r="K89" s="76" t="n">
        <v>0</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5</v>
      </c>
      <c r="K90" s="76" t="n">
        <v>3</v>
      </c>
      <c r="L90" s="76" t="n">
        <v>8</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101</v>
      </c>
      <c r="K93" s="77" t="n">
        <v>22</v>
      </c>
      <c r="L93" s="77" t="n">
        <v>123</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4"/>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