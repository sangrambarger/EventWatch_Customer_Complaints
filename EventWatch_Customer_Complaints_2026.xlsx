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9</v>
                </pt>
                <pt idx="2">
                  <v>13</v>
                </pt>
                <pt idx="3">
                  <v>12</v>
                </pt>
                <pt idx="4">
                  <v>17</v>
                </pt>
                <pt idx="5">
                  <v>9</v>
                </pt>
                <pt idx="6">
                  <v>6</v>
                </pt>
                <pt idx="7">
                  <v>13</v>
                </pt>
                <pt idx="8">
                  <v>11</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0</v>
                </pt>
                <pt idx="2">
                  <v>1</v>
                </pt>
                <pt idx="3">
                  <v>1</v>
                </pt>
                <pt idx="4">
                  <v>1</v>
                </pt>
                <pt idx="5">
                  <v>3</v>
                </pt>
                <pt idx="6">
                  <v>5</v>
                </pt>
                <pt idx="7">
                  <v>4</v>
                </pt>
                <pt idx="8">
                  <v>5</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44</v>
                </pt>
                <pt idx="1">
                  <v>27</v>
                </pt>
                <pt idx="2">
                  <v>17</v>
                </pt>
                <pt idx="3">
                  <v>6</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5</v>
                </pt>
                <pt idx="2">
                  <v>98</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54</v>
                </pt>
                <pt idx="1">
                  <v>33</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Hitachi</v>
                </pt>
                <pt idx="7">
                  <v>Merck</v>
                </pt>
                <pt idx="8">
                  <v>Schneider Electric</v>
                </pt>
                <pt idx="9">
                  <v>UVM Health Network</v>
                </pt>
                <pt idx="10">
                  <v>Other customers</v>
                </pt>
              </strCache>
            </strRef>
          </cat>
          <val>
            <numRef>
              <f>Dashboard!$B$67:$B$77</f>
              <numCache>
                <formatCode>General</formatCode>
                <ptCount val="11"/>
                <pt idx="0">
                  <v>33</v>
                </pt>
                <pt idx="1">
                  <v>13</v>
                </pt>
                <pt idx="2">
                  <v>7</v>
                </pt>
                <pt idx="3">
                  <v>4</v>
                </pt>
                <pt idx="4">
                  <v>4</v>
                </pt>
                <pt idx="5">
                  <v>3</v>
                </pt>
                <pt idx="6">
                  <v>2</v>
                </pt>
                <pt idx="7">
                  <v>2</v>
                </pt>
                <pt idx="8">
                  <v>2</v>
                </pt>
                <pt idx="9">
                  <v>2</v>
                </pt>
                <pt idx="10">
                  <v>22</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28</v>
                </pt>
                <pt idx="1">
                  <v>29</v>
                </pt>
                <pt idx="2">
                  <v>5</v>
                </pt>
                <pt idx="3">
                  <v>8</v>
                </pt>
                <pt idx="4">
                  <v>7</v>
                </pt>
                <pt idx="5">
                  <v>4</v>
                </pt>
                <pt idx="6">
                  <v>4</v>
                </pt>
                <pt idx="7">
                  <v>2</v>
                </pt>
                <pt idx="8">
                  <v>7</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15"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2"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15"/>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Complaint</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WarRoom &amp; Decision Validation</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Complaint</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Coverage Verification Request</t>
        </is>
      </c>
      <c r="I48" s="33" t="inlineStr">
        <is>
          <t>Process</t>
        </is>
      </c>
      <c r="J48" s="33" t="inlineStr">
        <is>
          <t>Process Clarification</t>
        </is>
      </c>
      <c r="K48" s="33" t="inlineStr">
        <is>
          <t>Improvement</t>
        </is>
      </c>
      <c r="L48" s="33" t="inlineStr">
        <is>
          <t>Clarification Provided</t>
        </is>
      </c>
      <c r="M48" s="33" t="inlineStr">
        <is>
          <t>Relevancy logic review</t>
        </is>
      </c>
      <c r="N48" s="33" t="inlineStr">
        <is>
          <t>Yes</t>
        </is>
      </c>
      <c r="O48" s="33" t="inlineStr">
        <is>
          <t>Customer asked RCA for Axios npm compromise; classified not relevant based on mapping + no operational disruption.</t>
        </is>
      </c>
      <c r="P48" s="33" t="n"/>
      <c r="Q48" s="33" t="inlineStr">
        <is>
          <t>No</t>
        </is>
      </c>
      <c r="R48" s="39" t="n">
        <v>5</v>
      </c>
      <c r="S48" s="39" t="n"/>
      <c r="T48" s="35" t="n">
        <v>46143</v>
      </c>
      <c r="U48" s="33" t="inlineStr">
        <is>
          <t>Medium</t>
        </is>
      </c>
      <c r="V48" s="33" t="inlineStr">
        <is>
          <t>Other Control Automation</t>
        </is>
      </c>
      <c r="X48" s="33" t="n"/>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Multilingual Keyword Expansion</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Visibility</t>
        </is>
      </c>
      <c r="K72" s="33" t="inlineStr">
        <is>
          <t>Bug</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Cluster Integrity &amp; Duplicate Prevention</t>
        </is>
      </c>
      <c r="W72" s="33" t="inlineStr">
        <is>
          <t>EAO-12</t>
        </is>
      </c>
      <c r="X72"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Transport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Inquiry</t>
        </is>
      </c>
      <c r="H91" s="33" t="inlineStr">
        <is>
          <t>Coverage Verification Request</t>
        </is>
      </c>
      <c r="I91" s="33" t="inlineStr">
        <is>
          <t>Process</t>
        </is>
      </c>
      <c r="J91" s="33" t="inlineStr">
        <is>
          <t>Policy/Logic</t>
        </is>
      </c>
      <c r="K91" s="33" t="inlineStr">
        <is>
          <t>Improvement</t>
        </is>
      </c>
      <c r="L91" s="33" t="inlineStr">
        <is>
          <t>Clarification Provided</t>
        </is>
      </c>
      <c r="M91" s="33" t="inlineStr">
        <is>
          <t>Make the shared update sequence legible on the bulletin itself, so a jump from Update 2 to Update 5 in one country's WarRoom shows which storm-lifecycle updates ran under the other WarRooms instead of reading as missing bulletins</t>
        </is>
      </c>
      <c r="N91" s="33" t="inlineStr">
        <is>
          <t>No</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Other Control Automation</t>
        </is>
      </c>
      <c r="W91" s="33" t="inlineStr">
        <is>
          <t>EAO-29</t>
        </is>
      </c>
      <c r="X91"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1" s="33" t="inlineStr">
        <is>
          <t>EventWatch Ops - Nitin Rindhe</t>
        </is>
      </c>
      <c r="Z91" s="37" t="n">
        <v>46272</v>
      </c>
    </row>
    <row r="92">
      <c r="A92" s="35" t="n">
        <v>46235</v>
      </c>
      <c r="B92" s="37" t="n">
        <v>46255</v>
      </c>
      <c r="C92" s="33" t="inlineStr">
        <is>
          <t>Transport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RCA Shared</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Captured Late</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row r="105">
      <c r="A105" s="35" t="n">
        <v>46266</v>
      </c>
      <c r="B105" s="37" t="n">
        <v>46276</v>
      </c>
      <c r="C105" s="33" t="inlineStr">
        <is>
          <t>Supply Shortage</t>
        </is>
      </c>
      <c r="D105" s="33" t="inlineStr">
        <is>
          <t>Belden Inc</t>
        </is>
      </c>
      <c r="E105" s="39" t="n">
        <v>1</v>
      </c>
      <c r="F105" s="33" t="inlineStr">
        <is>
          <t>TSMC 28nm Production Capacity Reduction – No EventWatch Notification (Belden)</t>
        </is>
      </c>
      <c r="G105" s="33" t="inlineStr">
        <is>
          <t>Inquiry</t>
        </is>
      </c>
      <c r="H105" s="33" t="inlineStr">
        <is>
          <t>Coverage Verification Request</t>
        </is>
      </c>
      <c r="I105" s="33" t="inlineStr">
        <is>
          <t>Product</t>
        </is>
      </c>
      <c r="J105" s="33" t="inlineStr">
        <is>
          <t>Source Coverage</t>
        </is>
      </c>
      <c r="K105" s="33" t="inlineStr">
        <is>
          <t>Improvement</t>
        </is>
      </c>
      <c r="L105" s="33" t="inlineStr">
        <is>
          <t>Clarification Provided</t>
        </is>
      </c>
      <c r="M105"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5" s="33" t="inlineStr">
        <is>
          <t>Yes</t>
        </is>
      </c>
      <c r="O105"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5" s="33" t="n"/>
      <c r="Q105" s="33" t="inlineStr">
        <is>
          <t>No</t>
        </is>
      </c>
      <c r="R105" s="39" t="n">
        <v>9</v>
      </c>
      <c r="S105" s="39" t="n"/>
      <c r="T105" s="35" t="inlineStr">
        <is>
          <t>Sep 2026</t>
        </is>
      </c>
      <c r="U105" s="33" t="inlineStr">
        <is>
          <t>Medium</t>
        </is>
      </c>
      <c r="V105" s="33" t="inlineStr">
        <is>
          <t>Dynamic Source Discovery</t>
        </is>
      </c>
      <c r="W105" s="33" t="inlineStr">
        <is>
          <t>EAO-39</t>
        </is>
      </c>
      <c r="X105"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5" s="33" t="inlineStr">
        <is>
          <t>Product &amp; Platform</t>
        </is>
      </c>
      <c r="Z105" s="37" t="n"/>
    </row>
    <row r="106">
      <c r="A106" s="35" t="n">
        <v>46266</v>
      </c>
      <c r="B106" s="37" t="n">
        <v>46276</v>
      </c>
      <c r="C106" s="33" t="inlineStr">
        <is>
          <t>Supply Shortage</t>
        </is>
      </c>
      <c r="D106" s="33" t="inlineStr">
        <is>
          <t>Belden Inc</t>
        </is>
      </c>
      <c r="E106" s="39" t="n">
        <v>1</v>
      </c>
      <c r="F106" s="33" t="inlineStr">
        <is>
          <t>Murata MLCC Product Line Discontinuation – No EventWatch Notification (Belden)</t>
        </is>
      </c>
      <c r="G106" s="33" t="inlineStr">
        <is>
          <t>Complaint</t>
        </is>
      </c>
      <c r="H106" s="33" t="inlineStr">
        <is>
          <t>Missed Event</t>
        </is>
      </c>
      <c r="I106" s="33" t="inlineStr">
        <is>
          <t>People</t>
        </is>
      </c>
      <c r="J106" s="33" t="inlineStr">
        <is>
          <t>Review</t>
        </is>
      </c>
      <c r="K106" s="33" t="inlineStr">
        <is>
          <t>Improvement</t>
        </is>
      </c>
      <c r="L106" s="33" t="inlineStr">
        <is>
          <t>Pending</t>
        </is>
      </c>
      <c r="M106" s="33" t="inlineStr">
        <is>
          <t>Validation step on high-impact component end-of-life and discontinuation notices before an analyst can clear them, so a major supplier's EOL announcement cannot be dismissed at review</t>
        </is>
      </c>
      <c r="N106" s="33" t="inlineStr">
        <is>
          <t>Yes</t>
        </is>
      </c>
      <c r="O106"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6" s="33" t="n"/>
      <c r="Q106" s="33" t="inlineStr">
        <is>
          <t>Yes</t>
        </is>
      </c>
      <c r="R106" s="39" t="n">
        <v>9</v>
      </c>
      <c r="S106" s="39" t="n"/>
      <c r="T106" s="35" t="inlineStr">
        <is>
          <t>Sep 2026</t>
        </is>
      </c>
      <c r="U106" s="33" t="inlineStr">
        <is>
          <t>Medium</t>
        </is>
      </c>
      <c r="V106" s="33" t="inlineStr">
        <is>
          <t>WarRoom &amp; Decision Validation</t>
        </is>
      </c>
      <c r="W106" s="33" t="inlineStr">
        <is>
          <t>EAO-39</t>
        </is>
      </c>
      <c r="X106" s="33" t="inlineStr">
        <is>
          <t>Analyst miss. The event was available for review and was not escalated into EventWatch coverage. Ingestion and source coverage did not contribute.</t>
        </is>
      </c>
      <c r="Y106" s="33" t="inlineStr">
        <is>
          <t>EventWatch Ops - Nitin Rindhe</t>
        </is>
      </c>
      <c r="Z106" s="37" t="n"/>
    </row>
    <row r="107">
      <c r="A107" s="35" t="n">
        <v>46266</v>
      </c>
      <c r="B107" s="37" t="n">
        <v>46276</v>
      </c>
      <c r="C107" s="33" t="inlineStr">
        <is>
          <t>Factory Fire</t>
        </is>
      </c>
      <c r="D107" s="33" t="inlineStr">
        <is>
          <t>Ford</t>
        </is>
      </c>
      <c r="E107" s="39" t="n">
        <v>1</v>
      </c>
      <c r="F107" s="33" t="inlineStr">
        <is>
          <t>Precision Resource Facility Fire, Mt. Sterling, Kentucky – Deep-Tier Supplier Event Not Captured (Ford)</t>
        </is>
      </c>
      <c r="G107" s="33" t="inlineStr">
        <is>
          <t>Complaint</t>
        </is>
      </c>
      <c r="H107" s="33" t="inlineStr">
        <is>
          <t>Missed Event</t>
        </is>
      </c>
      <c r="I107" s="33" t="inlineStr">
        <is>
          <t>Product</t>
        </is>
      </c>
      <c r="J107" s="33" t="inlineStr">
        <is>
          <t>Source Coverage</t>
        </is>
      </c>
      <c r="K107" s="33" t="inlineStr">
        <is>
          <t>Improvement</t>
        </is>
      </c>
      <c r="L107" s="33" t="inlineStr">
        <is>
          <t>Pending</t>
        </is>
      </c>
      <c r="M107" s="33" t="inlineStr">
        <is>
          <t>Monitoring of local and regional outlets covering industrial incidents at deep-tier supplier sites, with event-to-supply-chain correlation so a sub-tier fire is linked to the OEMs exposed through it</t>
        </is>
      </c>
      <c r="N107" s="33" t="inlineStr">
        <is>
          <t>Yes</t>
        </is>
      </c>
      <c r="O107"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7" s="33" t="n"/>
      <c r="Q107" s="33" t="inlineStr">
        <is>
          <t>Yes</t>
        </is>
      </c>
      <c r="R107" s="39" t="n">
        <v>9</v>
      </c>
      <c r="S107" s="39" t="n"/>
      <c r="T107" s="35" t="inlineStr">
        <is>
          <t>Sep 2026</t>
        </is>
      </c>
      <c r="U107" s="33" t="inlineStr">
        <is>
          <t>High</t>
        </is>
      </c>
      <c r="V107" s="33" t="inlineStr">
        <is>
          <t>Dynamic Source Discovery</t>
        </is>
      </c>
      <c r="W107" s="33" t="inlineStr">
        <is>
          <t>EAO-40</t>
        </is>
      </c>
      <c r="X107"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7" s="33" t="inlineStr">
        <is>
          <t>Product &amp; Platform</t>
        </is>
      </c>
      <c r="Z107" s="37" t="n"/>
    </row>
    <row r="108">
      <c r="A108" s="35" t="n">
        <v>46266</v>
      </c>
      <c r="B108" s="37" t="n">
        <v>46279</v>
      </c>
      <c r="C108" s="33" t="inlineStr">
        <is>
          <t>Bankruptcy</t>
        </is>
      </c>
      <c r="D108" s="33" t="inlineStr">
        <is>
          <t>Irving Oil</t>
        </is>
      </c>
      <c r="E108" s="39" t="n">
        <v>1</v>
      </c>
      <c r="F108" s="33" t="inlineStr">
        <is>
          <t>Paystone CCAA Filing – No EventWatch Notification (Irving Oil)</t>
        </is>
      </c>
      <c r="G108" s="33" t="inlineStr">
        <is>
          <t>Inquiry</t>
        </is>
      </c>
      <c r="H108" s="33" t="inlineStr">
        <is>
          <t>Missed insolvency alert</t>
        </is>
      </c>
      <c r="I108" s="33" t="inlineStr">
        <is>
          <t>Product</t>
        </is>
      </c>
      <c r="J108" s="33" t="inlineStr">
        <is>
          <t>Keyword Update</t>
        </is>
      </c>
      <c r="K108" s="33" t="inlineStr">
        <is>
          <t>Improvement</t>
        </is>
      </c>
      <c r="L108" s="33" t="inlineStr">
        <is>
          <t>RCA Shared</t>
        </is>
      </c>
      <c r="M108" s="33" t="inlineStr">
        <is>
          <t>Keyword coverage for insolvency and restructuring terminology in the bankruptcy algorithm, with a regression check when a filing type such as CCAA is added, so the same class of filing is not missed twice</t>
        </is>
      </c>
      <c r="N108" s="33" t="inlineStr">
        <is>
          <t>Yes</t>
        </is>
      </c>
      <c r="O108"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8" s="33" t="n"/>
      <c r="Q108" s="33" t="inlineStr">
        <is>
          <t>Yes</t>
        </is>
      </c>
      <c r="R108" s="39" t="n">
        <v>9</v>
      </c>
      <c r="S108" s="39" t="n"/>
      <c r="T108" s="35" t="inlineStr">
        <is>
          <t>Sep 2026</t>
        </is>
      </c>
      <c r="U108" s="33" t="inlineStr">
        <is>
          <t>Medium</t>
        </is>
      </c>
      <c r="V108" s="33" t="inlineStr">
        <is>
          <t>Dynamic Source Discovery</t>
        </is>
      </c>
      <c r="W108" s="33" t="inlineStr">
        <is>
          <t>EAO-41</t>
        </is>
      </c>
      <c r="X108"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8" s="33" t="inlineStr">
        <is>
          <t>Product &amp; Platform</t>
        </is>
      </c>
      <c r="Z108" s="37" t="n">
        <v>46288</v>
      </c>
    </row>
    <row r="109">
      <c r="A109" s="35" t="n">
        <v>46266</v>
      </c>
      <c r="B109" s="37" t="n">
        <v>46281</v>
      </c>
      <c r="C109" s="33" t="inlineStr">
        <is>
          <t>Bankruptcy</t>
        </is>
      </c>
      <c r="D109" s="33" t="inlineStr">
        <is>
          <t>Eaton</t>
        </is>
      </c>
      <c r="E109" s="39" t="n">
        <v>1</v>
      </c>
      <c r="F109" s="33" t="inlineStr">
        <is>
          <t>Pollmann Austria GmbH Insolvency – No EventWatch Notification (Eaton)</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is added, so the same class of filing is not missed twice</t>
        </is>
      </c>
      <c r="N109" s="33" t="inlineStr">
        <is>
          <t>Yes</t>
        </is>
      </c>
      <c r="O109"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09" s="33" t="inlineStr">
        <is>
          <t>15 days (01-Sep proceedings - 15-Sep escalation, never published)</t>
        </is>
      </c>
      <c r="Q109" s="33" t="inlineStr">
        <is>
          <t>Yes</t>
        </is>
      </c>
      <c r="R109" s="39" t="n">
        <v>9</v>
      </c>
      <c r="S109" s="39" t="n"/>
      <c r="T109" s="35" t="inlineStr">
        <is>
          <t>Sep 2026</t>
        </is>
      </c>
      <c r="U109" s="33" t="inlineStr">
        <is>
          <t>Medium</t>
        </is>
      </c>
      <c r="V109" s="33" t="inlineStr">
        <is>
          <t>Dynamic Source Discovery</t>
        </is>
      </c>
      <c r="W109" s="33" t="inlineStr">
        <is>
          <t>EAO-42</t>
        </is>
      </c>
      <c r="X109"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09" s="33" t="inlineStr">
        <is>
          <t>Product &amp; Platform</t>
        </is>
      </c>
      <c r="Z109" s="37" t="n">
        <v>46288</v>
      </c>
    </row>
    <row r="110">
      <c r="A110" s="35" t="n">
        <v>46266</v>
      </c>
      <c r="B110" s="37" t="n">
        <v>46283</v>
      </c>
      <c r="C110" s="33" t="inlineStr">
        <is>
          <t>Merger &amp; Acquisition</t>
        </is>
      </c>
      <c r="D110" s="33" t="inlineStr">
        <is>
          <t>Eaton</t>
        </is>
      </c>
      <c r="E110" s="39" t="n">
        <v>1</v>
      </c>
      <c r="F110" s="33" t="inlineStr">
        <is>
          <t>Clarification on Impact Confirmation Requests for Supplier Acquisitions (Eaton)</t>
        </is>
      </c>
      <c r="G110" s="33" t="inlineStr">
        <is>
          <t>Inquiry</t>
        </is>
      </c>
      <c r="H110" s="33" t="inlineStr">
        <is>
          <t>Monitoring Strategy RFI</t>
        </is>
      </c>
      <c r="I110" s="33" t="inlineStr">
        <is>
          <t>Process</t>
        </is>
      </c>
      <c r="J110" s="33" t="inlineStr">
        <is>
          <t>Process Clarification</t>
        </is>
      </c>
      <c r="K110" s="33" t="inlineStr">
        <is>
          <t>Improvement</t>
        </is>
      </c>
      <c r="L110" s="33" t="inlineStr">
        <is>
          <t>Clarification Provided</t>
        </is>
      </c>
      <c r="M110" s="33" t="inlineStr">
        <is>
          <t>Publish the M&amp;A impact-confirmation trigger criteria in-product, so the rationale for an acquiring-side outreach is visible on the request itself instead of being explained per account after the fact</t>
        </is>
      </c>
      <c r="N110" s="33" t="inlineStr">
        <is>
          <t>No</t>
        </is>
      </c>
      <c r="O110"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0" s="33" t="n"/>
      <c r="Q110" s="33" t="inlineStr">
        <is>
          <t>No</t>
        </is>
      </c>
      <c r="R110" s="39" t="n">
        <v>9</v>
      </c>
      <c r="S110" s="39" t="n"/>
      <c r="T110" s="35" t="inlineStr">
        <is>
          <t>Sep 2026</t>
        </is>
      </c>
      <c r="U110" s="33" t="inlineStr">
        <is>
          <t>Low</t>
        </is>
      </c>
      <c r="V110" s="33" t="inlineStr">
        <is>
          <t>WarRoom &amp; Decision Validation</t>
        </is>
      </c>
      <c r="W110" s="33" t="inlineStr">
        <is>
          <t>EAO-43</t>
        </is>
      </c>
      <c r="X110"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0" s="33" t="inlineStr">
        <is>
          <t>EventWatch Ops - Nitin Rindhe</t>
        </is>
      </c>
      <c r="Z110" s="37" t="n"/>
    </row>
    <row r="111">
      <c r="A111" s="35" t="n">
        <v>46266</v>
      </c>
      <c r="B111" s="37" t="n">
        <v>46289</v>
      </c>
      <c r="C111" s="33" t="inlineStr">
        <is>
          <t>Bankruptcy</t>
        </is>
      </c>
      <c r="D111" s="33" t="inlineStr">
        <is>
          <t>Eaton</t>
        </is>
      </c>
      <c r="E111" s="39" t="n">
        <v>1</v>
      </c>
      <c r="F111" s="33" t="inlineStr">
        <is>
          <t>UPG Enterprises Chapter 11 Mapped to Mapes &amp; Sprowl - Mapping and Severity Queried (Eaton)</t>
        </is>
      </c>
      <c r="G111" s="33" t="inlineStr">
        <is>
          <t>Inquiry</t>
        </is>
      </c>
      <c r="H111" s="33" t="inlineStr">
        <is>
          <t>Wrong Relevancy</t>
        </is>
      </c>
      <c r="I111" s="33" t="inlineStr">
        <is>
          <t>Product</t>
        </is>
      </c>
      <c r="J111" s="33" t="inlineStr">
        <is>
          <t>Mapping</t>
        </is>
      </c>
      <c r="K111" s="33" t="inlineStr">
        <is>
          <t>Improvement</t>
        </is>
      </c>
      <c r="L111" s="33" t="inlineStr">
        <is>
          <t>Clarification Provided</t>
        </is>
      </c>
      <c r="M111" s="33" t="inlineStr">
        <is>
          <t>Scope check on parent-subsidiary linkage for insolvency filings, so a WarRoom is not raised against a subsidiary the filing text explicitly excludes, plus a recorded basis for the severity grade</t>
        </is>
      </c>
      <c r="N111" s="33" t="inlineStr">
        <is>
          <t>No</t>
        </is>
      </c>
      <c r="O111"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1" s="33" t="n"/>
      <c r="Q111" s="33" t="inlineStr">
        <is>
          <t>No</t>
        </is>
      </c>
      <c r="R111" s="39" t="n">
        <v>9</v>
      </c>
      <c r="S111" s="39" t="n"/>
      <c r="T111" s="35" t="inlineStr">
        <is>
          <t>Sep 2026</t>
        </is>
      </c>
      <c r="U111" s="33" t="inlineStr">
        <is>
          <t>Medium</t>
        </is>
      </c>
      <c r="V111" s="33" t="inlineStr">
        <is>
          <t>Entity &amp; Supplier Resolution</t>
        </is>
      </c>
      <c r="W111" s="33" t="inlineStr">
        <is>
          <t>EAO-44</t>
        </is>
      </c>
      <c r="X111"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1" s="33" t="inlineStr">
        <is>
          <t>Product &amp; Platform</t>
        </is>
      </c>
      <c r="Z111" s="37" t="n"/>
    </row>
    <row r="112">
      <c r="A112" s="35" t="n">
        <v>46266</v>
      </c>
      <c r="B112" s="37" t="n">
        <v>46289</v>
      </c>
      <c r="C112" s="33" t="inlineStr">
        <is>
          <t>Factory Fire</t>
        </is>
      </c>
      <c r="D112" s="33" t="inlineStr">
        <is>
          <t>Ford</t>
        </is>
      </c>
      <c r="E112" s="39" t="n">
        <v>1</v>
      </c>
      <c r="F112" s="33" t="inlineStr">
        <is>
          <t>Purflux Group Filter Systems Maroc Facility Fire - 10-11 Day Alert Delay (Ford)</t>
        </is>
      </c>
      <c r="G112" s="33" t="inlineStr">
        <is>
          <t>Complaint</t>
        </is>
      </c>
      <c r="H112" s="33" t="inlineStr">
        <is>
          <t>Delayed Event</t>
        </is>
      </c>
      <c r="I112" s="33" t="inlineStr">
        <is>
          <t>Product</t>
        </is>
      </c>
      <c r="J112" s="33" t="inlineStr">
        <is>
          <t>Source Coverage</t>
        </is>
      </c>
      <c r="K112" s="33" t="inlineStr">
        <is>
          <t>Improvement</t>
        </is>
      </c>
      <c r="L112" s="33" t="inlineStr">
        <is>
          <t>Pending</t>
        </is>
      </c>
      <c r="M112" s="33" t="inlineStr">
        <is>
          <t>Latency monitoring on the gap between an incident's first public report and EventWatch publication, so a multi-day lag on a Tier-1 manufacturing site raises an internal alarm instead of waiting for the customer to notice</t>
        </is>
      </c>
      <c r="N112" s="33" t="inlineStr">
        <is>
          <t>Yes</t>
        </is>
      </c>
      <c r="O112"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2" s="33" t="inlineStr">
        <is>
          <t>~10-11 days (event 11/12-Sep-2026 -&gt; published 22-Sep-2026)</t>
        </is>
      </c>
      <c r="Q112" s="33" t="inlineStr">
        <is>
          <t>Yes</t>
        </is>
      </c>
      <c r="R112" s="39" t="n">
        <v>9</v>
      </c>
      <c r="S112" s="39" t="n">
        <v>252</v>
      </c>
      <c r="T112" s="35" t="inlineStr">
        <is>
          <t>Sep 2026</t>
        </is>
      </c>
      <c r="U112" s="33" t="inlineStr">
        <is>
          <t>High</t>
        </is>
      </c>
      <c r="V112" s="33" t="inlineStr">
        <is>
          <t>Dynamic Source Discovery</t>
        </is>
      </c>
      <c r="W112" s="33" t="inlineStr">
        <is>
          <t>EAO-45</t>
        </is>
      </c>
      <c r="X112"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2" s="33" t="inlineStr">
        <is>
          <t>Product &amp; Platform</t>
        </is>
      </c>
      <c r="Z112" s="37" t="n"/>
    </row>
    <row r="113">
      <c r="A113" s="35" t="n">
        <v>46266</v>
      </c>
      <c r="B113" s="37" t="n">
        <v>46293</v>
      </c>
      <c r="C113" s="33" t="inlineStr">
        <is>
          <t>Litigation/Legal</t>
        </is>
      </c>
      <c r="D113" s="33" t="inlineStr">
        <is>
          <t>Eaton</t>
        </is>
      </c>
      <c r="E113" s="39" t="n">
        <v>1</v>
      </c>
      <c r="F113" s="33" t="inlineStr">
        <is>
          <t>USITC DRAM Patent Investigation - Duplicate WarRooms Published for One Event (Eaton)</t>
        </is>
      </c>
      <c r="G113" s="33" t="inlineStr">
        <is>
          <t>Complaint</t>
        </is>
      </c>
      <c r="H113" s="33" t="inlineStr">
        <is>
          <t>Duplicate WarRooms</t>
        </is>
      </c>
      <c r="I113" s="33" t="inlineStr">
        <is>
          <t>People</t>
        </is>
      </c>
      <c r="J113" s="33" t="inlineStr">
        <is>
          <t>Duplication</t>
        </is>
      </c>
      <c r="K113" s="33" t="inlineStr">
        <is>
          <t>Improvement</t>
        </is>
      </c>
      <c r="L113" s="33" t="inlineStr">
        <is>
          <t>Pending</t>
        </is>
      </c>
      <c r="M113"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3" s="33" t="inlineStr">
        <is>
          <t>Yes</t>
        </is>
      </c>
      <c r="O113"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3" s="33" t="n"/>
      <c r="Q113" s="33" t="inlineStr">
        <is>
          <t>No</t>
        </is>
      </c>
      <c r="R113" s="39" t="n">
        <v>9</v>
      </c>
      <c r="S113" s="39" t="n"/>
      <c r="T113" s="35" t="inlineStr">
        <is>
          <t>Sep 2026</t>
        </is>
      </c>
      <c r="U113" s="33" t="inlineStr">
        <is>
          <t>Medium</t>
        </is>
      </c>
      <c r="V113" s="33" t="inlineStr">
        <is>
          <t>Cluster Integrity &amp; Duplicate Prevention</t>
        </is>
      </c>
      <c r="W113" s="33" t="inlineStr">
        <is>
          <t>EAO-46</t>
        </is>
      </c>
      <c r="X113"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3" s="33" t="inlineStr">
        <is>
          <t>EventWatch Ops - Nitin Rindhe</t>
        </is>
      </c>
      <c r="Z113" s="37" t="n"/>
    </row>
    <row r="114">
      <c r="A114" s="35" t="n">
        <v>46266</v>
      </c>
      <c r="B114" s="37" t="n">
        <v>46293</v>
      </c>
      <c r="C114" s="33" t="inlineStr">
        <is>
          <t>Financial Distress</t>
        </is>
      </c>
      <c r="D114" s="33" t="inlineStr">
        <is>
          <t>Western Digital</t>
        </is>
      </c>
      <c r="E114" s="39" t="n">
        <v>1</v>
      </c>
      <c r="F114" s="33" t="inlineStr">
        <is>
          <t>Nidec Reported 1tn Yen Impairment and CEO Dismissal - No EventWatch Event Created (Western Digital)</t>
        </is>
      </c>
      <c r="G114" s="33" t="inlineStr">
        <is>
          <t>Complaint</t>
        </is>
      </c>
      <c r="H114" s="33" t="inlineStr">
        <is>
          <t>Missed Event</t>
        </is>
      </c>
      <c r="I114" s="33" t="inlineStr">
        <is>
          <t>Product</t>
        </is>
      </c>
      <c r="J114" s="33" t="inlineStr">
        <is>
          <t>Source Coverage</t>
        </is>
      </c>
      <c r="K114" s="33" t="inlineStr">
        <is>
          <t>Improvement</t>
        </is>
      </c>
      <c r="L114" s="33" t="inlineStr">
        <is>
          <t>Pending</t>
        </is>
      </c>
      <c r="M114" s="33" t="inlineStr">
        <is>
          <t>Coverage of Japanese-language business and financial press for listed suppliers, with a path for a credible but company-unconfirmed report to be staged as a monitoring story the customer can see rather than being absent entirely</t>
        </is>
      </c>
      <c r="N114" s="33" t="inlineStr">
        <is>
          <t>Yes</t>
        </is>
      </c>
      <c r="O114" s="33" t="inlineStr">
        <is>
          <t>Staged from Jira EAO-47 (Open).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the owners' equity ratio expected to fall to the 20% level; an extraordinary board meeting on 25-Sep-2026 reportedly dismissed CEO Mitsuya Kishida over the impairments. Goldman Sachs takes no view on the accuracy of the article and the company had not confirmed it, with the yuho securities report expected 30-Sep-2026. A backend check found no corresponding EventWatch event. The customer asked for a root-cause explanation and a customer-ready response. Currently under investigation, so Root Cause, Sub-type and Standard Automation Focus remain provisional.</t>
        </is>
      </c>
      <c r="P114" s="33" t="n"/>
      <c r="Q114" s="33" t="inlineStr">
        <is>
          <t>Yes</t>
        </is>
      </c>
      <c r="R114" s="39" t="n">
        <v>9</v>
      </c>
      <c r="S114" s="39" t="n"/>
      <c r="T114" s="35" t="inlineStr">
        <is>
          <t>Sep 2026</t>
        </is>
      </c>
      <c r="U114" s="33" t="inlineStr">
        <is>
          <t>Medium</t>
        </is>
      </c>
      <c r="V114" s="33" t="inlineStr">
        <is>
          <t>Dynamic Source Discovery</t>
        </is>
      </c>
      <c r="W114" s="33" t="inlineStr">
        <is>
          <t>EAO-47</t>
        </is>
      </c>
      <c r="X114" s="33" t="n"/>
      <c r="Y114" s="33" t="inlineStr">
        <is>
          <t>Product &amp; Platform</t>
        </is>
      </c>
      <c r="Z114" s="37" t="n"/>
    </row>
    <row r="115">
      <c r="A115" s="35" t="n">
        <v>46266</v>
      </c>
      <c r="B115" s="37" t="n">
        <v>46293</v>
      </c>
      <c r="C115" s="33" t="inlineStr">
        <is>
          <t>Port Disruption</t>
        </is>
      </c>
      <c r="D115" s="33" t="inlineStr">
        <is>
          <t>Ford</t>
        </is>
      </c>
      <c r="E115" s="39" t="n">
        <v>1</v>
      </c>
      <c r="F115" s="33" t="inlineStr">
        <is>
          <t>South Africa Port and Corridor Congestion - EWC Cargo Movement Update Not Flagged (Ford)</t>
        </is>
      </c>
      <c r="G115" s="33" t="inlineStr">
        <is>
          <t>Complaint</t>
        </is>
      </c>
      <c r="H115" s="33" t="inlineStr">
        <is>
          <t>Missed Event</t>
        </is>
      </c>
      <c r="I115" s="33" t="inlineStr">
        <is>
          <t>Product</t>
        </is>
      </c>
      <c r="J115" s="33" t="inlineStr">
        <is>
          <t>Source Coverage</t>
        </is>
      </c>
      <c r="K115" s="33" t="inlineStr">
        <is>
          <t>Improvement</t>
        </is>
      </c>
      <c r="L115" s="33" t="inlineStr">
        <is>
          <t>Pending</t>
        </is>
      </c>
      <c r="M115" s="33" t="inlineStr">
        <is>
          <t>Monitoring of regional logistics and industry-body publications such as Exporters Western Cape, plus a rule for chronic port and corridor congestion that raises a standing condition into a reportable event when dwell times or berthing delays cross a threshold rather than never qualifying because nothing discretely happened</t>
        </is>
      </c>
      <c r="N115" s="33" t="inlineStr">
        <is>
          <t>Yes</t>
        </is>
      </c>
      <c r="O115" s="33" t="inlineStr">
        <is>
          <t>Staged from Jira EAO-48 (Open). Ford reported that Resilinc did not flag the South African logistics and port disruption set out in the Exporters Western Cape Cargo Movement Update of 20-Sep-2026: multi-day vessel waiting and berthing delays, high container dwell times, terminal equipment breakdowns and landside rail and road delays across Durban, Cape Town, Port Elizabeth/Ngqura and regional border posts. Ford's exposure is the Silverton Assembly Plant and the Struandale Engine Plant, covering inbound CKD and JIT parts and outbound vehicle and engine exports. A backend search found no corresponding event for those locations. Ford has requested a formal RCA plus interim and permanent corrective actions covering regional freight, port operations and logistics corridors across South Africa and Africa, and has asked whether EWC is on the monitored source list and whether its two South African plants are mapped. Currently under investigation, so Root Cause, Sub-type and Standard Automation Focus remain provisional.</t>
        </is>
      </c>
      <c r="P115" s="33" t="n"/>
      <c r="Q115" s="33" t="inlineStr">
        <is>
          <t>Yes</t>
        </is>
      </c>
      <c r="R115" s="39" t="n">
        <v>9</v>
      </c>
      <c r="S115" s="39" t="n"/>
      <c r="T115" s="35" t="inlineStr">
        <is>
          <t>Sep 2026</t>
        </is>
      </c>
      <c r="U115" s="33" t="inlineStr">
        <is>
          <t>High</t>
        </is>
      </c>
      <c r="V115" s="33" t="inlineStr">
        <is>
          <t>Dynamic Source Discovery</t>
        </is>
      </c>
      <c r="W115" s="33" t="inlineStr">
        <is>
          <t>EAO-48</t>
        </is>
      </c>
      <c r="X115" s="33" t="n"/>
      <c r="Y115" s="33" t="inlineStr">
        <is>
          <t>Product &amp; Platform</t>
        </is>
      </c>
      <c r="Z115"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33</v>
      </c>
      <c r="C67" s="23" t="n" cm="1">
        <f t="array" ref="C67:C76">_xlfn.ANCHORARRAY(B67)/COUNTIF(ComplaintTracker[Issue Type],"Complaint")</f>
        <v>0.35106382978723405</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2">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11</v>
      </c>
      <c r="K67" s="75" t="n">
        <v>2</v>
      </c>
      <c r="L67" s="75" t="n">
        <v>13</v>
      </c>
    </row>
    <row r="68" ht="23.25" customHeight="1">
      <c r="A68" s="20" t="inlineStr">
        <is>
          <t>Eaton</t>
        </is>
      </c>
      <c r="B68" s="22" t="n">
        <v>13</v>
      </c>
      <c r="C68" s="24" t="n">
        <v>0.13829787234042554</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0.07446808510638298</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0.0425531914893617</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1</v>
      </c>
      <c r="L70" s="76" t="n">
        <v>14</v>
      </c>
    </row>
    <row r="71" ht="23.25" customHeight="1">
      <c r="A71" s="20" t="inlineStr">
        <is>
          <t>GM</t>
        </is>
      </c>
      <c r="B71" s="22" t="n">
        <v>4</v>
      </c>
      <c r="C71" s="24" t="n">
        <v>0.0425531914893617</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2</v>
      </c>
      <c r="K71" s="76" t="n">
        <v>1</v>
      </c>
      <c r="L71" s="76" t="n">
        <v>3</v>
      </c>
    </row>
    <row r="72" ht="18" customHeight="1">
      <c r="A72" s="20" t="inlineStr">
        <is>
          <t>Ford/GM</t>
        </is>
      </c>
      <c r="B72" s="22" t="n">
        <v>3</v>
      </c>
      <c r="C72" s="24" t="n">
        <v>0.031914893617021274</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7</v>
      </c>
      <c r="K72" s="76" t="n">
        <v>0</v>
      </c>
      <c r="L72" s="76" t="n">
        <v>7</v>
      </c>
    </row>
    <row r="73" ht="23.25" customHeight="1">
      <c r="A73" s="20" t="inlineStr">
        <is>
          <t>Hitachi</t>
        </is>
      </c>
      <c r="B73" s="22" t="n">
        <v>2</v>
      </c>
      <c r="C73" s="24" t="n">
        <v>0.02127659574468085</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Merck</t>
        </is>
      </c>
      <c r="B74" s="22" t="n">
        <v>2</v>
      </c>
      <c r="C74" s="24" t="n">
        <v>0.02127659574468085</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Schneider Electric</t>
        </is>
      </c>
      <c r="B75" s="22" t="n">
        <v>2</v>
      </c>
      <c r="C75" s="24" t="n">
        <v>0.02127659574468085</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13</v>
      </c>
      <c r="K75" s="76" t="n">
        <v>3</v>
      </c>
      <c r="L75" s="76" t="n">
        <v>16</v>
      </c>
    </row>
    <row r="76" ht="23.25" customHeight="1">
      <c r="A76" s="20" t="inlineStr">
        <is>
          <t>UVM Health Network</t>
        </is>
      </c>
      <c r="B76" s="22" t="n">
        <v>2</v>
      </c>
      <c r="C76" s="24" t="n">
        <v>0.02127659574468085</v>
      </c>
      <c r="D76" s="3" t="n"/>
      <c r="E76" s="25" t="inlineStr">
        <is>
          <t>Total</t>
        </is>
      </c>
      <c r="F76" s="26">
        <f>SUM(F67:F75)</f>
        <v/>
      </c>
      <c r="G76" s="27">
        <f>SUM(G67:G75)</f>
        <v/>
      </c>
      <c r="H76" s="3" t="n"/>
      <c r="I76" s="20" t="inlineStr">
        <is>
          <t>Financial Distress</t>
        </is>
      </c>
      <c r="J76" s="76" t="n">
        <v>2</v>
      </c>
      <c r="K76" s="76" t="n">
        <v>0</v>
      </c>
      <c r="L76" s="76" t="n">
        <v>2</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6</v>
      </c>
      <c r="K77" s="76" t="n">
        <v>1</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Litigation/Legal</t>
        </is>
      </c>
      <c r="J81" s="76" t="n">
        <v>2</v>
      </c>
      <c r="K81" s="76" t="n">
        <v>0</v>
      </c>
      <c r="L81" s="76" t="n">
        <v>2</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Port Disruption</t>
        </is>
      </c>
      <c r="J84" s="76" t="n">
        <v>1</v>
      </c>
      <c r="K84" s="76" t="n">
        <v>0</v>
      </c>
      <c r="L84" s="76" t="n">
        <v>1</v>
      </c>
    </row>
    <row r="85" ht="23.25" customHeight="1">
      <c r="A85" s="3" t="n"/>
      <c r="B85" s="3" t="n"/>
      <c r="C85" s="3" t="n"/>
      <c r="D85" s="3" t="n"/>
      <c r="E85" s="3" t="n"/>
      <c r="F85" s="3" t="n"/>
      <c r="G85" s="3" t="n"/>
      <c r="H85" s="3" t="n"/>
      <c r="I85" s="20" t="inlineStr">
        <is>
          <t>Power Outage</t>
        </is>
      </c>
      <c r="J85" s="76" t="n">
        <v>1</v>
      </c>
      <c r="K85" s="76" t="n">
        <v>1</v>
      </c>
      <c r="L85" s="76" t="n">
        <v>2</v>
      </c>
    </row>
    <row r="86" ht="23.25" customHeight="1">
      <c r="A86" s="3" t="n"/>
      <c r="B86" s="3" t="n"/>
      <c r="C86" s="3" t="n"/>
      <c r="D86" s="3" t="n"/>
      <c r="E86" s="3" t="n"/>
      <c r="F86" s="3" t="n"/>
      <c r="G86" s="3" t="n"/>
      <c r="H86" s="3" t="n"/>
      <c r="I86" s="20" t="inlineStr">
        <is>
          <t>Protest/Riot</t>
        </is>
      </c>
      <c r="J86" s="76" t="n">
        <v>5</v>
      </c>
      <c r="K86" s="76" t="n">
        <v>0</v>
      </c>
      <c r="L86" s="76" t="n">
        <v>5</v>
      </c>
    </row>
    <row r="87" ht="18" customHeight="1">
      <c r="A87" s="3" t="n"/>
      <c r="B87" s="3" t="n"/>
      <c r="C87" s="3" t="n"/>
      <c r="D87" s="3" t="n"/>
      <c r="E87" s="3" t="n"/>
      <c r="F87" s="3" t="n"/>
      <c r="G87" s="3" t="n"/>
      <c r="H87" s="3" t="n"/>
      <c r="I87" s="20" t="inlineStr">
        <is>
          <t>Regulatory Change</t>
        </is>
      </c>
      <c r="J87" s="76" t="n">
        <v>6</v>
      </c>
      <c r="K87" s="76" t="n">
        <v>0</v>
      </c>
      <c r="L87" s="76" t="n">
        <v>6</v>
      </c>
      <c r="M87" s="3" t="n"/>
      <c r="N87" s="3" t="n"/>
      <c r="O87" s="3" t="n"/>
      <c r="P87" s="3" t="n"/>
      <c r="Q87" s="3" t="n"/>
      <c r="R87" s="3" t="n"/>
    </row>
    <row r="88" ht="18" customHeight="1">
      <c r="A88" s="3" t="n"/>
      <c r="B88" s="3" t="n"/>
      <c r="C88" s="3" t="n"/>
      <c r="D88" s="3" t="n"/>
      <c r="E88" s="3" t="n"/>
      <c r="F88" s="3" t="n"/>
      <c r="G88" s="3" t="n"/>
      <c r="H88" s="3" t="n"/>
      <c r="I88" s="20" t="inlineStr">
        <is>
          <t>Supply Shortage</t>
        </is>
      </c>
      <c r="J88" s="76" t="n">
        <v>4</v>
      </c>
      <c r="K88" s="76" t="n">
        <v>4</v>
      </c>
      <c r="L88" s="76" t="n">
        <v>8</v>
      </c>
      <c r="M88" s="3" t="n"/>
      <c r="N88" s="3" t="n"/>
      <c r="O88" s="3" t="n"/>
      <c r="P88" s="3" t="n"/>
      <c r="Q88" s="3" t="n"/>
      <c r="R88" s="3" t="n"/>
    </row>
    <row r="89" ht="18" customHeight="1">
      <c r="A89" s="3" t="n"/>
      <c r="B89" s="3" t="n"/>
      <c r="C89" s="3" t="n"/>
      <c r="D89" s="3" t="n"/>
      <c r="E89" s="3" t="n"/>
      <c r="F89" s="3" t="n"/>
      <c r="G89" s="3" t="n"/>
      <c r="H89" s="3" t="n"/>
      <c r="I89" s="20" t="inlineStr">
        <is>
          <t>Tornado</t>
        </is>
      </c>
      <c r="J89" s="76" t="n">
        <v>3</v>
      </c>
      <c r="K89" s="76" t="n">
        <v>0</v>
      </c>
      <c r="L89" s="76" t="n">
        <v>3</v>
      </c>
      <c r="M89" s="3" t="n"/>
      <c r="N89" s="3" t="n"/>
      <c r="O89" s="3" t="n"/>
      <c r="P89" s="3" t="n"/>
      <c r="Q89" s="3" t="n"/>
      <c r="R89" s="3" t="n"/>
    </row>
    <row r="90" ht="18" customHeight="1">
      <c r="A90" s="3" t="n"/>
      <c r="B90" s="3" t="n"/>
      <c r="C90" s="3" t="n"/>
      <c r="D90" s="3" t="n"/>
      <c r="E90" s="3" t="n"/>
      <c r="F90" s="3" t="n"/>
      <c r="G90" s="3" t="n"/>
      <c r="H90" s="3" t="n"/>
      <c r="I90" s="20" t="inlineStr">
        <is>
          <t>Transport Disruption</t>
        </is>
      </c>
      <c r="J90" s="76" t="n">
        <v>1</v>
      </c>
      <c r="K90" s="76" t="n">
        <v>1</v>
      </c>
      <c r="L90" s="76" t="n">
        <v>2</v>
      </c>
      <c r="M90" s="3" t="n"/>
      <c r="N90" s="3" t="n"/>
      <c r="O90" s="3" t="n"/>
      <c r="P90" s="3" t="n"/>
      <c r="Q90" s="3" t="n"/>
      <c r="R90" s="3" t="n"/>
    </row>
    <row r="91" ht="18" customHeight="1">
      <c r="A91" s="3" t="n"/>
      <c r="B91" s="3" t="n"/>
      <c r="C91" s="3" t="n"/>
      <c r="D91" s="3" t="n"/>
      <c r="E91" s="3" t="n"/>
      <c r="F91" s="3" t="n"/>
      <c r="G91" s="3" t="n"/>
      <c r="H91" s="3" t="n"/>
      <c r="I91" s="20" t="inlineStr">
        <is>
          <t>Wildfire</t>
        </is>
      </c>
      <c r="J91" s="76" t="n">
        <v>3</v>
      </c>
      <c r="K91" s="76" t="n">
        <v>1</v>
      </c>
      <c r="L91" s="76" t="n">
        <v>4</v>
      </c>
      <c r="M91" s="3" t="n"/>
      <c r="N91" s="3" t="n"/>
      <c r="O91" s="3" t="n"/>
      <c r="P91" s="3" t="n"/>
      <c r="Q91" s="3" t="n"/>
      <c r="R91" s="3" t="n"/>
    </row>
    <row r="92" ht="18" customHeight="1">
      <c r="A92" s="3" t="n"/>
      <c r="B92" s="3" t="n"/>
      <c r="C92" s="3" t="n"/>
      <c r="D92" s="3" t="n"/>
      <c r="E92" s="3" t="n"/>
      <c r="F92" s="3" t="n"/>
      <c r="G92" s="3" t="n"/>
      <c r="H92" s="3" t="n"/>
      <c r="I92" s="25" t="inlineStr">
        <is>
          <t>Total</t>
        </is>
      </c>
      <c r="J92" s="77" t="n">
        <v>94</v>
      </c>
      <c r="K92" s="77" t="n">
        <v>20</v>
      </c>
      <c r="L92" s="77" t="n">
        <v>114</v>
      </c>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2"/>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Litigation/Legal</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