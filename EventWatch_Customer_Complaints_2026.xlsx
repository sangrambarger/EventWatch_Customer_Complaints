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4</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1</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24</v>
                </pt>
                <pt idx="2">
                  <v>17</v>
                </pt>
                <pt idx="3">
                  <v>4</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2</v>
                </pt>
                <pt idx="2">
                  <v>91</v>
                </pt>
                <pt idx="3">
                  <v>10</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32</v>
                </pt>
                <pt idx="1">
                  <v>12</v>
                </pt>
                <pt idx="2">
                  <v>7</v>
                </pt>
                <pt idx="3">
                  <v>4</v>
                </pt>
                <pt idx="4">
                  <v>4</v>
                </pt>
                <pt idx="5">
                  <v>3</v>
                </pt>
                <pt idx="6">
                  <v>2</v>
                </pt>
                <pt idx="7">
                  <v>2</v>
                </pt>
                <pt idx="8">
                  <v>2</v>
                </pt>
                <pt idx="9">
                  <v>2</v>
                </pt>
                <pt idx="10">
                  <v>20</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26</v>
                </pt>
                <pt idx="1">
                  <v>31</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Y104" headerRowCount="1" totalsRowShown="0" headerRowDxfId="30" dataDxfId="29">
  <autoFilter ref="A1:Y104"/>
  <tableColumns count="25">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0"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Y104"/>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Pending</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n"/>
      <c r="Y31" s="33" t="inlineStr">
        <is>
          <t>Product &amp; Platform</t>
        </is>
      </c>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Pending</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Pending</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Pending</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n"/>
      <c r="Y102" s="33" t="inlineStr">
        <is>
          <t>Product &amp; Platform</t>
        </is>
      </c>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32</v>
      </c>
      <c r="C67" s="23" t="n" cm="1">
        <f t="array" ref="C67:C76">_xlfn.ANCHORARRAY(B67)/COUNTIF(ComplaintTracker[Issue Type],"Complaint")</f>
        <v>0.35555555555555557</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10</v>
      </c>
      <c r="K67" s="75" t="n">
        <v>0</v>
      </c>
      <c r="L67" s="75" t="n">
        <v>10</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2</v>
      </c>
      <c r="L75" s="76" t="n">
        <v>14</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1</v>
      </c>
      <c r="L82" s="76" t="n">
        <v>4</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3</v>
      </c>
      <c r="K87" s="76" t="n">
        <v>3</v>
      </c>
      <c r="L87" s="76" t="n">
        <v>6</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13</v>
      </c>
      <c r="L91" s="77" t="n">
        <v>103</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0"/>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