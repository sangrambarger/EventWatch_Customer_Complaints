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Dashboard!$A$50:$A$57</f>
              <numCache>
                <formatCode>mmm\ yyyy</formatCode>
                <ptCount val="8"/>
                <pt idx="0">
                  <v>46023</v>
                </pt>
                <pt idx="1">
                  <v>46054</v>
                </pt>
                <pt idx="2">
                  <v>46082</v>
                </pt>
                <pt idx="3">
                  <v>46113</v>
                </pt>
                <pt idx="4">
                  <v>46143</v>
                </pt>
                <pt idx="5">
                  <v>46174</v>
                </pt>
                <pt idx="6">
                  <v>46204</v>
                </pt>
                <pt idx="7">
                  <v>46235</v>
                </pt>
              </numCache>
            </numRef>
          </cat>
          <val>
            <numRef>
              <f>Dashboard!$B$50:$B$57</f>
              <numCache>
                <formatCode>General</formatCode>
                <ptCount val="8"/>
                <pt idx="0">
                  <v>4</v>
                </pt>
                <pt idx="1">
                  <v>7</v>
                </pt>
                <pt idx="2">
                  <v>11</v>
                </pt>
                <pt idx="3">
                  <v>11</v>
                </pt>
                <pt idx="4">
                  <v>17</v>
                </pt>
                <pt idx="5">
                  <v>8</v>
                </pt>
                <pt idx="6">
                  <v>3</v>
                </pt>
                <pt idx="7">
                  <v>12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Dashboard!$A$50:$A$57</f>
              <numCache>
                <formatCode>mmm\ yyyy</formatCode>
                <ptCount val="8"/>
                <pt idx="0">
                  <v>46023</v>
                </pt>
                <pt idx="1">
                  <v>46054</v>
                </pt>
                <pt idx="2">
                  <v>46082</v>
                </pt>
                <pt idx="3">
                  <v>46113</v>
                </pt>
                <pt idx="4">
                  <v>46143</v>
                </pt>
                <pt idx="5">
                  <v>46174</v>
                </pt>
                <pt idx="6">
                  <v>46204</v>
                </pt>
                <pt idx="7">
                  <v>46235</v>
                </pt>
              </numCache>
            </numRef>
          </cat>
          <val>
            <numRef>
              <f>Dashboard!$C$50:$C$57</f>
              <numCache>
                <formatCode>General</formatCode>
                <ptCount val="8"/>
                <pt idx="0">
                  <v>0</v>
                </pt>
                <pt idx="1">
                  <v>0</v>
                </pt>
                <pt idx="2">
                  <v>1</v>
                </pt>
                <pt idx="3">
                  <v>1</v>
                </pt>
                <pt idx="4">
                  <v>1</v>
                </pt>
                <pt idx="5">
                  <v>3</v>
                </pt>
                <pt idx="6">
                  <v>1</v>
                </pt>
                <pt idx="7">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Dashboard!$I$50:$I$52</f>
              <strCache>
                <ptCount val="3"/>
                <pt idx="0">
                  <v>Fixed</v>
                </pt>
                <pt idx="1">
                  <v>RCA Shared</v>
                </pt>
                <pt idx="2">
                  <v>Clarification Provided</v>
                </pt>
              </strCache>
            </strRef>
          </cat>
          <val>
            <numRef>
              <f>Dashboard!$J$50:$J$52</f>
              <numCache>
                <formatCode>General</formatCode>
                <ptCount val="3"/>
                <pt idx="0">
                  <v>38</v>
                </pt>
                <pt idx="1">
                  <v>18</v>
                </pt>
                <pt idx="2">
                  <v>17</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75</v>
                </pt>
                <pt idx="3">
                  <v>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38</v>
                </pt>
                <pt idx="1">
                  <v>28</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Merck</v>
                </pt>
                <pt idx="6">
                  <v>Schneider Electric</v>
                </pt>
                <pt idx="7">
                  <v>UVM Health Network</v>
                </pt>
                <pt idx="8">
                  <v>Bombardier</v>
                </pt>
                <pt idx="9">
                  <v>Fedrigoni Group</v>
                </pt>
                <pt idx="10">
                  <v>Other customers</v>
                </pt>
              </strCache>
            </strRef>
          </cat>
          <val>
            <numRef>
              <f>Dashboard!$B$64:$B$74</f>
              <numCache>
                <formatCode>General</formatCode>
                <ptCount val="11"/>
                <pt idx="0">
                  <v>32</v>
                </pt>
                <pt idx="1">
                  <v>10</v>
                </pt>
                <pt idx="2">
                  <v>6</v>
                </pt>
                <pt idx="3">
                  <v>4</v>
                </pt>
                <pt idx="4">
                  <v>2</v>
                </pt>
                <pt idx="5">
                  <v>2</v>
                </pt>
                <pt idx="6">
                  <v>2</v>
                </pt>
                <pt idx="7">
                  <v>2</v>
                </pt>
                <pt idx="8">
                  <v>1</v>
                </pt>
                <pt idx="9">
                  <v>1</v>
                </pt>
                <pt idx="10">
                  <v>11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22</v>
                </pt>
                <pt idx="1">
                  <v>26</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W94" headerRowCount="1" totalsRowShown="0" headerRowDxfId="30" dataDxfId="29">
  <autoFilter ref="A1:W94"/>
  <tableColumns count="23">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6" headerRowCount="1" totalsRowShown="0" headerRowDxfId="6" dataDxfId="5">
  <autoFilter ref="A3:E136"/>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W9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row>
    <row r="54">
      <c r="A54" s="35" t="n">
        <v>46174</v>
      </c>
      <c r="B54" s="37" t="n">
        <v>46177</v>
      </c>
      <c r="C54" s="33" t="inlineStr">
        <is>
          <t>Protest/Riot</t>
        </is>
      </c>
      <c r="D54" s="34" t="inlineStr">
        <is>
          <t>Ford</t>
        </is>
      </c>
      <c r="E54" s="39" t="n">
        <v>1</v>
      </c>
      <c r="F54" s="33" t="inlineStr">
        <is>
          <t>ANTAC Transport Blockades in Mexico</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Dynamic Source Discovery</t>
        </is>
      </c>
      <c r="N54" s="33" t="inlineStr">
        <is>
          <t>Yes</t>
        </is>
      </c>
      <c r="O54" s="33" t="inlineStr">
        <is>
          <t>RCA completed; keyword gap identified and corrective actions implemented. Spanish-language detection logic did not recognize transportation disruption and protest terminology. Relevant keywords were added.</t>
        </is>
      </c>
      <c r="P54" s="33" t="n"/>
      <c r="Q54" s="33" t="inlineStr">
        <is>
          <t>Yes</t>
        </is>
      </c>
      <c r="R54" s="39" t="n">
        <v>6</v>
      </c>
      <c r="S54" s="39" t="n"/>
      <c r="T54" s="35" t="n">
        <v>46174</v>
      </c>
      <c r="U54" s="33" t="inlineStr">
        <is>
          <t>Medium</t>
        </is>
      </c>
      <c r="V54" s="33" t="inlineStr">
        <is>
          <t>Dynamic Source Discovery</t>
        </is>
      </c>
    </row>
    <row r="55" customFormat="1" s="29">
      <c r="A55" s="36" t="n">
        <v>46143</v>
      </c>
      <c r="B55" s="38" t="n">
        <v>46164</v>
      </c>
      <c r="C55" s="34" t="inlineStr">
        <is>
          <t>Wildfire</t>
        </is>
      </c>
      <c r="D55" s="34" t="inlineStr">
        <is>
          <t>Ford</t>
        </is>
      </c>
      <c r="E55" s="40" t="n">
        <v>1</v>
      </c>
      <c r="F55" s="34" t="inlineStr">
        <is>
          <t>Supplier Impact Mapping Clarification – Sandy Fire (Simi Valley, California, USA)</t>
        </is>
      </c>
      <c r="G55" s="34" t="inlineStr">
        <is>
          <t>Inquiry</t>
        </is>
      </c>
      <c r="H55" s="34" t="inlineStr">
        <is>
          <t>Supplier Impact Mapping Clarification</t>
        </is>
      </c>
      <c r="I55" s="34" t="inlineStr">
        <is>
          <t>Process</t>
        </is>
      </c>
      <c r="J55" s="34" t="inlineStr">
        <is>
          <t>Mapping</t>
        </is>
      </c>
      <c r="K55" s="34" t="inlineStr">
        <is>
          <t>Improvement</t>
        </is>
      </c>
      <c r="L55" s="34" t="inlineStr">
        <is>
          <t>Clarification Provided</t>
        </is>
      </c>
      <c r="M55" s="34" t="inlineStr">
        <is>
          <t>Geofencing validation enhancement</t>
        </is>
      </c>
      <c r="N55" s="34" t="inlineStr">
        <is>
          <t>Yes</t>
        </is>
      </c>
      <c r="O55"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5" s="34" t="inlineStr">
        <is>
          <t>~22.5 hours</t>
        </is>
      </c>
      <c r="Q55" s="34" t="inlineStr">
        <is>
          <t>No</t>
        </is>
      </c>
      <c r="R55" s="40" t="n">
        <v>5</v>
      </c>
      <c r="S55" s="40" t="n">
        <v>22.5</v>
      </c>
      <c r="T55" s="36" t="n">
        <v>46143</v>
      </c>
      <c r="U55" s="34" t="inlineStr">
        <is>
          <t>Low</t>
        </is>
      </c>
      <c r="V55" s="34" t="inlineStr">
        <is>
          <t>AI-Assisted Geofencing</t>
        </is>
      </c>
    </row>
    <row r="56">
      <c r="A56" s="35" t="n">
        <v>46174</v>
      </c>
      <c r="B56" s="37" t="n">
        <v>46176</v>
      </c>
      <c r="C56" s="33" t="inlineStr">
        <is>
          <t>Bankruptcy</t>
        </is>
      </c>
      <c r="D56" s="33" t="inlineStr">
        <is>
          <t>Ford</t>
        </is>
      </c>
      <c r="E56" s="39" t="n">
        <v>1</v>
      </c>
      <c r="F56" s="33" t="inlineStr">
        <is>
          <t>CROMTRYCK s.r.o. Insolvency (Czech Republic)</t>
        </is>
      </c>
      <c r="G56" s="33" t="inlineStr">
        <is>
          <t>Complaint</t>
        </is>
      </c>
      <c r="H56" s="33" t="inlineStr">
        <is>
          <t>Missed Event</t>
        </is>
      </c>
      <c r="I56" s="33" t="inlineStr">
        <is>
          <t>Product</t>
        </is>
      </c>
      <c r="J56" s="33" t="inlineStr">
        <is>
          <t>Source Coverage</t>
        </is>
      </c>
      <c r="K56" s="33" t="inlineStr">
        <is>
          <t>Improvement</t>
        </is>
      </c>
      <c r="L56" s="33" t="inlineStr">
        <is>
          <t>Fixed</t>
        </is>
      </c>
      <c r="M56" s="33" t="inlineStr">
        <is>
          <t>Dynamic Source Discovery</t>
        </is>
      </c>
      <c r="N56" s="33" t="inlineStr">
        <is>
          <t>Yes</t>
        </is>
      </c>
      <c r="O56" s="33" t="inlineStr">
        <is>
          <t>Missed insolvency event due to regional insolvency source coverage limitations and restricted/paywalled source visibility. Vendor source expansion requested.</t>
        </is>
      </c>
      <c r="P56" s="33" t="n"/>
      <c r="Q56" s="33" t="inlineStr">
        <is>
          <t>Yes</t>
        </is>
      </c>
      <c r="R56" s="39" t="n">
        <v>6</v>
      </c>
      <c r="S56" s="39" t="n"/>
      <c r="T56" s="35" t="n">
        <v>46174</v>
      </c>
      <c r="U56" s="33" t="inlineStr">
        <is>
          <t>Medium</t>
        </is>
      </c>
      <c r="V56" s="33" t="inlineStr">
        <is>
          <t>Dynamic Source Discovery</t>
        </is>
      </c>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t="inlineStr">
        <is>
          <t>EAO-1</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t="inlineStr">
        <is>
          <t>EAO-4</t>
        </is>
      </c>
    </row>
    <row r="59">
      <c r="A59" s="35" t="n">
        <v>46174</v>
      </c>
      <c r="B59" s="37" t="n">
        <v>46196</v>
      </c>
      <c r="C59" s="33" t="inlineStr">
        <is>
          <t>Merger &amp; Acquisition</t>
        </is>
      </c>
      <c r="D59" s="33" t="inlineStr">
        <is>
          <t>Caterpillar</t>
        </is>
      </c>
      <c r="E59" s="39" t="n">
        <v>1</v>
      </c>
      <c r="F59" s="33" t="inlineStr">
        <is>
          <t>Dana Incorporated to Merge with Eaton's Mobility Business</t>
        </is>
      </c>
      <c r="G59" s="33" t="inlineStr">
        <is>
          <t>Complaint</t>
        </is>
      </c>
      <c r="H59" s="33" t="inlineStr">
        <is>
          <t>Impacted Supplier Missing</t>
        </is>
      </c>
      <c r="I59" s="33" t="inlineStr">
        <is>
          <t>People</t>
        </is>
      </c>
      <c r="J59" s="33" t="inlineStr">
        <is>
          <t>Mapping</t>
        </is>
      </c>
      <c r="K59" s="33" t="inlineStr">
        <is>
          <t>Improvement</t>
        </is>
      </c>
      <c r="L59" s="33" t="inlineStr">
        <is>
          <t>RCA Shared</t>
        </is>
      </c>
      <c r="M59" s="33" t="inlineStr">
        <is>
          <t>Supplier relationship validation + impacted entity completeness checks</t>
        </is>
      </c>
      <c r="N59" s="33" t="inlineStr">
        <is>
          <t>Yes</t>
        </is>
      </c>
      <c r="O59" s="33" t="inlineStr">
        <is>
          <t>Customer-facing RCA requested and RCA document prepared. Dana Holding Corporation was not included in impacted supplier selection during initial WarRoom creation and was subsequently added.</t>
        </is>
      </c>
      <c r="P59" s="33" t="n"/>
      <c r="Q59" s="33" t="inlineStr">
        <is>
          <t>No</t>
        </is>
      </c>
      <c r="R59" s="39" t="n">
        <v>6</v>
      </c>
      <c r="S59" s="39" t="n"/>
      <c r="T59" s="35" t="n">
        <v>46174</v>
      </c>
      <c r="U59" s="33" t="inlineStr">
        <is>
          <t>Medium</t>
        </is>
      </c>
      <c r="V59" s="33" t="inlineStr">
        <is>
          <t>Entity &amp; Supplier Resolution</t>
        </is>
      </c>
      <c r="W59" t="inlineStr">
        <is>
          <t>EAO-6</t>
        </is>
      </c>
    </row>
    <row r="60">
      <c r="A60" s="35" t="n">
        <v>46174</v>
      </c>
      <c r="B60" s="37" t="n">
        <v>46196</v>
      </c>
      <c r="C60" s="33" t="inlineStr">
        <is>
          <t>Other</t>
        </is>
      </c>
      <c r="D60" s="33" t="inlineStr">
        <is>
          <t>Western Digital</t>
        </is>
      </c>
      <c r="E60" s="39" t="n">
        <v>1</v>
      </c>
      <c r="F60" s="33" t="inlineStr">
        <is>
          <t>Inquiry on Route Disruption – Sepone Bridge, Laos</t>
        </is>
      </c>
      <c r="G60" s="33" t="inlineStr">
        <is>
          <t>Inquiry</t>
        </is>
      </c>
      <c r="H60" s="33" t="inlineStr">
        <is>
          <t>Customer Requested Verification</t>
        </is>
      </c>
      <c r="I60" s="33" t="inlineStr">
        <is>
          <t>Process</t>
        </is>
      </c>
      <c r="J60" s="33" t="inlineStr">
        <is>
          <t>Process Clarification</t>
        </is>
      </c>
      <c r="K60" s="33" t="inlineStr">
        <is>
          <t>Improvement</t>
        </is>
      </c>
      <c r="L60" s="33" t="inlineStr">
        <is>
          <t>Clarification Provided</t>
        </is>
      </c>
      <c r="M60" s="33" t="inlineStr">
        <is>
          <t>Route-risk monitoring enhancement</t>
        </is>
      </c>
      <c r="N60" s="33" t="inlineStr">
        <is>
          <t>No</t>
        </is>
      </c>
      <c r="O60" s="33" t="inlineStr">
        <is>
          <t>Review of English and local-language sources did not identify any verified disruption, closure, or logistic impact.</t>
        </is>
      </c>
      <c r="P60" s="33" t="n"/>
      <c r="Q60" s="33" t="inlineStr">
        <is>
          <t>No</t>
        </is>
      </c>
      <c r="R60" s="39" t="n">
        <v>6</v>
      </c>
      <c r="S60" s="39" t="n"/>
      <c r="T60" s="35" t="n">
        <v>46174</v>
      </c>
      <c r="U60" s="33" t="inlineStr">
        <is>
          <t>Medium</t>
        </is>
      </c>
      <c r="V60" s="33" t="inlineStr">
        <is>
          <t>Other Control Automation</t>
        </is>
      </c>
      <c r="W60" t="inlineStr">
        <is>
          <t>EAO-7</t>
        </is>
      </c>
    </row>
    <row r="61">
      <c r="A61" s="35" t="n">
        <v>46174</v>
      </c>
      <c r="B61" s="37" t="n">
        <v>46188</v>
      </c>
      <c r="C61" s="33" t="inlineStr">
        <is>
          <t>Supply Shortage</t>
        </is>
      </c>
      <c r="D61" s="33" t="inlineStr">
        <is>
          <t>Belden Inc</t>
        </is>
      </c>
      <c r="E61" s="39" t="n">
        <v>1</v>
      </c>
      <c r="F61" s="33" t="inlineStr">
        <is>
          <t>MLCC Supply Chain Alert Related to AI Demand Growth</t>
        </is>
      </c>
      <c r="G61" s="33" t="inlineStr">
        <is>
          <t>Inquiry</t>
        </is>
      </c>
      <c r="H61" s="33" t="inlineStr">
        <is>
          <t>Coverage Verification Request</t>
        </is>
      </c>
      <c r="I61" s="33" t="inlineStr">
        <is>
          <t>Process</t>
        </is>
      </c>
      <c r="J61" s="33" t="inlineStr">
        <is>
          <t>Process Clarification</t>
        </is>
      </c>
      <c r="K61" s="33" t="inlineStr">
        <is>
          <t>Improvement</t>
        </is>
      </c>
      <c r="L61" s="33" t="inlineStr">
        <is>
          <t>Clarification Provided</t>
        </is>
      </c>
      <c r="M61" s="33" t="inlineStr">
        <is>
          <t>Forecast vs Event differentiation</t>
        </is>
      </c>
      <c r="N61" s="33" t="inlineStr">
        <is>
          <t>No</t>
        </is>
      </c>
      <c r="O61" s="33" t="inlineStr">
        <is>
          <t>Article was an investment and market outlook discussing future MLCC demand and did not meet EventWatch reporting thresholds.</t>
        </is>
      </c>
      <c r="P61" s="33" t="n"/>
      <c r="Q61" s="33" t="inlineStr">
        <is>
          <t>No</t>
        </is>
      </c>
      <c r="R61" s="39" t="n">
        <v>6</v>
      </c>
      <c r="S61" s="39" t="n"/>
      <c r="T61" s="35" t="n">
        <v>46174</v>
      </c>
      <c r="U61" s="33" t="inlineStr">
        <is>
          <t>Medium</t>
        </is>
      </c>
      <c r="V61" s="33" t="inlineStr">
        <is>
          <t>Other Control Automation</t>
        </is>
      </c>
      <c r="W61" t="inlineStr">
        <is>
          <t>EAO-8</t>
        </is>
      </c>
    </row>
    <row r="62">
      <c r="A62" s="35" t="n">
        <v>46174</v>
      </c>
      <c r="B62" s="37" t="n">
        <v>46198</v>
      </c>
      <c r="C62" s="33" t="inlineStr">
        <is>
          <t>Factory Fire</t>
        </is>
      </c>
      <c r="D62" s="33" t="inlineStr">
        <is>
          <t>Caterpillar</t>
        </is>
      </c>
      <c r="E62" s="39" t="n">
        <v>1</v>
      </c>
      <c r="F62" s="33" t="inlineStr">
        <is>
          <t>Fire at the Isselguss GmbH Facility in Isselburg, Germany</t>
        </is>
      </c>
      <c r="G62" s="33" t="inlineStr">
        <is>
          <t>Complaint</t>
        </is>
      </c>
      <c r="H62" s="33" t="inlineStr">
        <is>
          <t>Missed Event</t>
        </is>
      </c>
      <c r="I62" s="33" t="inlineStr">
        <is>
          <t>Product</t>
        </is>
      </c>
      <c r="J62" s="33" t="inlineStr">
        <is>
          <t>Event Identification</t>
        </is>
      </c>
      <c r="K62" s="33" t="inlineStr">
        <is>
          <t>Improvement</t>
        </is>
      </c>
      <c r="L62" s="33" t="inlineStr">
        <is>
          <t>RCA Shared</t>
        </is>
      </c>
      <c r="M62" s="33" t="inlineStr">
        <is>
          <t>Entity-location-aware clustering + cluster separation validation</t>
        </is>
      </c>
      <c r="N62" s="33" t="inlineStr">
        <is>
          <t>Yes</t>
        </is>
      </c>
      <c r="O62" s="33" t="inlineStr">
        <is>
          <t>RCA PDF prepared and approved for customer sharing. Event was captured by feeds but incorrectly clustered with another unrelated factory fire in Germany, preventing separate WarRoom creation.</t>
        </is>
      </c>
      <c r="P62" s="33" t="n"/>
      <c r="Q62" s="33" t="inlineStr">
        <is>
          <t>Yes</t>
        </is>
      </c>
      <c r="R62" s="39" t="n">
        <v>6</v>
      </c>
      <c r="S62" s="39" t="n"/>
      <c r="T62" s="35" t="n">
        <v>46174</v>
      </c>
      <c r="U62" s="33" t="inlineStr">
        <is>
          <t>Medium</t>
        </is>
      </c>
      <c r="V62" s="33" t="inlineStr">
        <is>
          <t>Entity &amp; Supplier Resolution</t>
        </is>
      </c>
      <c r="W62" t="inlineStr">
        <is>
          <t>EAO-9</t>
        </is>
      </c>
    </row>
    <row r="63">
      <c r="A63" s="35" t="n">
        <v>46174</v>
      </c>
      <c r="B63" s="37" t="n">
        <v>46197</v>
      </c>
      <c r="C63" s="33" t="inlineStr">
        <is>
          <t>Cyber Attack</t>
        </is>
      </c>
      <c r="D63" s="33" t="inlineStr">
        <is>
          <t>Western Digital</t>
        </is>
      </c>
      <c r="E63" s="39" t="n">
        <v>1</v>
      </c>
      <c r="F63" s="33" t="inlineStr">
        <is>
          <t>Nidec Chaun Choung Technology Suffers Ransomware Attack</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cyber incident escalation model</t>
        </is>
      </c>
      <c r="N63" s="33" t="inlineStr">
        <is>
          <t>Yes</t>
        </is>
      </c>
      <c r="O63" s="33" t="inlineStr">
        <is>
          <t>RCA prepared; analyst impact-assessment failure identified. Event was captured successfully but incorrectly assessed as Not Impactful during analyst review and therefore not escalated.</t>
        </is>
      </c>
      <c r="P63" s="33" t="n"/>
      <c r="Q63" s="33" t="inlineStr">
        <is>
          <t>Yes</t>
        </is>
      </c>
      <c r="R63" s="39" t="n">
        <v>6</v>
      </c>
      <c r="S63" s="39" t="n"/>
      <c r="T63" s="35" t="n">
        <v>46174</v>
      </c>
      <c r="U63" s="33" t="inlineStr">
        <is>
          <t>Medium</t>
        </is>
      </c>
      <c r="V63" s="33" t="inlineStr">
        <is>
          <t>WarRoom &amp; Decision Validation</t>
        </is>
      </c>
      <c r="W63" t="inlineStr">
        <is>
          <t>EAO-10</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t="inlineStr">
        <is>
          <t>EAO-5</t>
        </is>
      </c>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t="inlineStr">
        <is>
          <t>EAO-11</t>
        </is>
      </c>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t="inlineStr">
        <is>
          <t>EAO-12</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t="inlineStr">
        <is>
          <t>EAO-13</t>
        </is>
      </c>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t="inlineStr">
        <is>
          <t>EAO-14</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t="inlineStr">
        <is>
          <t>EAO-15</t>
        </is>
      </c>
    </row>
    <row r="70">
      <c r="A70" s="35" t="n">
        <v>46235</v>
      </c>
      <c r="B70" s="37" t="n">
        <v>46245</v>
      </c>
      <c r="C70" s="33" t="inlineStr">
        <is>
          <t>Regulatory Change</t>
        </is>
      </c>
      <c r="D70" s="33" t="inlineStr">
        <is>
          <t>Ford</t>
        </is>
      </c>
      <c r="E70" s="39" t="n">
        <v>1</v>
      </c>
      <c r="F70" s="33" t="inlineStr">
        <is>
          <t>China MOFCOM Announcement No. 30 of 2026 (Export Control Watchlist)</t>
        </is>
      </c>
      <c r="G70" s="33" t="inlineStr">
        <is>
          <t>Complaint</t>
        </is>
      </c>
      <c r="H70" s="33" t="inlineStr">
        <is>
          <t>Missed Event</t>
        </is>
      </c>
      <c r="I70" s="33" t="inlineStr">
        <is>
          <t>People</t>
        </is>
      </c>
      <c r="J70" s="33" t="inlineStr">
        <is>
          <t>Review</t>
        </is>
      </c>
      <c r="K70" s="33" t="inlineStr">
        <is>
          <t>Improvement</t>
        </is>
      </c>
      <c r="L70" s="33" t="inlineStr">
        <is>
          <t>RCA Shared</t>
        </is>
      </c>
      <c r="M70" s="33" t="inlineStr">
        <is>
          <t>Not Impactful Decision Validation</t>
        </is>
      </c>
      <c r="N70" s="33" t="inlineStr">
        <is>
          <t>Yes</t>
        </is>
      </c>
      <c r="O70" s="33" t="inlineStr">
        <is>
          <t>EAO-23: News was captured but initially classified as Not Impactful by AI. Human-in-the-loop review did not escalate the event. RCA shared based on the investigation trail.</t>
        </is>
      </c>
      <c r="P70" s="33" t="n"/>
      <c r="Q70" s="33" t="inlineStr">
        <is>
          <t>Yes</t>
        </is>
      </c>
      <c r="R70" s="39" t="n">
        <v>8</v>
      </c>
      <c r="S70" s="39" t="n"/>
      <c r="T70" s="35" t="n">
        <v>46235</v>
      </c>
      <c r="U70" s="33" t="inlineStr">
        <is>
          <t>Medium</t>
        </is>
      </c>
      <c r="V70" s="33" t="inlineStr">
        <is>
          <t>WarRoom &amp; Decision Validation</t>
        </is>
      </c>
      <c r="W70" t="inlineStr">
        <is>
          <t>EAO-23</t>
        </is>
      </c>
    </row>
    <row r="71">
      <c r="A71" s="35" t="n">
        <v>46235</v>
      </c>
      <c r="B71" s="37" t="n">
        <v>46237</v>
      </c>
      <c r="C71" s="33" t="inlineStr">
        <is>
          <t>Factory Fire</t>
        </is>
      </c>
      <c r="D71" s="33" t="inlineStr">
        <is>
          <t>Ford</t>
        </is>
      </c>
      <c r="E71" s="39" t="n">
        <v>1</v>
      </c>
      <c r="F71" s="33" t="inlineStr">
        <is>
          <t>TOHOKU Chemical Japan Fire – Sub-tier Cashew Dust Supplier</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Dynamic Source Discovery</t>
        </is>
      </c>
      <c r="N71" s="33" t="inlineStr">
        <is>
          <t>Yes</t>
        </is>
      </c>
      <c r="O71" s="33" t="inlineStr">
        <is>
          <t>EAO-24: No proactive alert was generated for the July 21 fire. Customer requested RCA, ICA, and PCA for the missed coverage. RCA shared.</t>
        </is>
      </c>
      <c r="P71" s="33" t="n"/>
      <c r="Q71" s="33" t="inlineStr">
        <is>
          <t>Yes</t>
        </is>
      </c>
      <c r="R71" s="39" t="n">
        <v>8</v>
      </c>
      <c r="S71" s="39" t="n"/>
      <c r="T71" s="35" t="n">
        <v>46235</v>
      </c>
      <c r="U71" s="33" t="inlineStr">
        <is>
          <t>Medium</t>
        </is>
      </c>
      <c r="V71" s="33" t="inlineStr">
        <is>
          <t>Dynamic Source Discovery</t>
        </is>
      </c>
      <c r="W71" t="inlineStr">
        <is>
          <t>EAO-24</t>
        </is>
      </c>
    </row>
    <row r="72">
      <c r="A72" s="35" t="n">
        <v>46235</v>
      </c>
      <c r="B72" s="37" t="n">
        <v>46255</v>
      </c>
      <c r="C72" s="33" t="inlineStr">
        <is>
          <t>Transport Disruption</t>
        </is>
      </c>
      <c r="D72" s="33" t="inlineStr">
        <is>
          <t>Ford/GM</t>
        </is>
      </c>
      <c r="E72" s="39" t="n">
        <v>2</v>
      </c>
      <c r="F72" s="33" t="inlineStr">
        <is>
          <t>World Trade Bridge Closed in Laredo, Texas</t>
        </is>
      </c>
      <c r="G72" s="33" t="inlineStr">
        <is>
          <t>Complaint</t>
        </is>
      </c>
      <c r="H72" s="33" t="inlineStr">
        <is>
          <t>Missed Event</t>
        </is>
      </c>
      <c r="I72" s="33" t="inlineStr">
        <is>
          <t>Product</t>
        </is>
      </c>
      <c r="J72" s="33" t="inlineStr">
        <is>
          <t>Keyword Update</t>
        </is>
      </c>
      <c r="K72" s="33" t="inlineStr">
        <is>
          <t>Improvement</t>
        </is>
      </c>
      <c r="L72" s="33" t="inlineStr">
        <is>
          <t>Fixed</t>
        </is>
      </c>
      <c r="M72" s="33" t="inlineStr">
        <is>
          <t>Dynamic Source Discovery</t>
        </is>
      </c>
      <c r="N72" s="33" t="inlineStr">
        <is>
          <t>Yes</t>
        </is>
      </c>
      <c r="O72" s="33" t="inlineStr">
        <is>
          <t>EAO-25: Event was missed due to a keyword gap. Keyword was added and the article is now being captured.</t>
        </is>
      </c>
      <c r="P72" s="33" t="n"/>
      <c r="Q72" s="33" t="inlineStr">
        <is>
          <t>Yes</t>
        </is>
      </c>
      <c r="R72" s="39" t="n">
        <v>8</v>
      </c>
      <c r="S72" s="39" t="n"/>
      <c r="T72" s="35" t="n">
        <v>46235</v>
      </c>
      <c r="U72" s="33" t="inlineStr">
        <is>
          <t>Medium</t>
        </is>
      </c>
      <c r="V72" s="33" t="inlineStr">
        <is>
          <t>Dynamic Source Discovery</t>
        </is>
      </c>
      <c r="W72" t="inlineStr">
        <is>
          <t>EAO-25</t>
        </is>
      </c>
    </row>
    <row r="73">
      <c r="A73" s="35" t="n">
        <v>46235</v>
      </c>
      <c r="B73" s="37" t="n">
        <v>46258</v>
      </c>
      <c r="C73" s="33" t="inlineStr">
        <is>
          <t>Factory Fire</t>
        </is>
      </c>
      <c r="D73" s="33" t="inlineStr">
        <is>
          <t>Ford/GM</t>
        </is>
      </c>
      <c r="E73" s="39" t="n">
        <v>2</v>
      </c>
      <c r="F73" s="33" t="inlineStr">
        <is>
          <t>Fire at Nemak Factory in Monterrey, Mexico</t>
        </is>
      </c>
      <c r="G73" s="33" t="inlineStr">
        <is>
          <t>Complaint</t>
        </is>
      </c>
      <c r="H73" s="33" t="inlineStr">
        <is>
          <t>Missed Event</t>
        </is>
      </c>
      <c r="I73" s="33" t="inlineStr">
        <is>
          <t>People</t>
        </is>
      </c>
      <c r="J73" s="33" t="inlineStr">
        <is>
          <t>Review</t>
        </is>
      </c>
      <c r="K73" s="33" t="inlineStr">
        <is>
          <t>Improvement</t>
        </is>
      </c>
      <c r="L73" s="33" t="inlineStr">
        <is>
          <t>RCA Shared</t>
        </is>
      </c>
      <c r="M73" s="33" t="inlineStr">
        <is>
          <t>Not Impactful Decision Validation</t>
        </is>
      </c>
      <c r="N73" s="33" t="inlineStr">
        <is>
          <t>Yes</t>
        </is>
      </c>
      <c r="O73" s="33" t="inlineStr">
        <is>
          <t>EAO-25: News processing captured the article and attached it to an updated factory-fire cluster. The event was later marked Not Impactful by the analyst. RCA shared based on the investigation trail.</t>
        </is>
      </c>
      <c r="P73" s="33" t="n"/>
      <c r="Q73" s="33" t="inlineStr">
        <is>
          <t>Yes</t>
        </is>
      </c>
      <c r="R73" s="39" t="n">
        <v>8</v>
      </c>
      <c r="S73" s="39" t="n"/>
      <c r="T73" s="35" t="n">
        <v>46235</v>
      </c>
      <c r="U73" s="33" t="inlineStr">
        <is>
          <t>Medium</t>
        </is>
      </c>
      <c r="V73" s="33" t="inlineStr">
        <is>
          <t>WarRoom &amp; Decision Validation</t>
        </is>
      </c>
      <c r="W73" t="inlineStr">
        <is>
          <t>EAO-25</t>
        </is>
      </c>
    </row>
    <row r="74">
      <c r="A74" s="35" t="n">
        <v>46235</v>
      </c>
      <c r="B74" s="37" t="n">
        <v>46255</v>
      </c>
      <c r="C74" s="33" t="inlineStr">
        <is>
          <t>Factory Fire</t>
        </is>
      </c>
      <c r="D74" s="33" t="inlineStr">
        <is>
          <t>Ford/GM</t>
        </is>
      </c>
      <c r="E74" s="39" t="n">
        <v>2</v>
      </c>
      <c r="F74" s="33" t="inlineStr">
        <is>
          <t>Fire at FXI de Cuautitlán, S.A. de C.V.</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Dynamic Source Discovery</t>
        </is>
      </c>
      <c r="N74" s="33" t="inlineStr">
        <is>
          <t>Yes</t>
        </is>
      </c>
      <c r="O74" s="33" t="inlineStr">
        <is>
          <t>EAO-25: Event was not captured by the vendor due to a source coverage gap. Vendor was asked to add the sources to its network. RCA shared based on the investigation trail.</t>
        </is>
      </c>
      <c r="P74" s="33" t="n"/>
      <c r="Q74" s="33" t="inlineStr">
        <is>
          <t>Yes</t>
        </is>
      </c>
      <c r="R74" s="39" t="n">
        <v>8</v>
      </c>
      <c r="S74" s="39" t="n"/>
      <c r="T74" s="35" t="n">
        <v>46235</v>
      </c>
      <c r="U74" s="33" t="inlineStr">
        <is>
          <t>Medium</t>
        </is>
      </c>
      <c r="V74" s="33" t="inlineStr">
        <is>
          <t>Dynamic Source Discovery</t>
        </is>
      </c>
      <c r="W74" t="inlineStr">
        <is>
          <t>EAO-25</t>
        </is>
      </c>
    </row>
    <row r="75">
      <c r="A75" s="35" t="n">
        <v>46235</v>
      </c>
      <c r="B75" s="37" t="n">
        <v>46252</v>
      </c>
      <c r="C75" s="33" t="inlineStr">
        <is>
          <t>Factory Fire</t>
        </is>
      </c>
      <c r="D75" s="33" t="inlineStr">
        <is>
          <t>Ford</t>
        </is>
      </c>
      <c r="E75" s="39" t="n">
        <v>1</v>
      </c>
      <c r="F75" s="33" t="inlineStr">
        <is>
          <t>Sasol Polyethylene Plant Fire / Shutdown</t>
        </is>
      </c>
      <c r="G75" s="33" t="inlineStr">
        <is>
          <t>Complaint</t>
        </is>
      </c>
      <c r="H75" s="33" t="inlineStr">
        <is>
          <t>Missed Event</t>
        </is>
      </c>
      <c r="I75" s="33" t="inlineStr">
        <is>
          <t>Product</t>
        </is>
      </c>
      <c r="J75" s="33" t="inlineStr">
        <is>
          <t>Source Coverage</t>
        </is>
      </c>
      <c r="K75" s="33" t="inlineStr">
        <is>
          <t>Improvement</t>
        </is>
      </c>
      <c r="L75" s="33" t="inlineStr">
        <is>
          <t>RCA Shared</t>
        </is>
      </c>
      <c r="M75" s="33" t="inlineStr">
        <is>
          <t>Dynamic Source Discovery</t>
        </is>
      </c>
      <c r="N75" s="33" t="inlineStr">
        <is>
          <t>Yes</t>
        </is>
      </c>
      <c r="O75" s="33" t="inlineStr">
        <is>
          <t>EAO-26: Customer reported a missed EventWatch alert for the Sasol polyethylene plant fire and shutdown. Investigation and RCA were requested; RCA shared.</t>
        </is>
      </c>
      <c r="P75" s="33" t="n"/>
      <c r="Q75" s="33" t="inlineStr">
        <is>
          <t>Yes</t>
        </is>
      </c>
      <c r="R75" s="39" t="n">
        <v>8</v>
      </c>
      <c r="S75" s="39" t="n"/>
      <c r="T75" s="35" t="n">
        <v>46235</v>
      </c>
      <c r="U75" s="33" t="inlineStr">
        <is>
          <t>Medium</t>
        </is>
      </c>
      <c r="V75" s="33" t="inlineStr">
        <is>
          <t>Dynamic Source Discovery</t>
        </is>
      </c>
      <c r="W75" t="inlineStr">
        <is>
          <t>EAO-26</t>
        </is>
      </c>
    </row>
    <row r="76">
      <c r="A76" s="35" t="n">
        <v>46235</v>
      </c>
      <c r="B76" s="37" t="n">
        <v>46251</v>
      </c>
      <c r="C76" s="33" t="inlineStr">
        <is>
          <t>Geopolitical</t>
        </is>
      </c>
      <c r="D76" s="33" t="inlineStr">
        <is>
          <t>Ford</t>
        </is>
      </c>
      <c r="E76" s="39" t="n">
        <v>1</v>
      </c>
      <c r="F76" s="33" t="inlineStr">
        <is>
          <t>Ceuta Border Security &amp; Humanitarian Crisis</t>
        </is>
      </c>
      <c r="G76" s="33" t="inlineStr">
        <is>
          <t>Complaint</t>
        </is>
      </c>
      <c r="H76" s="33" t="inlineStr">
        <is>
          <t>Missed Event</t>
        </is>
      </c>
      <c r="I76" s="33" t="inlineStr">
        <is>
          <t>People</t>
        </is>
      </c>
      <c r="J76" s="33" t="inlineStr">
        <is>
          <t>Review</t>
        </is>
      </c>
      <c r="K76" s="33" t="inlineStr">
        <is>
          <t>Improvement</t>
        </is>
      </c>
      <c r="L76" s="33" t="inlineStr">
        <is>
          <t>RCA Shared</t>
        </is>
      </c>
      <c r="M76" s="33" t="inlineStr">
        <is>
          <t>WarRoom Trigger Automation</t>
        </is>
      </c>
      <c r="N76" s="33" t="inlineStr">
        <is>
          <t>Yes</t>
        </is>
      </c>
      <c r="O76" s="33" t="inlineStr">
        <is>
          <t>EAO-27: Customer reported a missed EventWatch alert and requested an update. RCA shared following review of the event.</t>
        </is>
      </c>
      <c r="P76" s="33" t="n"/>
      <c r="Q76" s="33" t="inlineStr">
        <is>
          <t>Yes</t>
        </is>
      </c>
      <c r="R76" s="39" t="n">
        <v>8</v>
      </c>
      <c r="S76" s="39" t="n"/>
      <c r="T76" s="35" t="n">
        <v>46235</v>
      </c>
      <c r="U76" s="33" t="inlineStr">
        <is>
          <t>Medium</t>
        </is>
      </c>
      <c r="V76" s="33" t="inlineStr">
        <is>
          <t>WarRoom &amp; Decision Validation</t>
        </is>
      </c>
      <c r="W76" t="inlineStr">
        <is>
          <t>EAO-27</t>
        </is>
      </c>
    </row>
    <row r="77">
      <c r="A77" s="35" t="n">
        <v>46235</v>
      </c>
      <c r="B77" s="37" t="n">
        <v>46254</v>
      </c>
      <c r="C77" s="33" t="inlineStr">
        <is>
          <t>Hurricane/Typhoon</t>
        </is>
      </c>
      <c r="D77" s="33" t="inlineStr">
        <is>
          <t>Ford</t>
        </is>
      </c>
      <c r="E77" s="39" t="n">
        <v>1</v>
      </c>
      <c r="F77" s="33" t="inlineStr">
        <is>
          <t>Typhoon Dolphin Bulletins Distributed Across Two WarRooms</t>
        </is>
      </c>
      <c r="G77" s="33" t="inlineStr">
        <is>
          <t>Complaint</t>
        </is>
      </c>
      <c r="H77" s="33" t="inlineStr">
        <is>
          <t>Duplicate WarRooms</t>
        </is>
      </c>
      <c r="I77" s="33" t="inlineStr">
        <is>
          <t>Product</t>
        </is>
      </c>
      <c r="J77" s="33" t="inlineStr">
        <is>
          <t>Duplication</t>
        </is>
      </c>
      <c r="K77" s="33" t="inlineStr">
        <is>
          <t>Improvement</t>
        </is>
      </c>
      <c r="L77" s="33" t="inlineStr">
        <is>
          <t>RCA Shared</t>
        </is>
      </c>
      <c r="M77" s="33" t="inlineStr">
        <is>
          <t>Cluster Integrity Validation</t>
        </is>
      </c>
      <c r="N77" s="33" t="inlineStr">
        <is>
          <t>Yes</t>
        </is>
      </c>
      <c r="O77" s="33" t="inlineStr">
        <is>
          <t>EAO-29: Bulletins were distributed across two WarRooms, resulting in gaps in the update sequence. Customer requested RCA; RCA shared.</t>
        </is>
      </c>
      <c r="P77" s="33" t="n"/>
      <c r="Q77" s="33" t="inlineStr">
        <is>
          <t>No</t>
        </is>
      </c>
      <c r="R77" s="39" t="n">
        <v>8</v>
      </c>
      <c r="S77" s="39" t="n"/>
      <c r="T77" s="35" t="n">
        <v>46235</v>
      </c>
      <c r="U77" s="33" t="inlineStr">
        <is>
          <t>Low</t>
        </is>
      </c>
      <c r="V77" s="33" t="inlineStr">
        <is>
          <t>Cluster Integrity &amp; Duplicate Prevention</t>
        </is>
      </c>
      <c r="W77" t="inlineStr">
        <is>
          <t>EAO-29</t>
        </is>
      </c>
    </row>
    <row r="78">
      <c r="A78" s="35" t="n">
        <v>46235</v>
      </c>
      <c r="B78" s="37" t="n">
        <v>46258</v>
      </c>
      <c r="C78" s="33" t="inlineStr">
        <is>
          <t>Cyber Attack</t>
        </is>
      </c>
      <c r="D78" s="33" t="inlineStr">
        <is>
          <t>The American National Red Cross</t>
        </is>
      </c>
      <c r="E78" s="39" t="n">
        <v>1</v>
      </c>
      <c r="F78" s="33" t="inlineStr">
        <is>
          <t>Uber Freight Investigates Reported Cyberattack After Hackers Claim Data Breach</t>
        </is>
      </c>
      <c r="G78" s="33" t="inlineStr">
        <is>
          <t>Complaint</t>
        </is>
      </c>
      <c r="H78" s="33" t="inlineStr">
        <is>
          <t>WarRoom not visible in customer profile</t>
        </is>
      </c>
      <c r="I78" s="33" t="inlineStr">
        <is>
          <t>Process</t>
        </is>
      </c>
      <c r="J78" s="33" t="inlineStr">
        <is>
          <t>Visibility</t>
        </is>
      </c>
      <c r="K78" s="33" t="inlineStr">
        <is>
          <t>Improvement</t>
        </is>
      </c>
      <c r="L78" s="33" t="inlineStr">
        <is>
          <t>RCA Shared</t>
        </is>
      </c>
      <c r="M78" s="33" t="inlineStr">
        <is>
          <t>Notification Visibility Monitoring</t>
        </is>
      </c>
      <c r="N78" s="33" t="inlineStr">
        <is>
          <t>No</t>
        </is>
      </c>
      <c r="O78" s="33" t="inlineStr">
        <is>
          <t>EAO-30: EventWatch news was published on August 13 but was not visible on the customer portal. Portal visibility investigation completed and clarification provided.</t>
        </is>
      </c>
      <c r="P78" s="33" t="n"/>
      <c r="Q78" s="33" t="inlineStr">
        <is>
          <t>Yes</t>
        </is>
      </c>
      <c r="R78" s="39" t="n">
        <v>8</v>
      </c>
      <c r="S78" s="39" t="n"/>
      <c r="T78" s="35" t="n">
        <v>46235</v>
      </c>
      <c r="U78" s="33" t="inlineStr">
        <is>
          <t>Medium</t>
        </is>
      </c>
      <c r="V78" s="33" t="inlineStr">
        <is>
          <t>Notification Visibility Monitoring</t>
        </is>
      </c>
    </row>
    <row r="79">
      <c r="A79" s="35" t="n">
        <v>46235</v>
      </c>
      <c r="B79" s="37" t="n">
        <v>46265</v>
      </c>
      <c r="C79" s="33" t="inlineStr">
        <is>
          <t>Cyber Attack</t>
        </is>
      </c>
      <c r="D79" s="33" t="inlineStr">
        <is>
          <t>Schneider Electric</t>
        </is>
      </c>
      <c r="E79" s="39" t="n">
        <v>1</v>
      </c>
      <c r="F79" s="33" t="inlineStr">
        <is>
          <t>Gindre India Data Breach – EventWatch Alert/WarRoom Missing</t>
        </is>
      </c>
      <c r="G79" s="33" t="inlineStr">
        <is>
          <t>Complaint</t>
        </is>
      </c>
      <c r="H79" s="33" t="inlineStr">
        <is>
          <t>Missed Event</t>
        </is>
      </c>
      <c r="I79" s="33" t="inlineStr">
        <is>
          <t>Product</t>
        </is>
      </c>
      <c r="J79" s="33" t="inlineStr">
        <is>
          <t>Source Coverage</t>
        </is>
      </c>
      <c r="K79" s="33" t="inlineStr">
        <is>
          <t>Improvement</t>
        </is>
      </c>
      <c r="L79" s="33" t="inlineStr">
        <is>
          <t>RCA Shared</t>
        </is>
      </c>
      <c r="M79" s="33" t="inlineStr">
        <is>
          <t>Dynamic Source Discovery</t>
        </is>
      </c>
      <c r="N79" s="33" t="inlineStr">
        <is>
          <t>Yes</t>
        </is>
      </c>
      <c r="O79" s="33" t="inlineStr">
        <is>
          <t>EAO-31: No corresponding EventWatch event or WarRoom was found for the reported data breach. Source coverage review completed and RCA shared.</t>
        </is>
      </c>
      <c r="P79" s="33" t="n"/>
      <c r="Q79" s="33" t="inlineStr">
        <is>
          <t>Yes</t>
        </is>
      </c>
      <c r="R79" s="39" t="n">
        <v>8</v>
      </c>
      <c r="S79" s="39" t="n"/>
      <c r="T79" s="35" t="n">
        <v>46235</v>
      </c>
      <c r="U79" s="33" t="inlineStr">
        <is>
          <t>Medium</t>
        </is>
      </c>
      <c r="V79" s="33" t="inlineStr">
        <is>
          <t>Dynamic Source Discovery</t>
        </is>
      </c>
      <c r="W79" t="inlineStr">
        <is>
          <t>EAO-31</t>
        </is>
      </c>
    </row>
    <row r="80">
      <c r="A80" s="35" t="n">
        <v>46235</v>
      </c>
      <c r="B80" s="37" t="n">
        <v>46265</v>
      </c>
      <c r="C80" s="33" t="inlineStr">
        <is>
          <t>Cyber Attack</t>
        </is>
      </c>
      <c r="D80" s="33" t="inlineStr">
        <is>
          <t>Merck</t>
        </is>
      </c>
      <c r="E80" s="39" t="n">
        <v>1</v>
      </c>
      <c r="F80" s="33" t="inlineStr">
        <is>
          <t>Baxter International Reports a Cybersecurity Incident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Customer reported the missed Baxter ransomware incident. EventWatch captured the report on August 14, but human review incorrectly marked it Not Impactful; the event was re-evaluated, a WarRoom was created, and an NC was raised.</t>
        </is>
      </c>
      <c r="P80" s="33" t="n"/>
      <c r="Q80" s="33" t="inlineStr">
        <is>
          <t>Yes</t>
        </is>
      </c>
      <c r="R80" s="39" t="n">
        <v>8</v>
      </c>
      <c r="S80" s="39" t="n"/>
      <c r="T80" s="35" t="n">
        <v>46235</v>
      </c>
      <c r="U80" s="33" t="inlineStr">
        <is>
          <t>Medium</t>
        </is>
      </c>
      <c r="V80" s="33" t="inlineStr">
        <is>
          <t>WarRoom &amp; Decision Validation</t>
        </is>
      </c>
    </row>
    <row r="81">
      <c r="A81" s="35" t="n">
        <v>46235</v>
      </c>
      <c r="B81" s="37" t="n">
        <v>46265</v>
      </c>
      <c r="C81" s="33" t="inlineStr">
        <is>
          <t>Cyber Attack</t>
        </is>
      </c>
      <c r="D81" s="33" t="inlineStr">
        <is>
          <t>Merck</t>
        </is>
      </c>
      <c r="E81" s="39" t="n">
        <v>1</v>
      </c>
      <c r="F81" s="33" t="inlineStr">
        <is>
          <t>McKesson Corporation Confirms Data Breach Following a Cybersecurity Incident</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Entity &amp; Duplicate Decision Validation</t>
        </is>
      </c>
      <c r="N81" s="33" t="inlineStr">
        <is>
          <t>Yes</t>
        </is>
      </c>
      <c r="O81" s="33" t="inlineStr">
        <is>
          <t>Customer reported the missed McKesson data-breach incident. EventWatch captured the report on August 28, but human review assumed it was already covered; the event was re-evaluated, a WarRoom was created, and an NC was raised.</t>
        </is>
      </c>
      <c r="P81" s="33" t="n"/>
      <c r="Q81" s="33" t="inlineStr">
        <is>
          <t>Yes</t>
        </is>
      </c>
      <c r="R81" s="39" t="n">
        <v>8</v>
      </c>
      <c r="S81" s="39" t="n"/>
      <c r="T81" s="35" t="n">
        <v>46235</v>
      </c>
      <c r="U81" s="33" t="inlineStr">
        <is>
          <t>Medium</t>
        </is>
      </c>
      <c r="V81" s="33" t="inlineStr">
        <is>
          <t>WarRoom &amp; Decision Validation</t>
        </is>
      </c>
    </row>
    <row r="82">
      <c r="A82" s="118" t="n">
        <v>46204</v>
      </c>
      <c r="B82" s="119" t="n">
        <v>46213</v>
      </c>
      <c r="C82" t="inlineStr">
        <is>
          <t>WarRoom Operations</t>
        </is>
      </c>
      <c r="D82" t="inlineStr">
        <is>
          <t>Eaton</t>
        </is>
      </c>
      <c r="E82" t="n">
        <v>1</v>
      </c>
      <c r="F82" t="inlineStr">
        <is>
          <t>Super Typhoon Bavi WarRoom Timing Clarification (Taiwan)</t>
        </is>
      </c>
      <c r="G82" t="inlineStr">
        <is>
          <t>Inquiry</t>
        </is>
      </c>
      <c r="H82" t="inlineStr">
        <is>
          <t>WarRoom Timing/Trigger Criteria Clarification</t>
        </is>
      </c>
      <c r="I82" t="inlineStr">
        <is>
          <t>Process</t>
        </is>
      </c>
      <c r="J82" t="inlineStr">
        <is>
          <t>Process Clarification</t>
        </is>
      </c>
      <c r="K82" t="inlineStr">
        <is>
          <t>Improvement</t>
        </is>
      </c>
      <c r="L82" t="inlineStr">
        <is>
          <t>Clarification Provided</t>
        </is>
      </c>
      <c r="M82" t="inlineStr">
        <is>
          <t>WarRoom trigger-criteria explanation template for post-peak activations</t>
        </is>
      </c>
      <c r="N82" t="inlineStr">
        <is>
          <t>No</t>
        </is>
      </c>
      <c r="O82" t="inlineStr">
        <is>
          <t>Staged from Jira EAO-16 (Done). Eaton asked why the WarRoom for Super Typhoon Bavi (Taiwan) was activated on 9-Jul after the storm had already peaked, and what triggering criteria were used.</t>
        </is>
      </c>
      <c r="Q82" t="inlineStr">
        <is>
          <t>No</t>
        </is>
      </c>
      <c r="R82" t="n">
        <v>7</v>
      </c>
      <c r="T82" s="118" t="n">
        <v>46204</v>
      </c>
      <c r="U82" t="inlineStr">
        <is>
          <t>Low</t>
        </is>
      </c>
      <c r="V82" t="inlineStr">
        <is>
          <t>WarRoom &amp; Decision Validation</t>
        </is>
      </c>
      <c r="W82" t="inlineStr">
        <is>
          <t>EAO-16</t>
        </is>
      </c>
    </row>
    <row r="83">
      <c r="A83" s="118" t="n">
        <v>46204</v>
      </c>
      <c r="B83" s="119" t="n">
        <v>46213</v>
      </c>
      <c r="C83" t="inlineStr">
        <is>
          <t>Litigation/Legal</t>
        </is>
      </c>
      <c r="D83" t="inlineStr">
        <is>
          <t>Micron</t>
        </is>
      </c>
      <c r="E83" t="n">
        <v>1</v>
      </c>
      <c r="F83" t="inlineStr">
        <is>
          <t>Jacobs Engineering/CH2M Hill Forced Labor Lawsuit – Missed EventWatch Notification (Micron)</t>
        </is>
      </c>
      <c r="G83" t="inlineStr">
        <is>
          <t>Complaint</t>
        </is>
      </c>
      <c r="H83" t="inlineStr">
        <is>
          <t>Missed Event</t>
        </is>
      </c>
      <c r="I83" t="inlineStr">
        <is>
          <t>Product</t>
        </is>
      </c>
      <c r="J83" t="inlineStr">
        <is>
          <t>Source Coverage</t>
        </is>
      </c>
      <c r="K83" t="inlineStr">
        <is>
          <t>Improvement</t>
        </is>
      </c>
      <c r="L83" t="inlineStr">
        <is>
          <t>RCA Shared</t>
        </is>
      </c>
      <c r="M83" t="inlineStr">
        <is>
          <t>Legal/labor-litigation source coverage and entity-linking for supplier-adjacent lawsuits</t>
        </is>
      </c>
      <c r="N83" t="inlineStr">
        <is>
          <t>Yes</t>
        </is>
      </c>
      <c r="O83" t="inlineStr">
        <is>
          <t>Staged from Jira EAO-17 (Done). Micron reported a forced-labor lawsuit against Jacobs Engineering/CH2M Hill was not captured in EventWatch and requested RCA if it was in scope.</t>
        </is>
      </c>
      <c r="Q83" t="inlineStr">
        <is>
          <t>Yes</t>
        </is>
      </c>
      <c r="R83" t="n">
        <v>7</v>
      </c>
      <c r="T83" s="118" t="n">
        <v>46204</v>
      </c>
      <c r="U83" t="inlineStr">
        <is>
          <t>Medium</t>
        </is>
      </c>
      <c r="V83" t="inlineStr">
        <is>
          <t>Dynamic Source Discovery</t>
        </is>
      </c>
      <c r="W83" t="inlineStr">
        <is>
          <t>EAO-17</t>
        </is>
      </c>
    </row>
    <row r="84">
      <c r="A84" s="118" t="n">
        <v>46204</v>
      </c>
      <c r="B84" s="119" t="n">
        <v>46216</v>
      </c>
      <c r="C84" t="inlineStr">
        <is>
          <t>Supply Shortage</t>
        </is>
      </c>
      <c r="D84" t="inlineStr">
        <is>
          <t>Western Digital</t>
        </is>
      </c>
      <c r="E84" t="n">
        <v>1</v>
      </c>
      <c r="F84" t="inlineStr">
        <is>
          <t>Suspension Baseplate Supply Risk Monitoring Request (Fujita Plating/NHK/OSK)</t>
        </is>
      </c>
      <c r="G84" t="inlineStr">
        <is>
          <t>Inquiry</t>
        </is>
      </c>
      <c r="H84" t="inlineStr">
        <is>
          <t>Coverage Verification Request</t>
        </is>
      </c>
      <c r="I84" t="inlineStr">
        <is>
          <t>Process</t>
        </is>
      </c>
      <c r="J84" t="inlineStr">
        <is>
          <t>Process Clarification</t>
        </is>
      </c>
      <c r="K84" t="inlineStr">
        <is>
          <t>Improvement</t>
        </is>
      </c>
      <c r="L84" t="inlineStr">
        <is>
          <t>Clarification Provided</t>
        </is>
      </c>
      <c r="M84" t="inlineStr">
        <is>
          <t>Supplier decommitment/capacity-risk monitoring for sub-tier component makers</t>
        </is>
      </c>
      <c r="N84" t="inlineStr">
        <is>
          <t>No</t>
        </is>
      </c>
      <c r="O84" t="inlineStr">
        <is>
          <t>Staged from Jira EAO-18 (Done). Western Digital asked whether EventWatch has published or is monitoring a reported Suspension Baseplate supply risk tied to Fujita Plating/NHK/OSK decommitments; CS found no matching event in the backend.</t>
        </is>
      </c>
      <c r="Q84" t="inlineStr">
        <is>
          <t>No</t>
        </is>
      </c>
      <c r="R84" t="n">
        <v>7</v>
      </c>
      <c r="T84" s="118" t="n">
        <v>46204</v>
      </c>
      <c r="U84" t="inlineStr">
        <is>
          <t>Low</t>
        </is>
      </c>
      <c r="V84" t="inlineStr">
        <is>
          <t>Other Control Automation</t>
        </is>
      </c>
      <c r="W84" t="inlineStr">
        <is>
          <t>EAO-18</t>
        </is>
      </c>
    </row>
    <row r="85">
      <c r="A85" s="118" t="n">
        <v>46204</v>
      </c>
      <c r="B85" s="119" t="n">
        <v>46217</v>
      </c>
      <c r="C85" t="inlineStr">
        <is>
          <t>Other</t>
        </is>
      </c>
      <c r="D85" t="inlineStr">
        <is>
          <t>Ford</t>
        </is>
      </c>
      <c r="E85" t="n">
        <v>1</v>
      </c>
      <c r="F85" t="inlineStr">
        <is>
          <t>RFI – Power Grid Failure Monitoring Strategy</t>
        </is>
      </c>
      <c r="G85" t="inlineStr">
        <is>
          <t>Inquiry</t>
        </is>
      </c>
      <c r="H85" t="inlineStr">
        <is>
          <t>Monitoring Strategy RFI</t>
        </is>
      </c>
      <c r="I85" t="inlineStr">
        <is>
          <t>Process</t>
        </is>
      </c>
      <c r="J85" t="inlineStr">
        <is>
          <t>Process Clarification</t>
        </is>
      </c>
      <c r="K85" t="inlineStr">
        <is>
          <t>Improvement</t>
        </is>
      </c>
      <c r="L85" t="inlineStr">
        <is>
          <t>Clarification Provided</t>
        </is>
      </c>
      <c r="M85" t="inlineStr">
        <is>
          <t>Published monitoring-scope documentation for power-grid/infrastructure failure events</t>
        </is>
      </c>
      <c r="N85" t="inlineStr">
        <is>
          <t>No</t>
        </is>
      </c>
      <c r="O85" t="inlineStr">
        <is>
          <t>Staged from Jira EAO-19 (Done). Ford requested an explanation of Resilinc's monitoring strategy for power grid failure events after multiple incidents affected suppliers in the US and Europe.</t>
        </is>
      </c>
      <c r="Q85" t="inlineStr">
        <is>
          <t>No</t>
        </is>
      </c>
      <c r="R85" t="n">
        <v>7</v>
      </c>
      <c r="T85" s="118" t="n">
        <v>46204</v>
      </c>
      <c r="U85" t="inlineStr">
        <is>
          <t>Low</t>
        </is>
      </c>
      <c r="V85" t="inlineStr">
        <is>
          <t>Other Control Automation</t>
        </is>
      </c>
      <c r="W85" t="inlineStr">
        <is>
          <t>EAO-19</t>
        </is>
      </c>
    </row>
    <row r="86">
      <c r="A86" s="118" t="n">
        <v>46204</v>
      </c>
      <c r="B86" s="119" t="n">
        <v>46220</v>
      </c>
      <c r="C86" t="inlineStr">
        <is>
          <t>Bankruptcy</t>
        </is>
      </c>
      <c r="D86" t="inlineStr">
        <is>
          <t>Honeywell</t>
        </is>
      </c>
      <c r="E86" t="n">
        <v>1</v>
      </c>
      <c r="F86" t="inlineStr">
        <is>
          <t>ASSMANN WSW Components GmbH Bankruptcy Filing – Missed Coverage (Honeywell Tier 1 Supplier)</t>
        </is>
      </c>
      <c r="G86" t="inlineStr">
        <is>
          <t>Complaint</t>
        </is>
      </c>
      <c r="H86" t="inlineStr">
        <is>
          <t>Missed insolvency alert</t>
        </is>
      </c>
      <c r="I86" t="inlineStr">
        <is>
          <t>Product</t>
        </is>
      </c>
      <c r="J86" t="inlineStr">
        <is>
          <t>Source Coverage</t>
        </is>
      </c>
      <c r="K86" t="inlineStr">
        <is>
          <t>Improvement</t>
        </is>
      </c>
      <c r="L86" t="inlineStr">
        <is>
          <t>Fixed</t>
        </is>
      </c>
      <c r="M86" t="inlineStr">
        <is>
          <t>Tier-1 supplier bankruptcy/insolvency filing source coverage expansion (EU registries)</t>
        </is>
      </c>
      <c r="N86" t="inlineStr">
        <is>
          <t>Yes</t>
        </is>
      </c>
      <c r="O86" t="inlineStr">
        <is>
          <t>Staged from Jira EAO-20 (Done). Honeywell reported ASSMANN WSW Components GmbH's July 6 insolvency filing (a mapped Tier-1 supplier) was never published as an EventWatch bulletin or WarRoom; RCA requested.</t>
        </is>
      </c>
      <c r="Q86" t="inlineStr">
        <is>
          <t>Yes</t>
        </is>
      </c>
      <c r="R86" t="n">
        <v>7</v>
      </c>
      <c r="T86" s="118" t="n">
        <v>46204</v>
      </c>
      <c r="U86" t="inlineStr">
        <is>
          <t>Medium</t>
        </is>
      </c>
      <c r="V86" t="inlineStr">
        <is>
          <t>Dynamic Source Discovery</t>
        </is>
      </c>
      <c r="W86" t="inlineStr">
        <is>
          <t>EAO-20</t>
        </is>
      </c>
    </row>
    <row r="87">
      <c r="A87" s="118" t="n">
        <v>46204</v>
      </c>
      <c r="B87" s="119" t="n">
        <v>46220</v>
      </c>
      <c r="C87" t="inlineStr">
        <is>
          <t>Wildfire</t>
        </is>
      </c>
      <c r="D87" t="inlineStr">
        <is>
          <t>Ford</t>
        </is>
      </c>
      <c r="E87" t="n">
        <v>1</v>
      </c>
      <c r="F87" t="inlineStr">
        <is>
          <t>Severe Air Quality Degradation – Canadian Wildfires Missed Alert (Midwest/Northeast US)</t>
        </is>
      </c>
      <c r="G87" t="inlineStr">
        <is>
          <t>Complaint</t>
        </is>
      </c>
      <c r="H87" t="inlineStr">
        <is>
          <t>Missed Event</t>
        </is>
      </c>
      <c r="I87" t="inlineStr">
        <is>
          <t>People</t>
        </is>
      </c>
      <c r="J87" t="inlineStr">
        <is>
          <t>Event Identification</t>
        </is>
      </c>
      <c r="K87" t="inlineStr">
        <is>
          <t>Improvement</t>
        </is>
      </c>
      <c r="L87" t="inlineStr">
        <is>
          <t>RCA Shared</t>
        </is>
      </c>
      <c r="M87" t="inlineStr">
        <is>
          <t>Escalation automation for environmental-hazard advisories</t>
        </is>
      </c>
      <c r="N87" t="inlineStr">
        <is>
          <t>Yes</t>
        </is>
      </c>
      <c r="O87" t="inlineStr">
        <is>
          <t>Staged from Jira EAO-21 (Done). Ford reported no EventWatch alert/WarRoom was generated for July 15-17 wildfire smoke air-quality degradation across the US Midwest/Northeast; CS confirmed no matching notification was found.</t>
        </is>
      </c>
      <c r="Q87" t="inlineStr">
        <is>
          <t>Yes</t>
        </is>
      </c>
      <c r="R87" t="n">
        <v>7</v>
      </c>
      <c r="T87" s="118" t="n">
        <v>46204</v>
      </c>
      <c r="U87" t="inlineStr">
        <is>
          <t>Medium</t>
        </is>
      </c>
      <c r="V87" t="inlineStr">
        <is>
          <t>WarRoom &amp; Decision Validation</t>
        </is>
      </c>
      <c r="W87" t="inlineStr">
        <is>
          <t>EAO-21</t>
        </is>
      </c>
    </row>
    <row r="88">
      <c r="A88" s="118" t="n">
        <v>46204</v>
      </c>
      <c r="B88" s="119" t="n">
        <v>46230</v>
      </c>
      <c r="C88" t="inlineStr">
        <is>
          <t>Cyber Attack</t>
        </is>
      </c>
      <c r="D88" t="inlineStr">
        <is>
          <t>Eaton</t>
        </is>
      </c>
      <c r="E88" t="n">
        <v>1</v>
      </c>
      <c r="F88" t="inlineStr">
        <is>
          <t>Romania ANCPI Cyberattack – Missed EventWatch Notification</t>
        </is>
      </c>
      <c r="G88" t="inlineStr">
        <is>
          <t>Complaint</t>
        </is>
      </c>
      <c r="H88" t="inlineStr">
        <is>
          <t>Missed Event</t>
        </is>
      </c>
      <c r="I88" t="inlineStr">
        <is>
          <t>Product</t>
        </is>
      </c>
      <c r="J88" t="inlineStr">
        <is>
          <t>Source Coverage</t>
        </is>
      </c>
      <c r="K88" t="inlineStr">
        <is>
          <t>Improvement</t>
        </is>
      </c>
      <c r="L88" t="inlineStr">
        <is>
          <t>RCA Shared</t>
        </is>
      </c>
      <c r="M88" t="inlineStr">
        <is>
          <t>Government/public-sector cyberattack source coverage expansion (regional-language sources)</t>
        </is>
      </c>
      <c r="N88" t="inlineStr">
        <is>
          <t>Yes</t>
        </is>
      </c>
      <c r="O88" t="inlineStr">
        <is>
          <t>Staged from Jira EAO-22 (Done). Eaton reported the July 14-16 ANCPI (Romania land registry) cyberattack had no corresponding WarRoom or news on the portal; RCA requested if it was in scope.</t>
        </is>
      </c>
      <c r="Q88" t="inlineStr">
        <is>
          <t>Yes</t>
        </is>
      </c>
      <c r="R88" t="n">
        <v>7</v>
      </c>
      <c r="T88" s="118" t="n">
        <v>46204</v>
      </c>
      <c r="U88" t="inlineStr">
        <is>
          <t>Medium</t>
        </is>
      </c>
      <c r="V88" t="inlineStr">
        <is>
          <t>Dynamic Source Discovery</t>
        </is>
      </c>
      <c r="W88" t="inlineStr">
        <is>
          <t>EAO-22</t>
        </is>
      </c>
    </row>
    <row r="89">
      <c r="A89" s="118" t="n">
        <v>46235</v>
      </c>
      <c r="B89" s="119" t="n">
        <v>46251</v>
      </c>
      <c r="C89" t="inlineStr">
        <is>
          <t>Transport Disruption</t>
        </is>
      </c>
      <c r="D89" t="inlineStr">
        <is>
          <t>Eaton</t>
        </is>
      </c>
      <c r="E89" t="n">
        <v>1</v>
      </c>
      <c r="F89" t="inlineStr">
        <is>
          <t>Kandla Port Cargo Congestion – Supplier Impact Notification Clarification (Eaton)</t>
        </is>
      </c>
      <c r="G89" t="inlineStr">
        <is>
          <t>Inquiry</t>
        </is>
      </c>
      <c r="H89" t="inlineStr">
        <is>
          <t>Supplier Impact Mapping Clarification</t>
        </is>
      </c>
      <c r="I89" t="inlineStr">
        <is>
          <t>Process</t>
        </is>
      </c>
      <c r="J89" t="inlineStr">
        <is>
          <t>Mapping</t>
        </is>
      </c>
      <c r="K89" t="inlineStr">
        <is>
          <t>Improvement</t>
        </is>
      </c>
      <c r="L89" t="inlineStr">
        <is>
          <t>Clarification Provided</t>
        </is>
      </c>
      <c r="M89" t="inlineStr">
        <is>
          <t>Impact-confirmation notification criteria documentation for port/logistics bulletins</t>
        </is>
      </c>
      <c r="N89" t="inlineStr">
        <is>
          <t>No</t>
        </is>
      </c>
      <c r="O89" t="inlineStr">
        <is>
          <t>Staged from Jira EAO-28 (Done). Eaton asked what criteria triggered impact-confirmation notifications to Eaton suppliers on the Kandla Port cargo congestion bulletin, since the bulletin text focused on rice exports.</t>
        </is>
      </c>
      <c r="Q89" t="inlineStr">
        <is>
          <t>No</t>
        </is>
      </c>
      <c r="R89" t="n">
        <v>8</v>
      </c>
      <c r="T89" s="118" t="n">
        <v>46235</v>
      </c>
      <c r="U89" t="inlineStr">
        <is>
          <t>Low</t>
        </is>
      </c>
      <c r="V89" t="inlineStr">
        <is>
          <t>Entity &amp; Supplier Resolution</t>
        </is>
      </c>
      <c r="W89" t="inlineStr">
        <is>
          <t>EAO-28</t>
        </is>
      </c>
    </row>
    <row r="90">
      <c r="A90" s="118" t="n">
        <v>46235</v>
      </c>
      <c r="B90" s="119" t="n">
        <v>46265</v>
      </c>
      <c r="C90" t="inlineStr">
        <is>
          <t>Other</t>
        </is>
      </c>
      <c r="D90" t="inlineStr">
        <is>
          <t>Liberty Blume</t>
        </is>
      </c>
      <c r="E90" t="n">
        <v>1</v>
      </c>
      <c r="F90" t="inlineStr">
        <is>
          <t>Ciena 400G Optics Counterfeit Risk Intelligence Request (Liberty Blume)</t>
        </is>
      </c>
      <c r="G90" t="inlineStr">
        <is>
          <t>Inquiry</t>
        </is>
      </c>
      <c r="H90" t="inlineStr">
        <is>
          <t>Intelligence/Advisory Request</t>
        </is>
      </c>
      <c r="I90" t="inlineStr">
        <is>
          <t>Process</t>
        </is>
      </c>
      <c r="J90" t="inlineStr">
        <is>
          <t>Process Clarification</t>
        </is>
      </c>
      <c r="K90" t="inlineStr">
        <is>
          <t>Improvement</t>
        </is>
      </c>
      <c r="L90" t="inlineStr">
        <is>
          <t>Pending</t>
        </is>
      </c>
      <c r="M90" t="inlineStr">
        <is>
          <t>Counterfeit/grey-market component intelligence briefing capability</t>
        </is>
      </c>
      <c r="N90" t="inlineStr">
        <is>
          <t>No</t>
        </is>
      </c>
      <c r="O90" t="inlineStr">
        <is>
          <t>Staged from Jira EAO-32 (Open). Liberty Blume requested industry intelligence on counterfeit/grey-market Ciena 400G optical transceivers beyond the supplier scanning report already provided.</t>
        </is>
      </c>
      <c r="Q90" t="inlineStr">
        <is>
          <t>No</t>
        </is>
      </c>
      <c r="R90" t="n">
        <v>8</v>
      </c>
      <c r="T90" s="118" t="n">
        <v>46235</v>
      </c>
      <c r="U90" t="inlineStr">
        <is>
          <t>Low</t>
        </is>
      </c>
      <c r="V90" t="inlineStr">
        <is>
          <t>Other Control Automation</t>
        </is>
      </c>
      <c r="W90" t="inlineStr">
        <is>
          <t>EAO-32</t>
        </is>
      </c>
    </row>
    <row r="91">
      <c r="A91" s="118" t="n">
        <v>46266</v>
      </c>
      <c r="B91" s="119" t="n">
        <v>46267</v>
      </c>
      <c r="C91" t="inlineStr">
        <is>
          <t>Geopolitical</t>
        </is>
      </c>
      <c r="D91" t="inlineStr">
        <is>
          <t>Caterpillar</t>
        </is>
      </c>
      <c r="E91" t="n">
        <v>1</v>
      </c>
      <c r="F91" t="inlineStr">
        <is>
          <t>Taiwan Strait Conflict Risk Assessment – Missed EventWatch Notification</t>
        </is>
      </c>
      <c r="G91" t="inlineStr">
        <is>
          <t>Complaint</t>
        </is>
      </c>
      <c r="H91" t="inlineStr">
        <is>
          <t>Missed Event</t>
        </is>
      </c>
      <c r="I91" t="inlineStr">
        <is>
          <t>People</t>
        </is>
      </c>
      <c r="J91" t="inlineStr">
        <is>
          <t>Event Identification</t>
        </is>
      </c>
      <c r="K91" t="inlineStr">
        <is>
          <t>Improvement</t>
        </is>
      </c>
      <c r="L91" t="inlineStr">
        <is>
          <t>Pending</t>
        </is>
      </c>
      <c r="M91" t="inlineStr">
        <is>
          <t>Geopolitical conflict risk-assessment scenario monitoring and escalation</t>
        </is>
      </c>
      <c r="N91" t="inlineStr">
        <is>
          <t>Yes</t>
        </is>
      </c>
      <c r="O91" t="inlineStr">
        <is>
          <t>Staged from Jira EAO-33 (In Progress). Caterpillar reported no notification for “Taiwan Strait Conflict Risk Assessment and Potential Global Supply Chain Impact”; CS found no matching event in the backend.</t>
        </is>
      </c>
      <c r="Q91" t="inlineStr">
        <is>
          <t>Yes</t>
        </is>
      </c>
      <c r="R91" t="n">
        <v>9</v>
      </c>
      <c r="T91" s="118" t="n">
        <v>46266</v>
      </c>
      <c r="U91" t="inlineStr">
        <is>
          <t>Medium</t>
        </is>
      </c>
      <c r="V91" t="inlineStr">
        <is>
          <t>WarRoom &amp; Decision Validation</t>
        </is>
      </c>
      <c r="W91" t="inlineStr">
        <is>
          <t>EAO-33</t>
        </is>
      </c>
    </row>
    <row r="92">
      <c r="A92" s="118" t="n">
        <v>46266</v>
      </c>
      <c r="B92" s="119" t="n">
        <v>46268</v>
      </c>
      <c r="C92" t="inlineStr">
        <is>
          <t>Protest/Riot</t>
        </is>
      </c>
      <c r="D92" t="inlineStr">
        <is>
          <t>Ford</t>
        </is>
      </c>
      <c r="E92" t="n">
        <v>1</v>
      </c>
      <c r="F92" t="inlineStr">
        <is>
          <t>Western Balkans Truck Driver/EU Border Blockade – August 31 Update Missed Alert (Ford)</t>
        </is>
      </c>
      <c r="G92" t="inlineStr">
        <is>
          <t>Complaint</t>
        </is>
      </c>
      <c r="H92" t="inlineStr">
        <is>
          <t>Missed Event</t>
        </is>
      </c>
      <c r="I92" t="inlineStr">
        <is>
          <t>People</t>
        </is>
      </c>
      <c r="J92" t="inlineStr">
        <is>
          <t>Review</t>
        </is>
      </c>
      <c r="K92" t="inlineStr">
        <is>
          <t>Improvement</t>
        </is>
      </c>
      <c r="L92" t="inlineStr">
        <is>
          <t>Pending</t>
        </is>
      </c>
      <c r="M92" t="inlineStr">
        <is>
          <t>Recurring/evolving-event WarRoom update monitoring and re-escalation detection</t>
        </is>
      </c>
      <c r="N92" t="inlineStr">
        <is>
          <t>Yes</t>
        </is>
      </c>
      <c r="O92"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2" t="inlineStr">
        <is>
          <t>Yes</t>
        </is>
      </c>
      <c r="R92" t="n">
        <v>9</v>
      </c>
      <c r="T92" s="118" t="n">
        <v>46266</v>
      </c>
      <c r="U92" t="inlineStr">
        <is>
          <t>Medium</t>
        </is>
      </c>
      <c r="V92" t="inlineStr">
        <is>
          <t>WarRoom &amp; Decision Validation</t>
        </is>
      </c>
      <c r="W92" t="inlineStr">
        <is>
          <t>EAO-34</t>
        </is>
      </c>
    </row>
    <row r="93">
      <c r="A93" s="118" t="n">
        <v>46235</v>
      </c>
      <c r="B93" s="119" t="n">
        <v>46237</v>
      </c>
      <c r="C93" t="inlineStr">
        <is>
          <t>Factory Fire</t>
        </is>
      </c>
      <c r="D93" t="inlineStr">
        <is>
          <t>GM</t>
        </is>
      </c>
      <c r="E93" t="n">
        <v>1</v>
      </c>
      <c r="F93" t="inlineStr">
        <is>
          <t>Fire at UTAS-Nova Automotive Lighting Systems, Danyang, Jiangsu, China</t>
        </is>
      </c>
      <c r="G93" t="inlineStr">
        <is>
          <t>Complaint</t>
        </is>
      </c>
      <c r="H93" t="inlineStr">
        <is>
          <t>Missed Event</t>
        </is>
      </c>
      <c r="I93" t="inlineStr">
        <is>
          <t>Product</t>
        </is>
      </c>
      <c r="J93" t="inlineStr">
        <is>
          <t>Source Coverage</t>
        </is>
      </c>
      <c r="K93" t="inlineStr">
        <is>
          <t>Improvement</t>
        </is>
      </c>
      <c r="L93" t="inlineStr">
        <is>
          <t>Pending</t>
        </is>
      </c>
      <c r="M93" t="inlineStr">
        <is>
          <t>Chinese regional source coverage for sub-tier automotive lighting suppliers</t>
        </is>
      </c>
      <c r="N93" t="inlineStr">
        <is>
          <t>Yes</t>
        </is>
      </c>
      <c r="O93" t="inlineStr">
        <is>
          <t>Staged from Jira EAO-25 (Sent to PM). GM reported a fire at UTAS-Nova Automotive Lighting Systems, Danyang, Jiangsu, China (reported July 10) was not found in GM's org; investigation findings not yet shared, Short Term Fix Status set to Pending until CS responds.</t>
        </is>
      </c>
      <c r="Q93" t="inlineStr">
        <is>
          <t>Yes</t>
        </is>
      </c>
      <c r="R93" t="n">
        <v>8</v>
      </c>
      <c r="T93" s="118" t="n">
        <v>46235</v>
      </c>
      <c r="U93" t="inlineStr">
        <is>
          <t>Medium</t>
        </is>
      </c>
      <c r="V93" t="inlineStr">
        <is>
          <t>Dynamic Source Discovery</t>
        </is>
      </c>
      <c r="W93" t="inlineStr">
        <is>
          <t>EAO-25</t>
        </is>
      </c>
    </row>
    <row r="94">
      <c r="A94" s="118" t="n">
        <v>46235</v>
      </c>
      <c r="B94" s="119" t="n">
        <v>46237</v>
      </c>
      <c r="C94" t="inlineStr">
        <is>
          <t>Tornado</t>
        </is>
      </c>
      <c r="D94" t="inlineStr">
        <is>
          <t>GM</t>
        </is>
      </c>
      <c r="E94" t="n">
        <v>1</v>
      </c>
      <c r="F94" t="inlineStr">
        <is>
          <t>Chicago Heights, Illinois Tornado – Trialco Impact Not Identified</t>
        </is>
      </c>
      <c r="G94" t="inlineStr">
        <is>
          <t>Complaint</t>
        </is>
      </c>
      <c r="H94" t="inlineStr">
        <is>
          <t>Missed Event</t>
        </is>
      </c>
      <c r="I94" t="inlineStr">
        <is>
          <t>People</t>
        </is>
      </c>
      <c r="J94" t="inlineStr">
        <is>
          <t>Event Identification</t>
        </is>
      </c>
      <c r="K94" t="inlineStr">
        <is>
          <t>Improvement</t>
        </is>
      </c>
      <c r="L94" t="inlineStr">
        <is>
          <t>Pending</t>
        </is>
      </c>
      <c r="M94" t="inlineStr">
        <is>
          <t>Escalation automation for localized-impact tornado/storm sub-events and named-facility (Trialco) impact confirmation</t>
        </is>
      </c>
      <c r="N94" t="inlineStr">
        <is>
          <t>Yes</t>
        </is>
      </c>
      <c r="O94"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94" t="inlineStr">
        <is>
          <t>Yes</t>
        </is>
      </c>
      <c r="R94" t="n">
        <v>8</v>
      </c>
      <c r="T94" s="118" t="n">
        <v>46235</v>
      </c>
      <c r="U94" t="inlineStr">
        <is>
          <t>Medium</t>
        </is>
      </c>
      <c r="V94" t="inlineStr">
        <is>
          <t>WarRoom &amp; Decision Validation</t>
        </is>
      </c>
      <c r="W94" t="inlineStr">
        <is>
          <t>EAO-25</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n"/>
      <c r="J53" s="22" t="n"/>
      <c r="K53" s="24" t="n"/>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25" t="inlineStr">
        <is>
          <t>Total</t>
        </is>
      </c>
      <c r="B58" s="26">
        <f>SUM(B50:B57)</f>
        <v/>
      </c>
      <c r="C58" s="26">
        <f>SUM(C50:C57)</f>
        <v/>
      </c>
      <c r="D58" s="3" t="n"/>
      <c r="E58" s="3" t="n"/>
      <c r="F58" s="3" t="n"/>
      <c r="G58" s="3" t="n"/>
      <c r="H58" s="3" t="n"/>
      <c r="I58" s="3" t="n"/>
      <c r="J58" s="3" t="n"/>
      <c r="K58" s="3" t="n"/>
      <c r="L58" s="3" t="n"/>
      <c r="M58" s="3" t="n"/>
      <c r="N58" s="3" t="n"/>
      <c r="O58" s="3" t="n"/>
      <c r="P58" s="3" t="n"/>
      <c r="Q58" s="3" t="n"/>
      <c r="R58" s="3" t="n"/>
    </row>
    <row r="59" ht="18" customHeight="1">
      <c r="A59" s="3" t="n"/>
      <c r="B59" s="3" t="n"/>
      <c r="C59" s="3" t="n"/>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cm="1">
        <f t="array" ref="B64:B73">COUNTIFS(ComplaintTracker[Issue Type],"Complaint",ComplaintTracker[Customer],_xlfn.ANCHORARRAY(A64))</f>
        <v>32</v>
      </c>
      <c r="C64" s="23" cm="1">
        <f t="array" ref="C64:C73">_xlfn.ANCHORARRAY(B64)/COUNTIF(ComplaintTracker[Issue Type],"Complaint")</f>
        <v>0.43835616438356162</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4">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9</v>
      </c>
      <c r="K64" s="75" t="n">
        <v>0</v>
      </c>
      <c r="L64" s="75" t="n">
        <v>9</v>
      </c>
    </row>
    <row r="65" ht="23.25" customHeight="1">
      <c r="A65" s="20" t="inlineStr">
        <is>
          <t>Eaton</t>
        </is>
      </c>
      <c r="B65" s="22" t="n">
        <v>10</v>
      </c>
      <c r="C65" s="24" t="n">
        <v>0.136986301369863</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6</v>
      </c>
      <c r="C66" s="24" t="n">
        <v>0.0821917808219178</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12</v>
      </c>
      <c r="K66" s="76" t="n">
        <v>0</v>
      </c>
      <c r="L66" s="76" t="n">
        <v>12</v>
      </c>
    </row>
    <row r="67" ht="23.25" customHeight="1">
      <c r="A67" s="20" t="inlineStr">
        <is>
          <t>Collins Aerospace</t>
        </is>
      </c>
      <c r="B67" s="22" t="n">
        <v>4</v>
      </c>
      <c r="C67" s="24" t="n">
        <v>0.0547945205479452</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2</v>
      </c>
      <c r="C68" s="24" t="n">
        <v>0.0273972602739726</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Merck</t>
        </is>
      </c>
      <c r="B69" s="22" t="n">
        <v>2</v>
      </c>
      <c r="C69" s="24" t="n">
        <v>0.0273972602739726</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Schneider Electric</t>
        </is>
      </c>
      <c r="B70" s="22" t="n">
        <v>2</v>
      </c>
      <c r="C70" s="24" t="n">
        <v>0.0273972602739726</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UVM Health Network</t>
        </is>
      </c>
      <c r="B71" s="22" t="n">
        <v>2</v>
      </c>
      <c r="C71" s="24" t="n">
        <v>0.0273972602739726</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11</v>
      </c>
      <c r="K71" s="76" t="n">
        <v>2</v>
      </c>
      <c r="L71" s="76" t="n">
        <v>13</v>
      </c>
    </row>
    <row r="72" ht="18" customHeight="1">
      <c r="A72" s="20" t="inlineStr">
        <is>
          <t>Bombardier</t>
        </is>
      </c>
      <c r="B72" s="22" t="n">
        <v>1</v>
      </c>
      <c r="C72" s="24" t="n">
        <v>0.0136986301369863</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Fedrigoni Group</t>
        </is>
      </c>
      <c r="B73" s="22" t="n">
        <v>1</v>
      </c>
      <c r="C73" s="24" t="n">
        <v>0.0136986301369863</v>
      </c>
      <c r="D73" s="3" t="n"/>
      <c r="E73" s="25" t="inlineStr">
        <is>
          <t>Total</t>
        </is>
      </c>
      <c r="F73" s="26">
        <f>SUM(F64:F72)</f>
        <v/>
      </c>
      <c r="G73" s="27">
        <f>SUM(G64:G72)</f>
        <v/>
      </c>
      <c r="H73" s="3" t="n"/>
      <c r="I73" s="20" t="inlineStr">
        <is>
          <t>Geopolitical</t>
        </is>
      </c>
      <c r="J73" s="76" t="n">
        <v>5</v>
      </c>
      <c r="K73" s="76" t="n">
        <v>0</v>
      </c>
      <c r="L73" s="76" t="n">
        <v>5</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Merger &amp; Acquisition</t>
        </is>
      </c>
      <c r="J77" s="76" t="n">
        <v>2</v>
      </c>
      <c r="K77" s="76" t="n">
        <v>0</v>
      </c>
      <c r="L77" s="76" t="n">
        <v>2</v>
      </c>
    </row>
    <row r="78" ht="18" customHeight="1">
      <c r="A78" s="3" t="n"/>
      <c r="B78" s="3" t="n"/>
      <c r="C78" s="3" t="n"/>
      <c r="D78" s="3" t="n"/>
      <c r="E78" s="3" t="n"/>
      <c r="F78" s="3" t="n"/>
      <c r="G78" s="3" t="n"/>
      <c r="H78" s="3" t="n"/>
      <c r="I78" s="20" t="inlineStr">
        <is>
          <t>Other</t>
        </is>
      </c>
      <c r="J78" s="76" t="n">
        <v>0</v>
      </c>
      <c r="K78" s="76" t="n">
        <v>1</v>
      </c>
      <c r="L78" s="76" t="n">
        <v>1</v>
      </c>
    </row>
    <row r="79" ht="23.25" customHeight="1">
      <c r="A79" s="3" t="n"/>
      <c r="B79" s="3" t="n"/>
      <c r="C79" s="3" t="n"/>
      <c r="D79" s="3" t="n"/>
      <c r="E79" s="3" t="n"/>
      <c r="F79" s="3" t="n"/>
      <c r="G79" s="3" t="n"/>
      <c r="H79" s="3" t="n"/>
      <c r="I79" s="20" t="inlineStr">
        <is>
          <t>Protest/Riot</t>
        </is>
      </c>
      <c r="J79" s="76" t="n">
        <v>4</v>
      </c>
      <c r="K79" s="76" t="n">
        <v>0</v>
      </c>
      <c r="L79" s="76" t="n">
        <v>4</v>
      </c>
    </row>
    <row r="80" ht="23.25" customHeight="1">
      <c r="A80" s="3" t="n"/>
      <c r="B80" s="3" t="n"/>
      <c r="C80" s="3" t="n"/>
      <c r="D80" s="3" t="n"/>
      <c r="E80" s="3" t="n"/>
      <c r="F80" s="3" t="n"/>
      <c r="G80" s="3" t="n"/>
      <c r="H80" s="3" t="n"/>
      <c r="I80" s="20" t="inlineStr">
        <is>
          <t>Regulatory Change</t>
        </is>
      </c>
      <c r="J80" s="76" t="n">
        <v>6</v>
      </c>
      <c r="K80" s="76" t="n">
        <v>0</v>
      </c>
      <c r="L80" s="76" t="n">
        <v>6</v>
      </c>
    </row>
    <row r="81" ht="18" customHeight="1">
      <c r="A81" s="3" t="n"/>
      <c r="B81" s="3" t="n"/>
      <c r="C81" s="3" t="n"/>
      <c r="D81" s="3" t="n"/>
      <c r="E81" s="3" t="n"/>
      <c r="F81" s="3" t="n"/>
      <c r="G81" s="3" t="n"/>
      <c r="H81" s="3" t="n"/>
      <c r="I81" s="20" t="inlineStr">
        <is>
          <t>Supply Shortage</t>
        </is>
      </c>
      <c r="J81" s="76" t="n">
        <v>3</v>
      </c>
      <c r="K81" s="76" t="n">
        <v>2</v>
      </c>
      <c r="L81" s="76" t="n">
        <v>5</v>
      </c>
    </row>
    <row r="82" ht="23.25" customHeight="1">
      <c r="A82" s="3" t="n"/>
      <c r="B82" s="3" t="n"/>
      <c r="C82" s="3" t="n"/>
      <c r="D82" s="3" t="n"/>
      <c r="E82" s="3" t="n"/>
      <c r="F82" s="3" t="n"/>
      <c r="G82" s="3" t="n"/>
      <c r="H82" s="3" t="n"/>
      <c r="I82" s="20" t="inlineStr">
        <is>
          <t>Transport Disruption</t>
        </is>
      </c>
      <c r="J82" s="76" t="n">
        <v>1</v>
      </c>
      <c r="K82" s="76" t="n">
        <v>0</v>
      </c>
      <c r="L82" s="76" t="n">
        <v>1</v>
      </c>
    </row>
    <row r="83" ht="23.25" customHeight="1">
      <c r="A83" s="3" t="n"/>
      <c r="B83" s="3" t="n"/>
      <c r="C83" s="3" t="n"/>
      <c r="D83" s="3" t="n"/>
      <c r="E83" s="3" t="n"/>
      <c r="F83" s="3" t="n"/>
      <c r="G83" s="3" t="n"/>
      <c r="H83" s="3" t="n"/>
      <c r="I83" s="20" t="inlineStr">
        <is>
          <t>Wildfire</t>
        </is>
      </c>
      <c r="J83" s="76" t="n">
        <v>2</v>
      </c>
      <c r="K83" s="76" t="n">
        <v>1</v>
      </c>
      <c r="L83" s="76" t="n">
        <v>3</v>
      </c>
    </row>
    <row r="84" ht="18" customHeight="1">
      <c r="A84" s="3" t="n"/>
      <c r="B84" s="3" t="n"/>
      <c r="C84" s="3" t="n"/>
      <c r="D84" s="3" t="n"/>
      <c r="E84" s="3" t="n"/>
      <c r="F84" s="3" t="n"/>
      <c r="G84" s="3" t="n"/>
      <c r="H84" s="3" t="n"/>
      <c r="I84" s="25" t="inlineStr">
        <is>
          <t>Total</t>
        </is>
      </c>
      <c r="J84" s="77" t="n">
        <v>73</v>
      </c>
      <c r="K84" s="77" t="n">
        <v>7</v>
      </c>
      <c r="L84" s="77" t="n">
        <v>80</v>
      </c>
      <c r="M84" s="3" t="n"/>
      <c r="N84" s="3" t="n"/>
      <c r="O84" s="3" t="n"/>
      <c r="P84" s="3" t="n"/>
      <c r="Q84" s="3" t="n"/>
      <c r="R84" s="3" t="n"/>
    </row>
    <row r="85" ht="18" customHeight="1">
      <c r="A85" s="3" t="n"/>
      <c r="B85" s="3" t="n"/>
      <c r="C85" s="3" t="n"/>
      <c r="D85" s="3" t="n"/>
      <c r="E85" s="3" t="n"/>
      <c r="F85" s="3" t="n"/>
      <c r="G85" s="3" t="n"/>
      <c r="H85" s="3" t="n"/>
      <c r="I85" s="3" t="n"/>
      <c r="J85" s="78" t="n"/>
      <c r="K85" s="78" t="n"/>
      <c r="L85" s="78" t="n"/>
      <c r="M85" s="3" t="n"/>
      <c r="N85" s="3" t="n"/>
      <c r="O85" s="3" t="n"/>
      <c r="P85" s="3" t="n"/>
      <c r="Q85" s="3" t="n"/>
      <c r="R85" s="3" t="n"/>
    </row>
    <row r="86" ht="18" customHeight="1">
      <c r="A86" s="3" t="n"/>
      <c r="B86" s="3" t="n"/>
      <c r="C86" s="3" t="n"/>
      <c r="D86" s="3" t="n"/>
      <c r="E86" s="3" t="n"/>
      <c r="F86" s="3" t="n"/>
      <c r="G86" s="3" t="n"/>
      <c r="H86" s="3" t="n"/>
      <c r="I86" s="3" t="n"/>
      <c r="J86" s="78" t="n"/>
      <c r="K86" s="78" t="n"/>
      <c r="L86" s="78" t="n"/>
      <c r="M86" s="3" t="n"/>
      <c r="N86" s="3" t="n"/>
      <c r="O86" s="3" t="n"/>
      <c r="P86" s="3" t="n"/>
      <c r="Q86" s="3" t="n"/>
      <c r="R86" s="3" t="n"/>
    </row>
    <row r="87" ht="18" customHeight="1">
      <c r="A87" s="3" t="n"/>
      <c r="B87" s="3" t="n"/>
      <c r="C87" s="3" t="n"/>
      <c r="D87" s="3" t="n"/>
      <c r="E87" s="3" t="n"/>
      <c r="F87" s="3" t="n"/>
      <c r="G87" s="3" t="n"/>
      <c r="H87" s="3" t="n"/>
      <c r="I87" s="3" t="n"/>
      <c r="J87" s="78" t="n"/>
      <c r="K87" s="78" t="n"/>
      <c r="L87" s="78" t="n"/>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ht="30.75" customHeight="1">
      <c r="A26" s="42" t="inlineStr">
        <is>
          <t>Operational term</t>
        </is>
      </c>
      <c r="B26" s="41" t="inlineStr">
        <is>
          <t>EventWatch</t>
        </is>
      </c>
      <c r="C26" s="41" t="inlineStr">
        <is>
          <t>Operational monitoring service that identifies, assesses, and reports events relevant to customers.</t>
        </is>
      </c>
      <c r="D26" s="41" t="inlineStr">
        <is>
          <t>Common EventWatch terminology</t>
        </is>
      </c>
      <c r="E26" s="41" t="inlineStr">
        <is>
          <t>Various</t>
        </is>
      </c>
    </row>
    <row r="27" ht="30.75" customHeight="1">
      <c r="A27" s="42" t="inlineStr">
        <is>
          <t>Operational term</t>
        </is>
      </c>
      <c r="B27" s="41" t="inlineStr">
        <is>
          <t>WarRoom</t>
        </is>
      </c>
      <c r="C27" s="41" t="inlineStr">
        <is>
          <t>Central event workspace used to publish, organize, and update an operational event.</t>
        </is>
      </c>
      <c r="D27" s="41" t="inlineStr">
        <is>
          <t>Common EventWatch terminology</t>
        </is>
      </c>
      <c r="E27" s="41" t="inlineStr">
        <is>
          <t>Various</t>
        </is>
      </c>
    </row>
    <row r="28" ht="30.75" customHeight="1">
      <c r="A28" s="42" t="inlineStr">
        <is>
          <t>Operational term</t>
        </is>
      </c>
      <c r="B28" s="41" t="inlineStr">
        <is>
          <t>RCA</t>
        </is>
      </c>
      <c r="C28" s="41" t="inlineStr">
        <is>
          <t>Root Cause Analysis; a documented explanation of why an issue occurred and the corrective/preventive actions.</t>
        </is>
      </c>
      <c r="D28" s="41" t="inlineStr">
        <is>
          <t>Common EventWatch terminology</t>
        </is>
      </c>
      <c r="E28" s="41" t="inlineStr">
        <is>
          <t>Various</t>
        </is>
      </c>
    </row>
    <row r="29" ht="30.75" customHeight="1">
      <c r="A29" s="42" t="inlineStr">
        <is>
          <t>Operational term</t>
        </is>
      </c>
      <c r="B29" s="41" t="inlineStr">
        <is>
          <t>NC</t>
        </is>
      </c>
      <c r="C29" s="41" t="inlineStr">
        <is>
          <t>Non-Conformance; an internal quality record raised when required process or control performance was not met.</t>
        </is>
      </c>
      <c r="D29" s="41" t="inlineStr">
        <is>
          <t>Common EventWatch terminology</t>
        </is>
      </c>
      <c r="E29" s="41" t="inlineStr">
        <is>
          <t>Various</t>
        </is>
      </c>
    </row>
    <row r="30" ht="30.75" customHeight="1">
      <c r="A30" s="42" t="inlineStr">
        <is>
          <t>Operational term</t>
        </is>
      </c>
      <c r="B30" s="41" t="inlineStr">
        <is>
          <t>Not Impactful</t>
        </is>
      </c>
      <c r="C30" s="41" t="inlineStr">
        <is>
          <t>Review outcome indicating that available evidence did not meet the threshold for EventWatch escalation.</t>
        </is>
      </c>
      <c r="D30" s="41" t="inlineStr">
        <is>
          <t>Common EventWatch terminology</t>
        </is>
      </c>
      <c r="E30" s="41" t="inlineStr">
        <is>
          <t>Various</t>
        </is>
      </c>
    </row>
    <row r="31" ht="30.75" customHeight="1">
      <c r="A31" s="42" t="inlineStr">
        <is>
          <t>Operational term</t>
        </is>
      </c>
      <c r="B31" s="41" t="inlineStr">
        <is>
          <t>Feed harvesting</t>
        </is>
      </c>
      <c r="C31" s="41" t="inlineStr">
        <is>
          <t>Automated collection of articles or reports from monitored information sources.</t>
        </is>
      </c>
      <c r="D31" s="41" t="inlineStr">
        <is>
          <t>Common EventWatch terminology</t>
        </is>
      </c>
      <c r="E31" s="41" t="inlineStr">
        <is>
          <t>Various</t>
        </is>
      </c>
    </row>
    <row r="32" ht="30.75" customHeight="1">
      <c r="A32" s="42" t="inlineStr">
        <is>
          <t>Operational term</t>
        </is>
      </c>
      <c r="B32" s="41" t="inlineStr">
        <is>
          <t>Source coverage</t>
        </is>
      </c>
      <c r="C32" s="41" t="inlineStr">
        <is>
          <t>Availability and monitoring of relevant websites, feeds, registries, or publications.</t>
        </is>
      </c>
      <c r="D32" s="41" t="inlineStr">
        <is>
          <t>Common EventWatch terminology</t>
        </is>
      </c>
      <c r="E32" s="41" t="inlineStr">
        <is>
          <t>Various</t>
        </is>
      </c>
    </row>
    <row r="33" ht="30.75" customHeight="1">
      <c r="A33" s="42" t="inlineStr">
        <is>
          <t>Operational term</t>
        </is>
      </c>
      <c r="B33" s="41" t="inlineStr">
        <is>
          <t>Keyword Update</t>
        </is>
      </c>
      <c r="C33" s="41" t="inlineStr">
        <is>
          <t>Addition or refinement of search terms when available content was not identified correctly.</t>
        </is>
      </c>
      <c r="D33" s="41" t="inlineStr">
        <is>
          <t>Common EventWatch terminology</t>
        </is>
      </c>
      <c r="E33" s="41" t="inlineStr">
        <is>
          <t>Various</t>
        </is>
      </c>
    </row>
    <row r="34" ht="30.75" customHeight="1">
      <c r="A34" s="42" t="inlineStr">
        <is>
          <t>Operational term</t>
        </is>
      </c>
      <c r="B34" s="41" t="inlineStr">
        <is>
          <t>Geofencing</t>
        </is>
      </c>
      <c r="C34" s="41" t="inlineStr">
        <is>
          <t>Geographic impact logic used to associate an event area with customer or supplier locations.</t>
        </is>
      </c>
      <c r="D34" s="41" t="inlineStr">
        <is>
          <t>Common EventWatch terminology</t>
        </is>
      </c>
      <c r="E34" s="41" t="inlineStr">
        <is>
          <t>Various</t>
        </is>
      </c>
    </row>
    <row r="35" ht="30.75" customHeight="1">
      <c r="A35" s="42" t="inlineStr">
        <is>
          <t>Operational term</t>
        </is>
      </c>
      <c r="B35" s="41" t="inlineStr">
        <is>
          <t>Cluster</t>
        </is>
      </c>
      <c r="C35" s="41" t="inlineStr">
        <is>
          <t>Grouping of related articles or bulletins into one event record or WarRoom.</t>
        </is>
      </c>
      <c r="D35" s="41" t="inlineStr">
        <is>
          <t>Common EventWatch terminology</t>
        </is>
      </c>
      <c r="E35" s="41" t="inlineStr">
        <is>
          <t>Various</t>
        </is>
      </c>
    </row>
    <row r="36" ht="30.75" customHeight="1">
      <c r="A36" s="42" t="inlineStr">
        <is>
          <t>Operational term</t>
        </is>
      </c>
      <c r="B36" s="41" t="inlineStr">
        <is>
          <t>Human-in-the-loop review</t>
        </is>
      </c>
      <c r="C36" s="41" t="inlineStr">
        <is>
          <t>Analyst review that validates automated detection and decides whether to escalate or publish.</t>
        </is>
      </c>
      <c r="D36" s="41" t="inlineStr">
        <is>
          <t>Common EventWatch terminology</t>
        </is>
      </c>
      <c r="E36" s="41" t="inlineStr">
        <is>
          <t>Various</t>
        </is>
      </c>
    </row>
    <row r="37" ht="30.75" customHeight="1">
      <c r="A37" s="42" t="inlineStr">
        <is>
          <t>Operational term</t>
        </is>
      </c>
      <c r="B37" s="41" t="inlineStr">
        <is>
          <t>Impacted supplier</t>
        </is>
      </c>
      <c r="C37" s="41" t="inlineStr">
        <is>
          <t>Customer-mapped supplier assessed as potentially affected by an event.</t>
        </is>
      </c>
      <c r="D37" s="41" t="inlineStr">
        <is>
          <t>Common EventWatch terminology</t>
        </is>
      </c>
      <c r="E37" s="41" t="inlineStr">
        <is>
          <t>Various</t>
        </is>
      </c>
    </row>
    <row r="38" ht="30.75" customHeight="1">
      <c r="A38" s="42" t="inlineStr">
        <is>
          <t>Event type</t>
        </is>
      </c>
      <c r="B38" s="41" t="inlineStr">
        <is>
          <t>Bankruptcy</t>
        </is>
      </c>
      <c r="C38" s="41" t="inlineStr">
        <is>
          <t>Formal insolvency, bankruptcy filing, restructuring, or equivalent proceeding.</t>
        </is>
      </c>
      <c r="D38" s="41" t="inlineStr">
        <is>
          <t>Standard event category</t>
        </is>
      </c>
      <c r="E38" s="41" t="inlineStr">
        <is>
          <t>Event type</t>
        </is>
      </c>
    </row>
    <row r="39">
      <c r="A39" s="42" t="inlineStr">
        <is>
          <t>Event type</t>
        </is>
      </c>
      <c r="B39" s="41" t="inlineStr">
        <is>
          <t>Chemical Spill</t>
        </is>
      </c>
      <c r="C39" s="41" t="inlineStr">
        <is>
          <t>Release or leak of a hazardous chemical substance.</t>
        </is>
      </c>
      <c r="D39" s="41" t="inlineStr">
        <is>
          <t>Standard event category</t>
        </is>
      </c>
      <c r="E39" s="41" t="inlineStr">
        <is>
          <t>Event type</t>
        </is>
      </c>
    </row>
    <row r="40" ht="30.75" customHeight="1">
      <c r="A40" s="42" t="inlineStr">
        <is>
          <t>Event type</t>
        </is>
      </c>
      <c r="B40" s="41" t="inlineStr">
        <is>
          <t>Cyber Attack</t>
        </is>
      </c>
      <c r="C40" s="41" t="inlineStr">
        <is>
          <t>Cybersecurity incident such as ransomware, intrusion, compromise, or data breach.</t>
        </is>
      </c>
      <c r="D40" s="41" t="inlineStr">
        <is>
          <t>Standard event category</t>
        </is>
      </c>
      <c r="E40" s="41" t="inlineStr">
        <is>
          <t>Event type</t>
        </is>
      </c>
    </row>
    <row r="41">
      <c r="A41" s="42" t="inlineStr">
        <is>
          <t>Event type</t>
        </is>
      </c>
      <c r="B41" s="41" t="inlineStr">
        <is>
          <t>Earthquake</t>
        </is>
      </c>
      <c r="C41" s="41" t="inlineStr">
        <is>
          <t>Seismic event with potential operational or supply-chain impact.</t>
        </is>
      </c>
      <c r="D41" s="41" t="inlineStr">
        <is>
          <t>Standard event category</t>
        </is>
      </c>
      <c r="E41" s="41" t="inlineStr">
        <is>
          <t>Event type</t>
        </is>
      </c>
    </row>
    <row r="42" ht="30.75" customHeight="1">
      <c r="A42" s="42" t="inlineStr">
        <is>
          <t>Event type</t>
        </is>
      </c>
      <c r="B42" s="41" t="inlineStr">
        <is>
          <t>Extreme Weather</t>
        </is>
      </c>
      <c r="C42" s="41" t="inlineStr">
        <is>
          <t>Severe weather such as storms, tornadoes, typhoons, flooding, or snowstorms.</t>
        </is>
      </c>
      <c r="D42" s="41" t="inlineStr">
        <is>
          <t>Standard event category</t>
        </is>
      </c>
      <c r="E42" s="41" t="inlineStr">
        <is>
          <t>Event type</t>
        </is>
      </c>
    </row>
    <row r="43">
      <c r="A43" s="42" t="inlineStr">
        <is>
          <t>Event type</t>
        </is>
      </c>
      <c r="B43" s="41" t="inlineStr">
        <is>
          <t>Factory Closure</t>
        </is>
      </c>
      <c r="C43" s="41" t="inlineStr">
        <is>
          <t>Planned or unplanned closure of a manufacturing facility.</t>
        </is>
      </c>
      <c r="D43" s="41" t="inlineStr">
        <is>
          <t>Standard event category</t>
        </is>
      </c>
      <c r="E43" s="41" t="inlineStr">
        <is>
          <t>Event type</t>
        </is>
      </c>
    </row>
    <row r="44" ht="30.75" customHeight="1">
      <c r="A44" s="42" t="inlineStr">
        <is>
          <t>Event type</t>
        </is>
      </c>
      <c r="B44" s="41" t="inlineStr">
        <is>
          <t>Factory Disruption</t>
        </is>
      </c>
      <c r="C44" s="41" t="inlineStr">
        <is>
          <t>Operational interruption at a manufacturing facility that is not classified as closure or fire.</t>
        </is>
      </c>
      <c r="D44" s="41" t="inlineStr">
        <is>
          <t>Standard event category</t>
        </is>
      </c>
      <c r="E44" s="41" t="inlineStr">
        <is>
          <t>Event type</t>
        </is>
      </c>
    </row>
    <row r="45">
      <c r="A45" s="42" t="inlineStr">
        <is>
          <t>Event type</t>
        </is>
      </c>
      <c r="B45" s="41" t="inlineStr">
        <is>
          <t>Factory Fire</t>
        </is>
      </c>
      <c r="C45" s="41" t="inlineStr">
        <is>
          <t>Fire affecting a manufacturing, production, or storage facility.</t>
        </is>
      </c>
      <c r="D45" s="41" t="inlineStr">
        <is>
          <t>Standard event category</t>
        </is>
      </c>
      <c r="E45" s="41" t="inlineStr">
        <is>
          <t>Event type</t>
        </is>
      </c>
    </row>
    <row r="46" ht="30.75" customHeight="1">
      <c r="A46" s="42" t="inlineStr">
        <is>
          <t>Event type</t>
        </is>
      </c>
      <c r="B46" s="41" t="inlineStr">
        <is>
          <t>Financial Distress</t>
        </is>
      </c>
      <c r="C46" s="41" t="inlineStr">
        <is>
          <t>Material financial difficulty that does not yet constitute a formal bankruptcy event.</t>
        </is>
      </c>
      <c r="D46" s="41" t="inlineStr">
        <is>
          <t>Standard event category</t>
        </is>
      </c>
      <c r="E46" s="41" t="inlineStr">
        <is>
          <t>Event type</t>
        </is>
      </c>
    </row>
    <row r="47" ht="30.75" customHeight="1">
      <c r="A47" s="42" t="inlineStr">
        <is>
          <t>Event type</t>
        </is>
      </c>
      <c r="B47" s="41" t="inlineStr">
        <is>
          <t>Geopolitical</t>
        </is>
      </c>
      <c r="C47" s="41" t="inlineStr">
        <is>
          <t>Political, border, security, conflict, or humanitarian development affecting operations.</t>
        </is>
      </c>
      <c r="D47" s="41" t="inlineStr">
        <is>
          <t>Standard event category</t>
        </is>
      </c>
      <c r="E47" s="41" t="inlineStr">
        <is>
          <t>Event type</t>
        </is>
      </c>
    </row>
    <row r="48">
      <c r="A48" s="42" t="inlineStr">
        <is>
          <t>Event type</t>
        </is>
      </c>
      <c r="B48" s="41" t="inlineStr">
        <is>
          <t>Labor Disruption</t>
        </is>
      </c>
      <c r="C48" s="41" t="inlineStr">
        <is>
          <t>Strike, work stoppage, industrial action, or labor-related disruption.</t>
        </is>
      </c>
      <c r="D48" s="41" t="inlineStr">
        <is>
          <t>Standard event category</t>
        </is>
      </c>
      <c r="E48" s="41" t="inlineStr">
        <is>
          <t>Event type</t>
        </is>
      </c>
    </row>
    <row r="49">
      <c r="A49" s="42" t="inlineStr">
        <is>
          <t>Event type</t>
        </is>
      </c>
      <c r="B49" s="41" t="inlineStr">
        <is>
          <t>Leadership Transition</t>
        </is>
      </c>
      <c r="C49" s="41" t="inlineStr">
        <is>
          <t>Change in senior executive or organizational leadership.</t>
        </is>
      </c>
      <c r="D49" s="41" t="inlineStr">
        <is>
          <t>Standard event category</t>
        </is>
      </c>
      <c r="E49" s="41" t="inlineStr">
        <is>
          <t>Event type</t>
        </is>
      </c>
    </row>
    <row r="50">
      <c r="A50" s="42" t="inlineStr">
        <is>
          <t>Event type</t>
        </is>
      </c>
      <c r="B50" s="41" t="inlineStr">
        <is>
          <t>Merger &amp; Acquisition</t>
        </is>
      </c>
      <c r="C50" s="41" t="inlineStr">
        <is>
          <t>Merger, acquisition, divestiture, or comparable corporate transaction.</t>
        </is>
      </c>
      <c r="D50" s="41" t="inlineStr">
        <is>
          <t>Standard event category</t>
        </is>
      </c>
      <c r="E50" s="41" t="inlineStr">
        <is>
          <t>Event type</t>
        </is>
      </c>
    </row>
    <row r="51">
      <c r="A51" s="42" t="inlineStr">
        <is>
          <t>Event type</t>
        </is>
      </c>
      <c r="B51" s="41" t="inlineStr">
        <is>
          <t>N/A</t>
        </is>
      </c>
      <c r="C51" s="41" t="inlineStr">
        <is>
          <t>No applicable event category, generally used for non-event inquiries.</t>
        </is>
      </c>
      <c r="D51" s="41" t="inlineStr">
        <is>
          <t>Standard event category</t>
        </is>
      </c>
      <c r="E51" s="41" t="inlineStr">
        <is>
          <t>Event type</t>
        </is>
      </c>
    </row>
    <row r="52">
      <c r="A52" s="42" t="inlineStr">
        <is>
          <t>Event type</t>
        </is>
      </c>
      <c r="B52" s="41" t="inlineStr">
        <is>
          <t>Protest/Riot</t>
        </is>
      </c>
      <c r="C52" s="41" t="inlineStr">
        <is>
          <t>Demonstration, civil unrest, riot, or blockade driven by protest activity.</t>
        </is>
      </c>
      <c r="D52" s="41" t="inlineStr">
        <is>
          <t>Standard event category</t>
        </is>
      </c>
      <c r="E52" s="41" t="inlineStr">
        <is>
          <t>Event type</t>
        </is>
      </c>
    </row>
    <row r="53">
      <c r="A53" s="42" t="inlineStr">
        <is>
          <t>Event type</t>
        </is>
      </c>
      <c r="B53" s="41" t="inlineStr">
        <is>
          <t>Regulatory Change</t>
        </is>
      </c>
      <c r="C53" s="41" t="inlineStr">
        <is>
          <t>Government rule, sanction, export control, or regulatory action.</t>
        </is>
      </c>
      <c r="D53" s="41" t="inlineStr">
        <is>
          <t>Standard event category</t>
        </is>
      </c>
      <c r="E53" s="41" t="inlineStr">
        <is>
          <t>Event type</t>
        </is>
      </c>
    </row>
    <row r="54" ht="30.75" customHeight="1">
      <c r="A54" s="42" t="inlineStr">
        <is>
          <t>Event type</t>
        </is>
      </c>
      <c r="B54" s="41" t="inlineStr">
        <is>
          <t>Supply Shortage</t>
        </is>
      </c>
      <c r="C54" s="41" t="inlineStr">
        <is>
          <t>Shortage or constrained availability of materials, components, energy, or goods.</t>
        </is>
      </c>
      <c r="D54" s="41" t="inlineStr">
        <is>
          <t>Standard event category</t>
        </is>
      </c>
      <c r="E54" s="41" t="inlineStr">
        <is>
          <t>Event type</t>
        </is>
      </c>
    </row>
    <row r="55">
      <c r="A55" s="42" t="inlineStr">
        <is>
          <t>Event type</t>
        </is>
      </c>
      <c r="B55" s="41" t="inlineStr">
        <is>
          <t>Transport Disruption</t>
        </is>
      </c>
      <c r="C55" s="41" t="inlineStr">
        <is>
          <t>Disruption to roads, bridges, ports, rail, air, or logistics routes.</t>
        </is>
      </c>
      <c r="D55" s="41" t="inlineStr">
        <is>
          <t>Standard event category</t>
        </is>
      </c>
      <c r="E55" s="41" t="inlineStr">
        <is>
          <t>Event type</t>
        </is>
      </c>
    </row>
    <row r="56" ht="30.75" customHeight="1">
      <c r="A56" s="42" t="inlineStr">
        <is>
          <t>Event type</t>
        </is>
      </c>
      <c r="B56" s="41" t="inlineStr">
        <is>
          <t>Wildfire</t>
        </is>
      </c>
      <c r="C56" s="41" t="inlineStr">
        <is>
          <t>Uncontrolled vegetation fire with potential geographic or operational impact.</t>
        </is>
      </c>
      <c r="D56" s="41" t="inlineStr">
        <is>
          <t>Standard event category</t>
        </is>
      </c>
      <c r="E56" s="41" t="inlineStr">
        <is>
          <t>Event type</t>
        </is>
      </c>
    </row>
    <row r="57" ht="30.75" customHeight="1">
      <c r="A57" s="42" t="inlineStr">
        <is>
          <t>Issue type</t>
        </is>
      </c>
      <c r="B57" s="41" t="inlineStr">
        <is>
          <t>Complaint</t>
        </is>
      </c>
      <c r="C57" s="41" t="inlineStr">
        <is>
          <t>Customer reports a service failure, miss, delay, incorrect action, or other concern.</t>
        </is>
      </c>
      <c r="D57" s="41" t="inlineStr">
        <is>
          <t>Included in complaint metrics</t>
        </is>
      </c>
      <c r="E57" s="41" t="inlineStr">
        <is>
          <t>Issue Type</t>
        </is>
      </c>
    </row>
    <row r="58" ht="30.75" customHeight="1">
      <c r="A58" s="42" t="inlineStr">
        <is>
          <t>Issue type</t>
        </is>
      </c>
      <c r="B58" s="41" t="inlineStr">
        <is>
          <t>Inquiry</t>
        </is>
      </c>
      <c r="C58" s="41" t="inlineStr">
        <is>
          <t>Customer requests verification, explanation, or information without a confirmed service failure.</t>
        </is>
      </c>
      <c r="D58" s="41" t="inlineStr">
        <is>
          <t>Tracked separately from complaints</t>
        </is>
      </c>
      <c r="E58" s="41" t="inlineStr">
        <is>
          <t>Issue Type</t>
        </is>
      </c>
    </row>
    <row r="59" ht="30.75" customHeight="1">
      <c r="A59" s="42" t="inlineStr">
        <is>
          <t>Root cause</t>
        </is>
      </c>
      <c r="B59" s="41" t="inlineStr">
        <is>
          <t>People</t>
        </is>
      </c>
      <c r="C59" s="41" t="inlineStr">
        <is>
          <t>Human judgment, review, prioritization, publishing, or execution was the primary cause.</t>
        </is>
      </c>
      <c r="D59" s="41" t="inlineStr">
        <is>
          <t>Primary cause domain</t>
        </is>
      </c>
      <c r="E59" s="41" t="inlineStr">
        <is>
          <t>Root Cause</t>
        </is>
      </c>
    </row>
    <row r="60" ht="30.75" customHeight="1">
      <c r="A60" s="42" t="inlineStr">
        <is>
          <t>Root cause</t>
        </is>
      </c>
      <c r="B60" s="41" t="inlineStr">
        <is>
          <t>Process</t>
        </is>
      </c>
      <c r="C60" s="41" t="inlineStr">
        <is>
          <t>Policy, workflow, threshold, mapping method, or procedural design was the primary cause.</t>
        </is>
      </c>
      <c r="D60" s="41" t="inlineStr">
        <is>
          <t>Primary cause domain</t>
        </is>
      </c>
      <c r="E60" s="41" t="inlineStr">
        <is>
          <t>Root Cause</t>
        </is>
      </c>
    </row>
    <row r="61" ht="30.75" customHeight="1">
      <c r="A61" s="42" t="inlineStr">
        <is>
          <t>Root cause</t>
        </is>
      </c>
      <c r="B61" s="41" t="inlineStr">
        <is>
          <t>Product</t>
        </is>
      </c>
      <c r="C61" s="41" t="inlineStr">
        <is>
          <t>Technology, data ingestion, source coverage, detection, clustering, or platform behavior was the primary cause.</t>
        </is>
      </c>
      <c r="D61" s="41" t="inlineStr">
        <is>
          <t>Primary cause domain</t>
        </is>
      </c>
      <c r="E61" s="41" t="inlineStr">
        <is>
          <t>Root Cause</t>
        </is>
      </c>
    </row>
    <row r="62">
      <c r="A62" s="42" t="inlineStr">
        <is>
          <t>Sub-type</t>
        </is>
      </c>
      <c r="B62" s="41" t="inlineStr">
        <is>
          <t>Captured Late</t>
        </is>
      </c>
      <c r="C62" s="41" t="inlineStr">
        <is>
          <t>Relevant information entered the workflow later than required.</t>
        </is>
      </c>
      <c r="D62" s="41" t="inlineStr">
        <is>
          <t>Detailed cause/handling category</t>
        </is>
      </c>
      <c r="E62" s="41" t="inlineStr">
        <is>
          <t>Sub-type</t>
        </is>
      </c>
    </row>
    <row r="63">
      <c r="A63" s="42" t="inlineStr">
        <is>
          <t>Sub-type</t>
        </is>
      </c>
      <c r="B63" s="41" t="inlineStr">
        <is>
          <t>Duplication</t>
        </is>
      </c>
      <c r="C63" s="41" t="inlineStr">
        <is>
          <t>Related content was split into duplicate WarRooms or event records.</t>
        </is>
      </c>
      <c r="D63" s="41" t="inlineStr">
        <is>
          <t>Detailed cause/handling category</t>
        </is>
      </c>
      <c r="E63" s="41" t="inlineStr">
        <is>
          <t>Sub-type</t>
        </is>
      </c>
    </row>
    <row r="64" ht="30.75" customHeight="1">
      <c r="A64" s="42" t="inlineStr">
        <is>
          <t>Sub-type</t>
        </is>
      </c>
      <c r="B64" s="41" t="inlineStr">
        <is>
          <t>Event Identification</t>
        </is>
      </c>
      <c r="C64" s="41" t="inlineStr">
        <is>
          <t>The relevant event was not recognized or converted into reportable coverage.</t>
        </is>
      </c>
      <c r="D64" s="41" t="inlineStr">
        <is>
          <t>Detailed cause/handling category</t>
        </is>
      </c>
      <c r="E64" s="41" t="inlineStr">
        <is>
          <t>Sub-type</t>
        </is>
      </c>
    </row>
    <row r="65">
      <c r="A65" s="42" t="inlineStr">
        <is>
          <t>Sub-type</t>
        </is>
      </c>
      <c r="B65" s="41" t="inlineStr">
        <is>
          <t>Industry selection</t>
        </is>
      </c>
      <c r="C65" s="41" t="inlineStr">
        <is>
          <t>An incorrect or missing industry classification affected tracking.</t>
        </is>
      </c>
      <c r="D65" s="41" t="inlineStr">
        <is>
          <t>Detailed cause/handling category</t>
        </is>
      </c>
      <c r="E65" s="41" t="inlineStr">
        <is>
          <t>Sub-type</t>
        </is>
      </c>
    </row>
    <row r="66">
      <c r="A66" s="42" t="inlineStr">
        <is>
          <t>Sub-type</t>
        </is>
      </c>
      <c r="B66" s="41" t="inlineStr">
        <is>
          <t>Keyword Update</t>
        </is>
      </c>
      <c r="C66" s="41" t="inlineStr">
        <is>
          <t>Search or detection terms required addition or refinement.</t>
        </is>
      </c>
      <c r="D66" s="41" t="inlineStr">
        <is>
          <t>Detailed cause/handling category</t>
        </is>
      </c>
      <c r="E66" s="41" t="inlineStr">
        <is>
          <t>Sub-type</t>
        </is>
      </c>
    </row>
    <row r="67" ht="30.75" customHeight="1">
      <c r="A67" s="42" t="inlineStr">
        <is>
          <t>Sub-type</t>
        </is>
      </c>
      <c r="B67" s="41" t="inlineStr">
        <is>
          <t>Mapping</t>
        </is>
      </c>
      <c r="C67" s="41" t="inlineStr">
        <is>
          <t>Customer, supplier, company, facility, or impact relationship was missing or incorrect.</t>
        </is>
      </c>
      <c r="D67" s="41" t="inlineStr">
        <is>
          <t>Detailed cause/handling category</t>
        </is>
      </c>
      <c r="E67" s="41" t="inlineStr">
        <is>
          <t>Sub-type</t>
        </is>
      </c>
    </row>
    <row r="68">
      <c r="A68" s="42" t="inlineStr">
        <is>
          <t>Sub-type</t>
        </is>
      </c>
      <c r="B68" s="41" t="inlineStr">
        <is>
          <t>Policy/Logic</t>
        </is>
      </c>
      <c r="C68" s="41" t="inlineStr">
        <is>
          <t>A rule, threshold, or decision logic produced or explained the outcome.</t>
        </is>
      </c>
      <c r="D68" s="41" t="inlineStr">
        <is>
          <t>Detailed cause/handling category</t>
        </is>
      </c>
      <c r="E68" s="41" t="inlineStr">
        <is>
          <t>Sub-type</t>
        </is>
      </c>
    </row>
    <row r="69">
      <c r="A69" s="42" t="inlineStr">
        <is>
          <t>Sub-type</t>
        </is>
      </c>
      <c r="B69" s="41" t="inlineStr">
        <is>
          <t>Prioritization</t>
        </is>
      </c>
      <c r="C69" s="41" t="inlineStr">
        <is>
          <t>A detected item was not handled with the required urgency.</t>
        </is>
      </c>
      <c r="D69" s="41" t="inlineStr">
        <is>
          <t>Detailed cause/handling category</t>
        </is>
      </c>
      <c r="E69" s="41" t="inlineStr">
        <is>
          <t>Sub-type</t>
        </is>
      </c>
    </row>
    <row r="70" ht="30.75" customHeight="1">
      <c r="A70" s="42" t="inlineStr">
        <is>
          <t>Sub-type</t>
        </is>
      </c>
      <c r="B70" s="41" t="inlineStr">
        <is>
          <t>Process Clarification</t>
        </is>
      </c>
      <c r="C70" s="41" t="inlineStr">
        <is>
          <t>The case required explanation of policy, thresholds, or workflow rather than defect correction.</t>
        </is>
      </c>
      <c r="D70" s="41" t="inlineStr">
        <is>
          <t>Detailed cause/handling category</t>
        </is>
      </c>
      <c r="E70" s="41" t="inlineStr">
        <is>
          <t>Sub-type</t>
        </is>
      </c>
    </row>
    <row r="71" ht="30.75" customHeight="1">
      <c r="A71" s="42" t="inlineStr">
        <is>
          <t>Sub-type</t>
        </is>
      </c>
      <c r="B71" s="41" t="inlineStr">
        <is>
          <t>Relevancy</t>
        </is>
      </c>
      <c r="C71" s="41" t="inlineStr">
        <is>
          <t>The item’s relevance to the customer or EventWatch scope was disputed or incorrectly assessed.</t>
        </is>
      </c>
      <c r="D71" s="41" t="inlineStr">
        <is>
          <t>Detailed cause/handling category</t>
        </is>
      </c>
      <c r="E71" s="41" t="inlineStr">
        <is>
          <t>Sub-type</t>
        </is>
      </c>
    </row>
    <row r="72">
      <c r="A72" s="42" t="inlineStr">
        <is>
          <t>Sub-type</t>
        </is>
      </c>
      <c r="B72" s="41" t="inlineStr">
        <is>
          <t>Review</t>
        </is>
      </c>
      <c r="C72" s="41" t="inlineStr">
        <is>
          <t>Human assessment or quality review led to the issue.</t>
        </is>
      </c>
      <c r="D72" s="41" t="inlineStr">
        <is>
          <t>Detailed cause/handling category</t>
        </is>
      </c>
      <c r="E72" s="41" t="inlineStr">
        <is>
          <t>Sub-type</t>
        </is>
      </c>
    </row>
    <row r="73" ht="30.75" customHeight="1">
      <c r="A73" s="42" t="inlineStr">
        <is>
          <t>Sub-type</t>
        </is>
      </c>
      <c r="B73" s="41" t="inlineStr">
        <is>
          <t>Source Coverage</t>
        </is>
      </c>
      <c r="C73" s="41" t="inlineStr">
        <is>
          <t>The relevant source was unavailable, unmonitored, restricted, or not harvested.</t>
        </is>
      </c>
      <c r="D73" s="41" t="inlineStr">
        <is>
          <t>Detailed cause/handling category</t>
        </is>
      </c>
      <c r="E73" s="41" t="inlineStr">
        <is>
          <t>Sub-type</t>
        </is>
      </c>
    </row>
    <row r="74">
      <c r="A74" s="42" t="inlineStr">
        <is>
          <t>Sub-type</t>
        </is>
      </c>
      <c r="B74" s="41" t="inlineStr">
        <is>
          <t>Strategy</t>
        </is>
      </c>
      <c r="C74" s="41" t="inlineStr">
        <is>
          <t>The concern relates to reporting or consolidation strategy.</t>
        </is>
      </c>
      <c r="D74" s="41" t="inlineStr">
        <is>
          <t>Detailed cause/handling category</t>
        </is>
      </c>
      <c r="E74" s="41" t="inlineStr">
        <is>
          <t>Sub-type</t>
        </is>
      </c>
    </row>
    <row r="75">
      <c r="A75" s="42" t="inlineStr">
        <is>
          <t>Sub-type</t>
        </is>
      </c>
      <c r="B75" s="41" t="inlineStr">
        <is>
          <t>Tagging</t>
        </is>
      </c>
      <c r="C75" s="41" t="inlineStr">
        <is>
          <t>A required category or industry tag was missing or incorrect.</t>
        </is>
      </c>
      <c r="D75" s="41" t="inlineStr">
        <is>
          <t>Detailed cause/handling category</t>
        </is>
      </c>
      <c r="E75" s="41" t="inlineStr">
        <is>
          <t>Sub-type</t>
        </is>
      </c>
    </row>
    <row r="76" ht="30.75" customHeight="1">
      <c r="A76" s="42" t="inlineStr">
        <is>
          <t>Sub-type</t>
        </is>
      </c>
      <c r="B76" s="41" t="inlineStr">
        <is>
          <t>Visibility</t>
        </is>
      </c>
      <c r="C76" s="41" t="inlineStr">
        <is>
          <t>Published content was not visible because of profile, portal, notification, or display conditions.</t>
        </is>
      </c>
      <c r="D76" s="41" t="inlineStr">
        <is>
          <t>Detailed cause/handling category</t>
        </is>
      </c>
      <c r="E76" s="41" t="inlineStr">
        <is>
          <t>Sub-type</t>
        </is>
      </c>
    </row>
    <row r="77" ht="30.75" customHeight="1">
      <c r="A77" s="42" t="inlineStr">
        <is>
          <t>Sub-type</t>
        </is>
      </c>
      <c r="B77" s="41" t="inlineStr">
        <is>
          <t>WarRoom Creation</t>
        </is>
      </c>
      <c r="C77" s="41" t="inlineStr">
        <is>
          <t>A required WarRoom was not created despite available EventWatch coverage.</t>
        </is>
      </c>
      <c r="D77" s="41" t="inlineStr">
        <is>
          <t>Detailed cause/handling category</t>
        </is>
      </c>
      <c r="E77" s="41" t="inlineStr">
        <is>
          <t>Sub-type</t>
        </is>
      </c>
    </row>
    <row r="78" ht="30.75" customHeight="1">
      <c r="A78" s="42" t="inlineStr">
        <is>
          <t>Improvement classification</t>
        </is>
      </c>
      <c r="B78" s="41" t="inlineStr">
        <is>
          <t>Improvement</t>
        </is>
      </c>
      <c r="C78" s="41" t="inlineStr">
        <is>
          <t>Control, workflow, model, or monitoring enhancement rather than correction of a confirmed defect.</t>
        </is>
      </c>
      <c r="D78" s="41" t="inlineStr">
        <is>
          <t>Enhancement</t>
        </is>
      </c>
      <c r="E78" s="41" t="inlineStr">
        <is>
          <t>Improvement VS Bug</t>
        </is>
      </c>
    </row>
    <row r="79" ht="30.75" customHeight="1">
      <c r="A79" s="42" t="inlineStr">
        <is>
          <t>Improvement classification</t>
        </is>
      </c>
      <c r="B79" s="41" t="inlineStr">
        <is>
          <t>Bug</t>
        </is>
      </c>
      <c r="C79" s="41" t="inlineStr">
        <is>
          <t>Confirmed product or engineering defect requiring correction.</t>
        </is>
      </c>
      <c r="D79" s="41" t="inlineStr">
        <is>
          <t>Defect</t>
        </is>
      </c>
      <c r="E79" s="41" t="inlineStr">
        <is>
          <t>Improvement VS Bug</t>
        </is>
      </c>
    </row>
    <row r="80">
      <c r="A80" s="42" t="inlineStr">
        <is>
          <t>Fix status</t>
        </is>
      </c>
      <c r="B80" s="41" t="inlineStr">
        <is>
          <t>Fixed</t>
        </is>
      </c>
      <c r="C80" s="41" t="inlineStr">
        <is>
          <t>Immediate corrective action was completed.</t>
        </is>
      </c>
      <c r="D80" s="41" t="inlineStr">
        <is>
          <t>Current resolution state</t>
        </is>
      </c>
      <c r="E80" s="41" t="inlineStr">
        <is>
          <t>Short Term Fix Status</t>
        </is>
      </c>
    </row>
    <row r="81">
      <c r="A81" s="42" t="inlineStr">
        <is>
          <t>Fix status</t>
        </is>
      </c>
      <c r="B81" s="41" t="inlineStr">
        <is>
          <t>RCA Shared</t>
        </is>
      </c>
      <c r="C81" s="41" t="inlineStr">
        <is>
          <t>The root cause analysis was completed and shared with the customer.</t>
        </is>
      </c>
      <c r="D81" s="41" t="inlineStr">
        <is>
          <t>Current resolution state</t>
        </is>
      </c>
      <c r="E81" s="41" t="inlineStr">
        <is>
          <t>Short Term Fix Status</t>
        </is>
      </c>
    </row>
    <row r="82" ht="30.75" customHeight="1">
      <c r="A82" s="42" t="inlineStr">
        <is>
          <t>Fix status</t>
        </is>
      </c>
      <c r="B82" s="41" t="inlineStr">
        <is>
          <t>Clarification Provided</t>
        </is>
      </c>
      <c r="C82" s="41" t="inlineStr">
        <is>
          <t>The customer received an explanation, verification result, or policy/process clarification.</t>
        </is>
      </c>
      <c r="D82" s="41" t="inlineStr">
        <is>
          <t>Current resolution state</t>
        </is>
      </c>
      <c r="E82" s="41" t="inlineStr">
        <is>
          <t>Short Term Fix Status</t>
        </is>
      </c>
    </row>
    <row r="83">
      <c r="A83" s="42" t="inlineStr">
        <is>
          <t>Boolean flag</t>
        </is>
      </c>
      <c r="B83" s="41" t="inlineStr">
        <is>
          <t>Yes — RCA Requested</t>
        </is>
      </c>
      <c r="C83" s="41" t="inlineStr">
        <is>
          <t>A formal root cause analysis was requested.</t>
        </is>
      </c>
      <c r="D83" s="41" t="inlineStr">
        <is>
          <t>Yes</t>
        </is>
      </c>
      <c r="E83" s="41" t="inlineStr">
        <is>
          <t>RCA Requested</t>
        </is>
      </c>
    </row>
    <row r="84">
      <c r="A84" s="42" t="inlineStr">
        <is>
          <t>Boolean flag</t>
        </is>
      </c>
      <c r="B84" s="41" t="inlineStr">
        <is>
          <t>No — RCA Requested</t>
        </is>
      </c>
      <c r="C84" s="41" t="inlineStr">
        <is>
          <t>No formal root cause analysis was requested.</t>
        </is>
      </c>
      <c r="D84" s="41" t="inlineStr">
        <is>
          <t>No</t>
        </is>
      </c>
      <c r="E84" s="41" t="inlineStr">
        <is>
          <t>RCA Requested</t>
        </is>
      </c>
    </row>
    <row r="85" ht="30.75" customHeight="1">
      <c r="A85" s="42" t="inlineStr">
        <is>
          <t>Boolean flag</t>
        </is>
      </c>
      <c r="B85" s="41" t="inlineStr">
        <is>
          <t>Yes — Missed_Flag</t>
        </is>
      </c>
      <c r="C85" s="41" t="inlineStr">
        <is>
          <t>Expected coverage, alerting, escalation, or WarRoom action was missed or materially delayed.</t>
        </is>
      </c>
      <c r="D85" s="41" t="inlineStr">
        <is>
          <t>Yes</t>
        </is>
      </c>
      <c r="E85" s="41" t="inlineStr">
        <is>
          <t>Missed_Flag</t>
        </is>
      </c>
    </row>
    <row r="86" ht="30.75" customHeight="1">
      <c r="A86" s="42" t="inlineStr">
        <is>
          <t>Boolean flag</t>
        </is>
      </c>
      <c r="B86" s="41" t="inlineStr">
        <is>
          <t>No — Missed_Flag</t>
        </is>
      </c>
      <c r="C86" s="41" t="inlineStr">
        <is>
          <t>No confirmed reporting miss; the case concerns clarification, relevancy, mapping, duplication, or another non-miss issue.</t>
        </is>
      </c>
      <c r="D86" s="41" t="inlineStr">
        <is>
          <t>No</t>
        </is>
      </c>
      <c r="E86" s="41" t="inlineStr">
        <is>
          <t>Missed_Flag</t>
        </is>
      </c>
    </row>
    <row r="87">
      <c r="A87" s="42" t="inlineStr">
        <is>
          <t>Severity</t>
        </is>
      </c>
      <c r="B87" s="41" t="inlineStr">
        <is>
          <t>High</t>
        </is>
      </c>
      <c r="C87" s="41" t="inlineStr">
        <is>
          <t>Material impact or priority requiring elevated management attention.</t>
        </is>
      </c>
      <c r="D87" s="41" t="inlineStr">
        <is>
          <t>Priority level</t>
        </is>
      </c>
      <c r="E87" s="41" t="inlineStr">
        <is>
          <t>Severity</t>
        </is>
      </c>
    </row>
    <row r="88">
      <c r="A88" s="42" t="inlineStr">
        <is>
          <t>Severity</t>
        </is>
      </c>
      <c r="B88" s="41" t="inlineStr">
        <is>
          <t>Medium</t>
        </is>
      </c>
      <c r="C88" s="41" t="inlineStr">
        <is>
          <t>Standard operational complaint or issue requiring tracked response.</t>
        </is>
      </c>
      <c r="D88" s="41" t="inlineStr">
        <is>
          <t>Priority level</t>
        </is>
      </c>
      <c r="E88" s="41" t="inlineStr">
        <is>
          <t>Severity</t>
        </is>
      </c>
    </row>
    <row r="89">
      <c r="A89" s="42" t="inlineStr">
        <is>
          <t>Severity</t>
        </is>
      </c>
      <c r="B89" s="41" t="inlineStr">
        <is>
          <t>Low</t>
        </is>
      </c>
      <c r="C89" s="41" t="inlineStr">
        <is>
          <t>Limited-impact inquiry or quality issue with lower operational urgency.</t>
        </is>
      </c>
      <c r="D89" s="41" t="inlineStr">
        <is>
          <t>Priority level</t>
        </is>
      </c>
      <c r="E89" s="41" t="inlineStr">
        <is>
          <t>Severity</t>
        </is>
      </c>
    </row>
    <row r="90">
      <c r="A90" s="42" t="inlineStr">
        <is>
          <t>Automation focus</t>
        </is>
      </c>
      <c r="B90" s="41" t="inlineStr">
        <is>
          <t>AI-Assisted Geofencing</t>
        </is>
      </c>
      <c r="C90" s="41" t="inlineStr">
        <is>
          <t>Automate or improve impact-area creation and location validation.</t>
        </is>
      </c>
      <c r="D90" s="41" t="inlineStr">
        <is>
          <t>Standardized dashboard category</t>
        </is>
      </c>
      <c r="E90" s="41" t="inlineStr">
        <is>
          <t>Standard Automation Focus</t>
        </is>
      </c>
    </row>
    <row r="91">
      <c r="A91" s="42" t="inlineStr">
        <is>
          <t>Automation focus</t>
        </is>
      </c>
      <c r="B91" s="41" t="inlineStr">
        <is>
          <t>Automated Industry Tagging</t>
        </is>
      </c>
      <c r="C91" s="41" t="inlineStr">
        <is>
          <t>Automatically assign and validate industry classifications.</t>
        </is>
      </c>
      <c r="D91" s="41" t="inlineStr">
        <is>
          <t>Standardized dashboard category</t>
        </is>
      </c>
      <c r="E91" s="41" t="inlineStr">
        <is>
          <t>Standard Automation Focus</t>
        </is>
      </c>
    </row>
    <row r="92" ht="30.75" customHeight="1">
      <c r="A92" s="42" t="inlineStr">
        <is>
          <t>Automation focus</t>
        </is>
      </c>
      <c r="B92" s="41" t="inlineStr">
        <is>
          <t>Cluster Integrity &amp; Duplicate Prevention</t>
        </is>
      </c>
      <c r="C92" s="41" t="inlineStr">
        <is>
          <t>Detect duplicate/split clusters and preserve one coherent event sequence.</t>
        </is>
      </c>
      <c r="D92" s="41" t="inlineStr">
        <is>
          <t>Standardized dashboard category</t>
        </is>
      </c>
      <c r="E92" s="41" t="inlineStr">
        <is>
          <t>Standard Automation Focus</t>
        </is>
      </c>
    </row>
    <row r="93">
      <c r="A93" s="42" t="inlineStr">
        <is>
          <t>Automation focus</t>
        </is>
      </c>
      <c r="B93" s="41" t="inlineStr">
        <is>
          <t>Dynamic Source Discovery</t>
        </is>
      </c>
      <c r="C93" s="41" t="inlineStr">
        <is>
          <t>Identify, onboard, and monitor new or missing sources dynamically.</t>
        </is>
      </c>
      <c r="D93" s="41" t="inlineStr">
        <is>
          <t>Standardized dashboard category</t>
        </is>
      </c>
      <c r="E93" s="41" t="inlineStr">
        <is>
          <t>Standard Automation Focus</t>
        </is>
      </c>
    </row>
    <row r="94" ht="30.75" customHeight="1">
      <c r="A94" s="42" t="inlineStr">
        <is>
          <t>Automation focus</t>
        </is>
      </c>
      <c r="B94" s="41" t="inlineStr">
        <is>
          <t>Entity &amp; Supplier Resolution</t>
        </is>
      </c>
      <c r="C94" s="41" t="inlineStr">
        <is>
          <t>Resolve company, facility, supplier, and customer relationships accurately.</t>
        </is>
      </c>
      <c r="D94" s="41" t="inlineStr">
        <is>
          <t>Standardized dashboard category</t>
        </is>
      </c>
      <c r="E94" s="41" t="inlineStr">
        <is>
          <t>Standard Automation Focus</t>
        </is>
      </c>
    </row>
    <row r="95" ht="30.75" customHeight="1">
      <c r="A95" s="42" t="inlineStr">
        <is>
          <t>Automation focus</t>
        </is>
      </c>
      <c r="B95" s="41" t="inlineStr">
        <is>
          <t>Multilingual Keyword Expansion</t>
        </is>
      </c>
      <c r="C95" s="41" t="inlineStr">
        <is>
          <t>Expand and maintain detection terms across languages and regional variations.</t>
        </is>
      </c>
      <c r="D95" s="41" t="inlineStr">
        <is>
          <t>Standardized dashboard category</t>
        </is>
      </c>
      <c r="E95" s="41" t="inlineStr">
        <is>
          <t>Standard Automation Focus</t>
        </is>
      </c>
    </row>
    <row r="96" ht="30.75" customHeight="1">
      <c r="A96" s="42" t="inlineStr">
        <is>
          <t>Automation focus</t>
        </is>
      </c>
      <c r="B96" s="41" t="inlineStr">
        <is>
          <t>Notification Visibility Monitoring</t>
        </is>
      </c>
      <c r="C96" s="41" t="inlineStr">
        <is>
          <t>Monitor whether published alerts and WarRooms are visible and delivered to the customer.</t>
        </is>
      </c>
      <c r="D96" s="41" t="inlineStr">
        <is>
          <t>Standardized dashboard category</t>
        </is>
      </c>
      <c r="E96" s="41" t="inlineStr">
        <is>
          <t>Standard Automation Focus</t>
        </is>
      </c>
    </row>
    <row r="97">
      <c r="A97" s="42" t="inlineStr">
        <is>
          <t>Automation focus</t>
        </is>
      </c>
      <c r="B97" s="41" t="inlineStr">
        <is>
          <t>Other Control Automation</t>
        </is>
      </c>
      <c r="C97" s="41" t="inlineStr">
        <is>
          <t>Automation that does not fit another standardized focus category.</t>
        </is>
      </c>
      <c r="D97" s="41" t="inlineStr">
        <is>
          <t>Standardized dashboard category</t>
        </is>
      </c>
      <c r="E97" s="41" t="inlineStr">
        <is>
          <t>Standard Automation Focus</t>
        </is>
      </c>
    </row>
    <row r="98" ht="30.75" customHeight="1">
      <c r="A98" s="42" t="inlineStr">
        <is>
          <t>Automation focus</t>
        </is>
      </c>
      <c r="B98" s="41" t="inlineStr">
        <is>
          <t>WarRoom &amp; Decision Validation</t>
        </is>
      </c>
      <c r="C98" s="41" t="inlineStr">
        <is>
          <t>Validate impact decisions, escalation, publishing, and WarRoom creation.</t>
        </is>
      </c>
      <c r="D98" s="41" t="inlineStr">
        <is>
          <t>Standardized dashboard category</t>
        </is>
      </c>
      <c r="E98" s="41" t="inlineStr">
        <is>
          <t>Standard Automation Focus</t>
        </is>
      </c>
    </row>
    <row r="99" ht="30.75" customHeight="1">
      <c r="A99" s="42" t="inlineStr">
        <is>
          <t>Reason label</t>
        </is>
      </c>
      <c r="B99" s="41" t="inlineStr">
        <is>
          <t>Coverage Verification Request</t>
        </is>
      </c>
      <c r="C99" s="41" t="inlineStr">
        <is>
          <t>Customer requested confirmation of coverage, facts, or system behavior.</t>
        </is>
      </c>
      <c r="D99" s="41" t="inlineStr">
        <is>
          <t>Use only when supported by Comments and Missed_Flag</t>
        </is>
      </c>
      <c r="E99" s="41" t="inlineStr">
        <is>
          <t>Reason</t>
        </is>
      </c>
    </row>
    <row r="100" ht="30.75" customHeight="1">
      <c r="A100" s="42" t="inlineStr">
        <is>
          <t>Reason label</t>
        </is>
      </c>
      <c r="B100" s="41" t="inlineStr">
        <is>
          <t>Customer Requested Verification</t>
        </is>
      </c>
      <c r="C100" s="41" t="inlineStr">
        <is>
          <t>Customer requested confirmation of coverage, facts, or system behavior.</t>
        </is>
      </c>
      <c r="D100" s="41" t="inlineStr">
        <is>
          <t>Use only when supported by Comments and Missed_Flag</t>
        </is>
      </c>
      <c r="E100" s="41" t="inlineStr">
        <is>
          <t>Reason</t>
        </is>
      </c>
    </row>
    <row r="101" ht="30.75" customHeight="1">
      <c r="A101" s="42" t="inlineStr">
        <is>
          <t>Reason label</t>
        </is>
      </c>
      <c r="B101" s="41" t="inlineStr">
        <is>
          <t>Customer Terminology Preference</t>
        </is>
      </c>
      <c r="C101" s="41" t="inlineStr">
        <is>
          <t>Customer requested wording or naming alignment rather than correction of a reporting failure.</t>
        </is>
      </c>
      <c r="D101" s="41" t="inlineStr">
        <is>
          <t>Use only when supported by Comments and Missed_Flag</t>
        </is>
      </c>
      <c r="E101" s="41" t="inlineStr">
        <is>
          <t>Reason</t>
        </is>
      </c>
    </row>
    <row r="102" ht="30.75" customHeight="1">
      <c r="A102" s="42" t="inlineStr">
        <is>
          <t>Reason label</t>
        </is>
      </c>
      <c r="B102" s="41" t="inlineStr">
        <is>
          <t>Delay in creating separate WarRoom / delayed escalation</t>
        </is>
      </c>
      <c r="C102" s="41" t="inlineStr">
        <is>
          <t>Expected reporting, escalation, notification, or WarRoom creation occurred later than required.</t>
        </is>
      </c>
      <c r="D102" s="41" t="inlineStr">
        <is>
          <t>Use only when supported by Comments and Missed_Flag</t>
        </is>
      </c>
      <c r="E102" s="41" t="inlineStr">
        <is>
          <t>Reason</t>
        </is>
      </c>
    </row>
    <row r="103" ht="30.75" customHeight="1">
      <c r="A103" s="42" t="inlineStr">
        <is>
          <t>Reason label</t>
        </is>
      </c>
      <c r="B103" s="41" t="inlineStr">
        <is>
          <t>Delayed / Missing WarRoom</t>
        </is>
      </c>
      <c r="C103" s="41" t="inlineStr">
        <is>
          <t>Expected reporting, escalation, notification, or WarRoom creation occurred later than required.</t>
        </is>
      </c>
      <c r="D103" s="41" t="inlineStr">
        <is>
          <t>Use only when supported by Comments and Missed_Flag</t>
        </is>
      </c>
      <c r="E103" s="41" t="inlineStr">
        <is>
          <t>Reason</t>
        </is>
      </c>
    </row>
    <row r="104" ht="30.75" customHeight="1">
      <c r="A104" s="42" t="inlineStr">
        <is>
          <t>Reason label</t>
        </is>
      </c>
      <c r="B104" s="41" t="inlineStr">
        <is>
          <t>Delayed Event</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WarRoom</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alert / WarRoom created late</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Duplicate WarRooms</t>
        </is>
      </c>
      <c r="C107" s="41" t="inlineStr">
        <is>
          <t>Related content was distributed across more than one WarRoom.</t>
        </is>
      </c>
      <c r="D107" s="41" t="inlineStr">
        <is>
          <t>Use only when supported by Comments and Missed_Flag</t>
        </is>
      </c>
      <c r="E107" s="41" t="inlineStr">
        <is>
          <t>Reason</t>
        </is>
      </c>
    </row>
    <row r="108" ht="30.75" customHeight="1">
      <c r="A108" s="42" t="inlineStr">
        <is>
          <t>Reason label</t>
        </is>
      </c>
      <c r="B108" s="41" t="inlineStr">
        <is>
          <t>Event not triggered / not notified</t>
        </is>
      </c>
      <c r="C108" s="41" t="inlineStr">
        <is>
          <t>Expected EventWatch coverage, alerting, notification, or WarRoom action did not occur.</t>
        </is>
      </c>
      <c r="D108" s="41" t="inlineStr">
        <is>
          <t>Use only when supported by Comments and Missed_Flag</t>
        </is>
      </c>
      <c r="E108" s="41" t="inlineStr">
        <is>
          <t>Reason</t>
        </is>
      </c>
    </row>
    <row r="109" ht="30.75" customHeight="1">
      <c r="A109" s="42" t="inlineStr">
        <is>
          <t>Reason label</t>
        </is>
      </c>
      <c r="B109" s="41" t="inlineStr">
        <is>
          <t>Geographic Coverage Clarification</t>
        </is>
      </c>
      <c r="C109" s="41" t="inlineStr">
        <is>
          <t>Customer requested explanation of the geographic scope or impact-area method.</t>
        </is>
      </c>
      <c r="D109" s="41" t="inlineStr">
        <is>
          <t>Use only when supported by Comments and Missed_Flag</t>
        </is>
      </c>
      <c r="E109" s="41" t="inlineStr">
        <is>
          <t>Reason</t>
        </is>
      </c>
    </row>
    <row r="110" ht="30.75" customHeight="1">
      <c r="A110" s="42" t="inlineStr">
        <is>
          <t>Reason label</t>
        </is>
      </c>
      <c r="B110" s="41" t="inlineStr">
        <is>
          <t>Geographic Misclassification</t>
        </is>
      </c>
      <c r="C110" s="41" t="inlineStr">
        <is>
          <t>An event or location was assigned to an incorrect geographic impact area.</t>
        </is>
      </c>
      <c r="D110" s="41" t="inlineStr">
        <is>
          <t>Use only when supported by Comments and Missed_Flag</t>
        </is>
      </c>
      <c r="E110" s="41" t="inlineStr">
        <is>
          <t>Reason</t>
        </is>
      </c>
    </row>
    <row r="111" ht="30.75" customHeight="1">
      <c r="A111" s="42" t="inlineStr">
        <is>
          <t>Reason label</t>
        </is>
      </c>
      <c r="B111" s="41" t="inlineStr">
        <is>
          <t>Impacted Supplier Missing</t>
        </is>
      </c>
      <c r="C111" s="41" t="inlineStr">
        <is>
          <t>A relevant mapped supplier was omitted from the impacted-supplier selection.</t>
        </is>
      </c>
      <c r="D111" s="41" t="inlineStr">
        <is>
          <t>Use only when supported by Comments and Missed_Flag</t>
        </is>
      </c>
      <c r="E111" s="41" t="inlineStr">
        <is>
          <t>Reason</t>
        </is>
      </c>
    </row>
    <row r="112" ht="30.75" customHeight="1">
      <c r="A112" s="42" t="inlineStr">
        <is>
          <t>Reason label</t>
        </is>
      </c>
      <c r="B112" s="41" t="inlineStr">
        <is>
          <t>Incorrect Action</t>
        </is>
      </c>
      <c r="C112" s="41" t="inlineStr">
        <is>
          <t>EventWatch action or handling was incorrect even though the event itself may not have been missed.</t>
        </is>
      </c>
      <c r="D112" s="41" t="inlineStr">
        <is>
          <t>Use only when supported by Comments and Missed_Flag</t>
        </is>
      </c>
      <c r="E112" s="41" t="inlineStr">
        <is>
          <t>Reason</t>
        </is>
      </c>
    </row>
    <row r="113" ht="30.75" customHeight="1">
      <c r="A113" s="42" t="inlineStr">
        <is>
          <t>Reason label</t>
        </is>
      </c>
      <c r="B113" s="41" t="inlineStr">
        <is>
          <t>Incorrect Industry selection</t>
        </is>
      </c>
      <c r="C113" s="41" t="inlineStr">
        <is>
          <t>The expected industry classification was missing or incorrect.</t>
        </is>
      </c>
      <c r="D113" s="41" t="inlineStr">
        <is>
          <t>Use only when supported by Comments and Missed_Flag</t>
        </is>
      </c>
      <c r="E113" s="41" t="inlineStr">
        <is>
          <t>Reason</t>
        </is>
      </c>
    </row>
    <row r="114" ht="30.75" customHeight="1">
      <c r="A114" s="42" t="inlineStr">
        <is>
          <t>Reason label</t>
        </is>
      </c>
      <c r="B114" s="41" t="inlineStr">
        <is>
          <t>Missed + Delayed Reporting</t>
        </is>
      </c>
      <c r="C114" s="41" t="inlineStr">
        <is>
          <t>Expected reporting, escalation, notification, or WarRoom creation occurred later than required.</t>
        </is>
      </c>
      <c r="D114" s="41" t="inlineStr">
        <is>
          <t>Use only when supported by Comments and Missed_Flag</t>
        </is>
      </c>
      <c r="E114" s="41" t="inlineStr">
        <is>
          <t>Reason</t>
        </is>
      </c>
    </row>
    <row r="115" ht="30.75" customHeight="1">
      <c r="A115" s="42" t="inlineStr">
        <is>
          <t>Reason label</t>
        </is>
      </c>
      <c r="B115" s="41" t="inlineStr">
        <is>
          <t>Missed / Delayed Event</t>
        </is>
      </c>
      <c r="C115" s="41" t="inlineStr">
        <is>
          <t>Expected reporting, escalation, notification, or WarRoom creation occurred later than required.</t>
        </is>
      </c>
      <c r="D115" s="41" t="inlineStr">
        <is>
          <t>Use only when supported by Comments and Missed_Flag</t>
        </is>
      </c>
      <c r="E115" s="41" t="inlineStr">
        <is>
          <t>Reason</t>
        </is>
      </c>
    </row>
    <row r="116" ht="30.75" customHeight="1">
      <c r="A116" s="42" t="inlineStr">
        <is>
          <t>Reason label</t>
        </is>
      </c>
      <c r="B116" s="41" t="inlineStr">
        <is>
          <t>Missed Event</t>
        </is>
      </c>
      <c r="C116" s="41" t="inlineStr">
        <is>
          <t>Expected EventWatch coverage, alerting, notification, or WarRoom action did not occur.</t>
        </is>
      </c>
      <c r="D116" s="41" t="inlineStr">
        <is>
          <t>Use only when supported by Comments and Missed_Flag</t>
        </is>
      </c>
      <c r="E116" s="41" t="inlineStr">
        <is>
          <t>Reason</t>
        </is>
      </c>
    </row>
    <row r="117" ht="30.75" customHeight="1">
      <c r="A117" s="42" t="inlineStr">
        <is>
          <t>Reason label</t>
        </is>
      </c>
      <c r="B117" s="41" t="inlineStr">
        <is>
          <t>Missed Relevant Event</t>
        </is>
      </c>
      <c r="C117" s="41" t="inlineStr">
        <is>
          <t>Expected EventWatch coverage, alerting, notification, or WarRoom action did not occur.</t>
        </is>
      </c>
      <c r="D117" s="41" t="inlineStr">
        <is>
          <t>Use only when supported by Comments and Missed_Flag</t>
        </is>
      </c>
      <c r="E117" s="41" t="inlineStr">
        <is>
          <t>Reason</t>
        </is>
      </c>
    </row>
    <row r="118" ht="30.75" customHeight="1">
      <c r="A118" s="42" t="inlineStr">
        <is>
          <t>Reason label</t>
        </is>
      </c>
      <c r="B118" s="41" t="inlineStr">
        <is>
          <t>Missed WarRoom</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WarRoom / No notification</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alert / event not captured</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insolvency alert</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insolvency event</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severe weather alert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Missing Automotive industry tag (customer tracking missed it)</t>
        </is>
      </c>
      <c r="C124" s="41" t="inlineStr">
        <is>
          <t>The expected industry classification was missing or incorrect.</t>
        </is>
      </c>
      <c r="D124" s="41" t="inlineStr">
        <is>
          <t>Use only when supported by Comments and Missed_Flag</t>
        </is>
      </c>
      <c r="E124" s="41" t="inlineStr">
        <is>
          <t>Reason</t>
        </is>
      </c>
    </row>
    <row r="125" ht="30.75" customHeight="1">
      <c r="A125" s="42" t="inlineStr">
        <is>
          <t>Reason label</t>
        </is>
      </c>
      <c r="B125" s="41" t="inlineStr">
        <is>
          <t>Missing EventWatch coverage / feeds not captured</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Missing Resilinc alert / insolvency not captured</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SEC notification not captured/provided on time</t>
        </is>
      </c>
      <c r="C127" s="41" t="inlineStr">
        <is>
          <t>Specific customer-reported reason recorded in the tracker.</t>
        </is>
      </c>
      <c r="D127" s="41" t="inlineStr">
        <is>
          <t>Use only when supported by Comments and Missed_Flag</t>
        </is>
      </c>
      <c r="E127" s="41" t="inlineStr">
        <is>
          <t>Reason</t>
        </is>
      </c>
    </row>
    <row r="128" ht="30.75" customHeight="1">
      <c r="A128" s="42" t="inlineStr">
        <is>
          <t>Reason label</t>
        </is>
      </c>
      <c r="B128" s="41" t="inlineStr">
        <is>
          <t>Severity / consolidation handling concern</t>
        </is>
      </c>
      <c r="C128" s="41" t="inlineStr">
        <is>
          <t>Customer questioned the severity level or consolidation of event coverage.</t>
        </is>
      </c>
      <c r="D128" s="41" t="inlineStr">
        <is>
          <t>Use only when supported by Comments and Missed_Flag</t>
        </is>
      </c>
      <c r="E128" s="41" t="inlineStr">
        <is>
          <t>Reason</t>
        </is>
      </c>
    </row>
    <row r="129" ht="30.75" customHeight="1">
      <c r="A129" s="42" t="inlineStr">
        <is>
          <t>Reason label</t>
        </is>
      </c>
      <c r="B129" s="41" t="inlineStr">
        <is>
          <t>Supplier Impact Mapping Clarification</t>
        </is>
      </c>
      <c r="C129" s="41" t="inlineStr">
        <is>
          <t>Customer requested explanation of why suppliers were included or excluded from the impact area.</t>
        </is>
      </c>
      <c r="D129" s="41" t="inlineStr">
        <is>
          <t>Use only when supported by Comments and Missed_Flag</t>
        </is>
      </c>
      <c r="E129" s="41" t="inlineStr">
        <is>
          <t>Reason</t>
        </is>
      </c>
    </row>
    <row r="130" ht="30.75" customHeight="1">
      <c r="A130" s="42" t="inlineStr">
        <is>
          <t>Reason label</t>
        </is>
      </c>
      <c r="B130" s="41" t="inlineStr">
        <is>
          <t>WarRoom not created despite nationwide disruption</t>
        </is>
      </c>
      <c r="C130" s="41" t="inlineStr">
        <is>
          <t>Expected EventWatch coverage, alerting, notification, or WarRoom action did not occur.</t>
        </is>
      </c>
      <c r="D130" s="41" t="inlineStr">
        <is>
          <t>Use only when supported by Comments and Missed_Flag</t>
        </is>
      </c>
      <c r="E130" s="41" t="inlineStr">
        <is>
          <t>Reason</t>
        </is>
      </c>
    </row>
    <row r="131" ht="30.75" customHeight="1">
      <c r="A131" s="42" t="inlineStr">
        <is>
          <t>Reason label</t>
        </is>
      </c>
      <c r="B131" s="41" t="inlineStr">
        <is>
          <t>WarRoom not visible in customer profile</t>
        </is>
      </c>
      <c r="C131" s="41" t="inlineStr">
        <is>
          <t>Published content was not visible in the customer profile or portal.</t>
        </is>
      </c>
      <c r="D131" s="41" t="inlineStr">
        <is>
          <t>Use only when supported by Comments and Missed_Flag</t>
        </is>
      </c>
      <c r="E131" s="41" t="inlineStr">
        <is>
          <t>Reason</t>
        </is>
      </c>
    </row>
    <row r="132" ht="30.75" customHeight="1">
      <c r="A132" s="42" t="inlineStr">
        <is>
          <t>Reason label</t>
        </is>
      </c>
      <c r="B132" s="41" t="inlineStr">
        <is>
          <t>WarRoom should have been created but was not</t>
        </is>
      </c>
      <c r="C132" s="41" t="inlineStr">
        <is>
          <t>Available information met the escalation criteria, but the required WarRoom was not created.</t>
        </is>
      </c>
      <c r="D132" s="41" t="inlineStr">
        <is>
          <t>Use only when supported by Comments and Missed_Flag</t>
        </is>
      </c>
      <c r="E132" s="41" t="inlineStr">
        <is>
          <t>Reason</t>
        </is>
      </c>
    </row>
    <row r="133" ht="30.75" customHeight="1">
      <c r="A133" s="42" t="inlineStr">
        <is>
          <t>Reason label</t>
        </is>
      </c>
      <c r="B133" s="41" t="inlineStr">
        <is>
          <t>WarRoom visibility affected by customer profile filters</t>
        </is>
      </c>
      <c r="C133" s="41" t="inlineStr">
        <is>
          <t>Published content was not visible in the customer profile or portal.</t>
        </is>
      </c>
      <c r="D133" s="41" t="inlineStr">
        <is>
          <t>Use only when supported by Comments and Missed_Flag</t>
        </is>
      </c>
      <c r="E133" s="41" t="inlineStr">
        <is>
          <t>Reason</t>
        </is>
      </c>
    </row>
    <row r="134" ht="30.75" customHeight="1">
      <c r="A134" s="42" t="inlineStr">
        <is>
          <t>Reason label</t>
        </is>
      </c>
      <c r="B134" s="41" t="inlineStr">
        <is>
          <t>Wrong Relevancy</t>
        </is>
      </c>
      <c r="C134" s="41" t="inlineStr">
        <is>
          <t>The relevance classification of an event or alert was disputed or incorrect.</t>
        </is>
      </c>
      <c r="D134" s="41" t="inlineStr">
        <is>
          <t>Use only when supported by Comments and Missed_Flag</t>
        </is>
      </c>
      <c r="E134" s="41" t="inlineStr">
        <is>
          <t>Reason</t>
        </is>
      </c>
    </row>
    <row r="135" ht="30.75" customHeight="1">
      <c r="A135" s="42" t="inlineStr">
        <is>
          <t>Event type</t>
        </is>
      </c>
      <c r="B135" s="41" t="inlineStr">
        <is>
          <t>Hurricane/Typhoon</t>
        </is>
      </c>
      <c r="C135" s="41" t="inlineStr">
        <is>
          <t>Tropical cyclone classified as a hurricane or typhoon, with potential geographic, operational, or supply-chain impact.</t>
        </is>
      </c>
      <c r="D135" s="41" t="inlineStr">
        <is>
          <t>Use specifically for hurricanes and typhoons rather than the broader Extreme Weather category.</t>
        </is>
      </c>
      <c r="E135" s="41" t="inlineStr">
        <is>
          <t>Event type</t>
        </is>
      </c>
    </row>
    <row r="136" ht="30.75" customHeight="1">
      <c r="A136" s="42" t="inlineStr">
        <is>
          <t>Event type</t>
        </is>
      </c>
      <c r="B136" s="41" t="inlineStr">
        <is>
          <t>Other</t>
        </is>
      </c>
      <c r="C136" s="41" t="inlineStr">
        <is>
          <t>Event or inquiry category that does not fit any available standardized Event type.</t>
        </is>
      </c>
      <c r="D136" s="41" t="inlineStr">
        <is>
          <t>Use only when no specific standard category applies; explain the subject in the title and comments.</t>
        </is>
      </c>
      <c r="E136"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