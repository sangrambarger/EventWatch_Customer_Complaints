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11</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3</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29</v>
                </pt>
                <pt idx="2">
                  <v>18</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96</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57</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Belden Inc</v>
                </pt>
                <pt idx="7">
                  <v>Hitachi</v>
                </pt>
                <pt idx="8">
                  <v>Merck</v>
                </pt>
                <pt idx="9">
                  <v>Schneider Electric</v>
                </pt>
                <pt idx="10">
                  <v>Other customers</v>
                </pt>
              </strCache>
            </strRef>
          </cat>
          <val>
            <numRef>
              <f>Dashboard!$B$67:$B$77</f>
              <numCache>
                <formatCode>General</formatCode>
                <ptCount val="11"/>
                <pt idx="0">
                  <v>34</v>
                </pt>
                <pt idx="1">
                  <v>14</v>
                </pt>
                <pt idx="2">
                  <v>7</v>
                </pt>
                <pt idx="3">
                  <v>4</v>
                </pt>
                <pt idx="4">
                  <v>4</v>
                </pt>
                <pt idx="5">
                  <v>3</v>
                </pt>
                <pt idx="6">
                  <v>2</v>
                </pt>
                <pt idx="7">
                  <v>2</v>
                </pt>
                <pt idx="8">
                  <v>2</v>
                </pt>
                <pt idx="9">
                  <v>2</v>
                </pt>
                <pt idx="10">
                  <v>23</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35</v>
                </pt>
                <pt idx="2">
                  <v>3</v>
                </pt>
                <pt idx="3">
                  <v>7</v>
                </pt>
                <pt idx="4">
                  <v>8</v>
                </pt>
                <pt idx="5">
                  <v>5</v>
                </pt>
                <pt idx="6">
                  <v>2</v>
                </pt>
                <pt idx="7">
                  <v>2</v>
                </pt>
                <pt idx="8">
                  <v>8</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3"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3"/>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Complaint</t>
        </is>
      </c>
      <c r="H105" s="33" t="inlineStr">
        <is>
          <t>Missed Event</t>
        </is>
      </c>
      <c r="I105" s="33" t="inlineStr">
        <is>
          <t>Product</t>
        </is>
      </c>
      <c r="J105" s="33" t="inlineStr">
        <is>
          <t>Visibility</t>
        </is>
      </c>
      <c r="K105" s="33" t="inlineStr">
        <is>
          <t>Improvement</t>
        </is>
      </c>
      <c r="L105" s="33" t="inlineStr">
        <is>
          <t>Pending</t>
        </is>
      </c>
      <c r="M105" s="33" t="inlineStr">
        <is>
          <t>Reconciliation between what the vendor feeds deliver and what actually reaches the analyst portal, so a harvested item that never surfaces for review is detected rather than discovered by a customer</t>
        </is>
      </c>
      <c r="N105" s="33" t="inlineStr">
        <is>
          <t>Yes</t>
        </is>
      </c>
      <c r="O105" s="33" t="inlineStr">
        <is>
          <t>EAO-39: Belden reported receiving no EventWatch notification and seeing no related news for TSMC's 28nm production capacity reduction, stating the cut was directly impacting their supply chain. Cause established as a portal fault: the news was captured by the vendor sources but never surfaced on the analyst portal, so no coverage was ever created. On 22-Sep-2026 the customer corrected their own position and confirmed TSMC is not mapped in their BOM - they source the wafer via Broadcom, and the Taiwan Semiconductor entity they had mapped covers resistors and MOSFETs. No customer notification was therefore owed. The portal fault stands on its own, so Missed_Flag remains Yes on the coverage sense of the term, and Severity is reduced from High to Medium now that no supply exposure sits behind the record.</t>
        </is>
      </c>
      <c r="P105" s="33" t="n"/>
      <c r="Q105" s="33" t="inlineStr">
        <is>
          <t>Yes</t>
        </is>
      </c>
      <c r="R105" s="39" t="n">
        <v>9</v>
      </c>
      <c r="S105" s="39" t="n"/>
      <c r="T105" s="35" t="inlineStr">
        <is>
          <t>Sep 2026</t>
        </is>
      </c>
      <c r="U105" s="33" t="inlineStr">
        <is>
          <t>Medium</t>
        </is>
      </c>
      <c r="V105" s="33" t="inlineStr">
        <is>
          <t>Notification Visibility Monitoring</t>
        </is>
      </c>
      <c r="W105" s="33" t="inlineStr">
        <is>
          <t>EAO-39</t>
        </is>
      </c>
      <c r="X105" s="33" t="inlineStr">
        <is>
          <t>Not a source-coverage gap. The news was captured by the vendor sources but never surfaced on the analyst portal, so it was never available for review and no coverage was created. The failure sits between ingestion and the analyst queue. Separately, the customer's exposure claim did not hold: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believe they were covered.</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On 24-Sep-2026 Engineering further confirmed to the customer that the vendor being onboarded next quarter already carries that source, so the same event would have been captured under the incoming network. The RCA is being revised to state that and re-shared.</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Complaint</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High</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46283</v>
      </c>
      <c r="C111" s="33" t="inlineStr">
        <is>
          <t>Supply Shortage</t>
        </is>
      </c>
      <c r="D111" s="33" t="inlineStr">
        <is>
          <t>Belden Inc</t>
        </is>
      </c>
      <c r="E111" s="39" t="n">
        <v>1</v>
      </c>
      <c r="F111" s="33" t="inlineStr">
        <is>
          <t>TSMC 28nm Capacity Reduction – News Authenticity and Verification Criteria Queried (Belden)</t>
        </is>
      </c>
      <c r="G111" s="33" t="inlineStr">
        <is>
          <t>Inquiry</t>
        </is>
      </c>
      <c r="H111" s="33" t="inlineStr">
        <is>
          <t>Customer Requested Verification</t>
        </is>
      </c>
      <c r="I111" s="33" t="inlineStr">
        <is>
          <t>Process</t>
        </is>
      </c>
      <c r="J111" s="33" t="inlineStr">
        <is>
          <t>Process Clarification</t>
        </is>
      </c>
      <c r="K111" s="33" t="inlineStr">
        <is>
          <t>Improvement</t>
        </is>
      </c>
      <c r="L111" s="33" t="inlineStr">
        <is>
          <t>Clarification Provided</t>
        </is>
      </c>
      <c r="M111" s="33" t="inlineStr">
        <is>
          <t>An evidence-grade label carried on the event itself - confirmed, credible but unconfirmed, disputed, unsubstantiated, demonstrably false - so a customer can see the basis of a report without asking, and a later company denial or correction updates that grade rather than arriving as a separate query</t>
        </is>
      </c>
      <c r="N111" s="33" t="inlineStr">
        <is>
          <t>No</t>
        </is>
      </c>
      <c r="O111" s="33" t="inlineStr">
        <is>
          <t>EAO-39: Belden cited a 22-Jun-2026 report that TSMC denied phasing out 28nm and asked three questions: how EventWatch screens real from fake news, what criteria establish that an event notification is not fake, and whether the TSMC 28nm capacity reduction is real or fake. A written assessment was issued covering the source hierarchy, the five evidence grades and the specific TSMC timeline. Separately, on 22-Sep-2026 the customer corrected their own position and confirmed TSMC is not mapped in their BOM - they source the wafer via Broadcom, and the Taiwan Semiconductor entity they had mapped covers resistors and MOSFETs.</t>
        </is>
      </c>
      <c r="P111" s="33" t="n"/>
      <c r="Q111" s="33" t="inlineStr">
        <is>
          <t>No</t>
        </is>
      </c>
      <c r="R111" s="39" t="n">
        <v>9</v>
      </c>
      <c r="S111" s="39" t="n"/>
      <c r="T111" s="35" t="inlineStr">
        <is>
          <t>Sep 2026</t>
        </is>
      </c>
      <c r="U111" s="33" t="inlineStr">
        <is>
          <t>Medium</t>
        </is>
      </c>
      <c r="V111" s="33" t="inlineStr">
        <is>
          <t>Other Control Automation</t>
        </is>
      </c>
      <c r="W111" s="33" t="inlineStr">
        <is>
          <t>EAO-39</t>
        </is>
      </c>
      <c r="X111" s="33" t="inlineStr">
        <is>
          <t>Not a defect. Assessed as credible but unconfirmed public reporting of a selective production and capacity shift at Fab 15A. Commercial Times (22-Jun-2026) reported monthly 28nm wafer starts falling from roughly 200,000 to 150,000, customer migration toward 12nm and reallocation toward silicon-interposer production; Economic Daily News (May 2026) reported Fab 15A converting from 22nm/28nm toward 4nm; TrendForce, SemiMedia, Tech in Asia and GuruFocus carried or analysed the same upstream reporting. TSMC stated on 22-Jun-2026 that its overall mature-node strategy was unchanged. The two views are not contradictory: an unchanged mature-node strategy is compatible with selective conversion at one fab. The specific 25 percent reduction was attributed to supply-chain sources and was never confirmed by TSMC, so it is not classified as fake.</t>
        </is>
      </c>
      <c r="Y111" s="33" t="inlineStr">
        <is>
          <t>EventWatch Ops - Nitin Rindhe</t>
        </is>
      </c>
      <c r="Z111" s="37" t="n"/>
    </row>
    <row r="112">
      <c r="A112" s="35" t="n">
        <v>46266</v>
      </c>
      <c r="B112" s="37" t="n">
        <v>46289</v>
      </c>
      <c r="C112" s="33" t="inlineStr">
        <is>
          <t>Bankruptcy</t>
        </is>
      </c>
      <c r="D112" s="33" t="inlineStr">
        <is>
          <t>Eaton</t>
        </is>
      </c>
      <c r="E112" s="39" t="n">
        <v>1</v>
      </c>
      <c r="F112" s="33" t="inlineStr">
        <is>
          <t>UPG Enterprises Chapter 11 Mapped to Mapes &amp; Sprowl - Mapping and Severity Queried (Eaton)</t>
        </is>
      </c>
      <c r="G112" s="33" t="inlineStr">
        <is>
          <t>Complaint</t>
        </is>
      </c>
      <c r="H112" s="33" t="inlineStr">
        <is>
          <t>Wrong Relevancy</t>
        </is>
      </c>
      <c r="I112" s="33" t="inlineStr">
        <is>
          <t>Product</t>
        </is>
      </c>
      <c r="J112" s="33" t="inlineStr">
        <is>
          <t>Mapping</t>
        </is>
      </c>
      <c r="K112" s="33" t="inlineStr">
        <is>
          <t>Improvement</t>
        </is>
      </c>
      <c r="L112" s="33" t="inlineStr">
        <is>
          <t>Pending</t>
        </is>
      </c>
      <c r="M112" s="33" t="inlineStr">
        <is>
          <t>Scope check on parent-subsidiary linkage for insolvency filings, so a WarRoom is not raised against a subsidiary the filing text explicitly excludes, plus a recorded basis for the severity grade</t>
        </is>
      </c>
      <c r="N112" s="33" t="inlineStr">
        <is>
          <t>No</t>
        </is>
      </c>
      <c r="O112" s="33" t="inlineStr">
        <is>
          <t>Staged from Jira EAO-44 (Open).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No investigation comments on the ticket yet.</t>
        </is>
      </c>
      <c r="P112" s="33" t="n"/>
      <c r="Q112" s="33" t="inlineStr">
        <is>
          <t>No</t>
        </is>
      </c>
      <c r="R112" s="39" t="n">
        <v>9</v>
      </c>
      <c r="S112" s="39" t="n"/>
      <c r="T112" s="35" t="inlineStr">
        <is>
          <t>Sep 2026</t>
        </is>
      </c>
      <c r="U112" s="33" t="inlineStr">
        <is>
          <t>Medium</t>
        </is>
      </c>
      <c r="V112" s="33" t="inlineStr">
        <is>
          <t>Entity &amp; Supplier Resolution</t>
        </is>
      </c>
      <c r="W112" s="33" t="inlineStr">
        <is>
          <t>EAO-44</t>
        </is>
      </c>
      <c r="X112" s="33" t="n"/>
      <c r="Y112" s="33" t="inlineStr">
        <is>
          <t>Product &amp; Platform</t>
        </is>
      </c>
      <c r="Z112" s="37" t="n"/>
    </row>
    <row r="113">
      <c r="A113" s="35" t="n">
        <v>46266</v>
      </c>
      <c r="B113" s="37" t="n">
        <v>46289</v>
      </c>
      <c r="C113" s="33" t="inlineStr">
        <is>
          <t>Factory Fire</t>
        </is>
      </c>
      <c r="D113" s="33" t="inlineStr">
        <is>
          <t>Ford</t>
        </is>
      </c>
      <c r="E113" s="39" t="n">
        <v>1</v>
      </c>
      <c r="F113" s="33" t="inlineStr">
        <is>
          <t>Purflux Group Filter Systems Maroc Facility Fire - 10-11 Day Alert Delay (Ford)</t>
        </is>
      </c>
      <c r="G113" s="33" t="inlineStr">
        <is>
          <t>Complaint</t>
        </is>
      </c>
      <c r="H113" s="33" t="inlineStr">
        <is>
          <t>Delayed Event</t>
        </is>
      </c>
      <c r="I113" s="33" t="inlineStr">
        <is>
          <t>Product</t>
        </is>
      </c>
      <c r="J113" s="33" t="inlineStr">
        <is>
          <t>Captured Late</t>
        </is>
      </c>
      <c r="K113" s="33" t="inlineStr">
        <is>
          <t>Improvement</t>
        </is>
      </c>
      <c r="L113" s="33" t="inlineStr">
        <is>
          <t>Pending</t>
        </is>
      </c>
      <c r="M113" s="33" t="inlineStr">
        <is>
          <t>Latency monitoring on the gap between an incident's first public report and EventWatch publication, so a multi-day lag on a Tier-1 manufacturing site raises an internal alarm instead of waiting for the customer to notice</t>
        </is>
      </c>
      <c r="N113" s="33" t="inlineStr">
        <is>
          <t>Yes</t>
        </is>
      </c>
      <c r="O113" s="33" t="inlineStr">
        <is>
          <t>Staged from Jira EAO-45 (Open).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No investigation comments on the ticket yet, so the cause is not established and Root Cause, Sub-type and Standard Automation Focus are provisional.</t>
        </is>
      </c>
      <c r="P113" s="33" t="inlineStr">
        <is>
          <t>~10-11 days (event 11/12-Sep-2026 -&gt; published 22-Sep-2026)</t>
        </is>
      </c>
      <c r="Q113" s="33" t="inlineStr">
        <is>
          <t>Yes</t>
        </is>
      </c>
      <c r="R113" s="39" t="n">
        <v>9</v>
      </c>
      <c r="S113" s="39" t="n">
        <v>252</v>
      </c>
      <c r="T113" s="35" t="inlineStr">
        <is>
          <t>Sep 2026</t>
        </is>
      </c>
      <c r="U113" s="33" t="inlineStr">
        <is>
          <t>High</t>
        </is>
      </c>
      <c r="V113" s="33" t="inlineStr">
        <is>
          <t>Dynamic Source Discovery</t>
        </is>
      </c>
      <c r="W113" s="33" t="inlineStr">
        <is>
          <t>EAO-45</t>
        </is>
      </c>
      <c r="X113" s="33" t="n"/>
      <c r="Y113" s="33" t="inlineStr">
        <is>
          <t>Product &amp; Platform</t>
        </is>
      </c>
      <c r="Z113"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0.35051546391752575</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0</v>
      </c>
      <c r="L67" s="75" t="n">
        <v>13</v>
      </c>
    </row>
    <row r="68" ht="23.25" customHeight="1">
      <c r="A68" s="20" t="inlineStr">
        <is>
          <t>Eaton</t>
        </is>
      </c>
      <c r="B68" s="22" t="n">
        <v>14</v>
      </c>
      <c r="C68" s="24" t="n">
        <v>0.14432989690721648</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0.07216494845360824</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0.041237113402061855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0</v>
      </c>
      <c r="L70" s="76" t="n">
        <v>14</v>
      </c>
    </row>
    <row r="71" ht="23.25" customHeight="1">
      <c r="A71" s="20" t="inlineStr">
        <is>
          <t>GM</t>
        </is>
      </c>
      <c r="B71" s="22" t="n">
        <v>4</v>
      </c>
      <c r="C71" s="24" t="n">
        <v>0.041237113402061855</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0.030927835051546393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Belden Inc</t>
        </is>
      </c>
      <c r="B73" s="22" t="n">
        <v>2</v>
      </c>
      <c r="C73" s="24" t="n">
        <v>0.020618556701030927</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Hitachi</t>
        </is>
      </c>
      <c r="B74" s="22" t="n">
        <v>2</v>
      </c>
      <c r="C74" s="24" t="n">
        <v>0.020618556701030927</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0.020618556701030927</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Schneider Electric</t>
        </is>
      </c>
      <c r="B76" s="22" t="n">
        <v>2</v>
      </c>
      <c r="C76" s="24" t="n">
        <v>0.020618556701030927</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1</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5</v>
      </c>
      <c r="K87" s="76" t="n">
        <v>4</v>
      </c>
      <c r="L87" s="76" t="n">
        <v>9</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97</v>
      </c>
      <c r="K91" s="77" t="n">
        <v>15</v>
      </c>
      <c r="L91" s="77" t="n">
        <v>112</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