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14</v>
                </pt>
                <pt idx="3">
                  <v>11</v>
                </pt>
                <pt idx="4">
                  <v>17</v>
                </pt>
                <pt idx="5">
                  <v>9</v>
                </pt>
                <pt idx="6">
                  <v>7</v>
                </pt>
                <pt idx="7">
                  <v>14</v>
                </pt>
                <pt idx="8">
                  <v>13</v>
                </pt>
                <pt idx="9">
                  <v>3</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0</v>
                </pt>
                <pt idx="3">
                  <v>2</v>
                </pt>
                <pt idx="4">
                  <v>1</v>
                </pt>
                <pt idx="5">
                  <v>3</v>
                </pt>
                <pt idx="6">
                  <v>4</v>
                </pt>
                <pt idx="7">
                  <v>4</v>
                </pt>
                <pt idx="8">
                  <v>5</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33</v>
                </pt>
                <pt idx="2">
                  <v>17</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104</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37</v>
                </pt>
                <pt idx="2">
                  <v>6</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General Mills</v>
                </pt>
                <pt idx="7">
                  <v>META</v>
                </pt>
                <pt idx="8">
                  <v>Merck</v>
                </pt>
                <pt idx="9">
                  <v>Schneider Electric</v>
                </pt>
                <pt idx="10">
                  <v>Other customers</v>
                </pt>
              </strCache>
            </strRef>
          </cat>
          <val>
            <numRef>
              <f>Dashboard!$B$67:$B$77</f>
              <numCache>
                <formatCode>General</formatCode>
                <ptCount val="11"/>
                <pt idx="0">
                  <v>36</v>
                </pt>
                <pt idx="1">
                  <v>13</v>
                </pt>
                <pt idx="2">
                  <v>7</v>
                </pt>
                <pt idx="3">
                  <v>4</v>
                </pt>
                <pt idx="4">
                  <v>4</v>
                </pt>
                <pt idx="5">
                  <v>3</v>
                </pt>
                <pt idx="6">
                  <v>2</v>
                </pt>
                <pt idx="7">
                  <v>2</v>
                </pt>
                <pt idx="8">
                  <v>2</v>
                </pt>
                <pt idx="9">
                  <v>2</v>
                </pt>
                <pt idx="10">
                  <v>25</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32</v>
                </pt>
                <pt idx="1">
                  <v>32</v>
                </pt>
                <pt idx="2">
                  <v>5</v>
                </pt>
                <pt idx="3">
                  <v>7</v>
                </pt>
                <pt idx="4">
                  <v>9</v>
                </pt>
                <pt idx="5">
                  <v>3</v>
                </pt>
                <pt idx="6">
                  <v>4</v>
                </pt>
                <pt idx="7">
                  <v>2</v>
                </pt>
                <pt idx="8">
                  <v>6</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3"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3"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3"/>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WarRoom &amp; Decision Validation</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Multilingual Keyword Expansion</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Visibility</t>
        </is>
      </c>
      <c r="K72" s="33" t="inlineStr">
        <is>
          <t>Bug</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Cluster Integrity &amp; Duplicate Prevention</t>
        </is>
      </c>
      <c r="W72" s="33" t="inlineStr">
        <is>
          <t>EAO-12</t>
        </is>
      </c>
      <c r="X72"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Complaint</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Legal Action</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inlineStr">
        <is>
          <t>A data hygiene defect on the EventWatch side: leading and trailing spaces in the values the Disruption Agent matched on. They were stripped under TENAR-45367 and the fix was verified on stage on 07-Aug-2026.</t>
        </is>
      </c>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46248</v>
      </c>
      <c r="C88" s="33" t="inlineStr">
        <is>
          <t>Bankruptcy</t>
        </is>
      </c>
      <c r="D88" s="33" t="inlineStr">
        <is>
          <t>Infineon</t>
        </is>
      </c>
      <c r="E88" s="39" t="n">
        <v>1</v>
      </c>
      <c r="F88" s="33" t="inlineStr">
        <is>
          <t>Eberhard AG Insolvency – No EventWatch Alert (Infineon)</t>
        </is>
      </c>
      <c r="G88" s="33" t="inlineStr">
        <is>
          <t>Complaint</t>
        </is>
      </c>
      <c r="H88" s="33" t="inlineStr">
        <is>
          <t>Missed insolvency alert</t>
        </is>
      </c>
      <c r="I88" s="33" t="inlineStr">
        <is>
          <t>Product</t>
        </is>
      </c>
      <c r="J88" s="33" t="inlineStr">
        <is>
          <t>Source Coverage</t>
        </is>
      </c>
      <c r="K88" s="33" t="inlineStr">
        <is>
          <t>Improvement</t>
        </is>
      </c>
      <c r="L88" s="33" t="inlineStr">
        <is>
          <t>RCA Shared</t>
        </is>
      </c>
      <c r="M88" s="33" t="inlineStr">
        <is>
          <t>Add the bankruptcy and insolvency sources covering this supplier's region to the vendor network, so a filing at a mapped supplier is captured when it is published rather than when the customer raises it</t>
        </is>
      </c>
      <c r="N88" s="33" t="inlineStr">
        <is>
          <t>Yes</t>
        </is>
      </c>
      <c r="O88"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8" s="33" t="n"/>
      <c r="Q88" s="33" t="inlineStr">
        <is>
          <t>Yes</t>
        </is>
      </c>
      <c r="R88" s="39" t="n">
        <v>8</v>
      </c>
      <c r="S88" s="39" t="n"/>
      <c r="T88" s="35" t="inlineStr">
        <is>
          <t>Aug 2026</t>
        </is>
      </c>
      <c r="U88" s="33" t="inlineStr">
        <is>
          <t>Medium</t>
        </is>
      </c>
      <c r="V88" s="33" t="inlineStr">
        <is>
          <t>Dynamic Source Discovery</t>
        </is>
      </c>
      <c r="W88" s="33" t="n"/>
      <c r="X88" s="33" t="inlineStr">
        <is>
          <t>The sources reporting the Eberhard AG insolvency are not part of the vendor network; the vendor has been asked to include them. Recorded by Product Management as a source miss at the portal.</t>
        </is>
      </c>
      <c r="Y88" s="33" t="inlineStr">
        <is>
          <t>Product &amp; Platform</t>
        </is>
      </c>
      <c r="Z88" s="37" t="n"/>
    </row>
    <row r="89">
      <c r="A89" s="35" t="n">
        <v>46235</v>
      </c>
      <c r="B89" s="37" t="n">
        <v>46251</v>
      </c>
      <c r="C89" s="33" t="inlineStr">
        <is>
          <t>Geopolitical</t>
        </is>
      </c>
      <c r="D89" s="33" t="inlineStr">
        <is>
          <t>Ford</t>
        </is>
      </c>
      <c r="E89" s="39" t="n">
        <v>1</v>
      </c>
      <c r="F89" s="33" t="inlineStr">
        <is>
          <t>Ceuta Border Security &amp; Humanitarian Crisis</t>
        </is>
      </c>
      <c r="G89" s="33" t="inlineStr">
        <is>
          <t>Complaint</t>
        </is>
      </c>
      <c r="H89" s="33" t="inlineStr">
        <is>
          <t>Missed Event</t>
        </is>
      </c>
      <c r="I89" s="33" t="inlineStr">
        <is>
          <t>People</t>
        </is>
      </c>
      <c r="J89" s="33" t="inlineStr">
        <is>
          <t>Review</t>
        </is>
      </c>
      <c r="K89" s="33" t="inlineStr">
        <is>
          <t>Improvement</t>
        </is>
      </c>
      <c r="L89" s="33" t="inlineStr">
        <is>
          <t>RCA Shared</t>
        </is>
      </c>
      <c r="M89" s="33" t="inlineStr">
        <is>
          <t>WarRoom Trigger Automation</t>
        </is>
      </c>
      <c r="N89" s="33" t="inlineStr">
        <is>
          <t>Yes</t>
        </is>
      </c>
      <c r="O89" s="33" t="inlineStr">
        <is>
          <t>EAO-27: Customer reported a missed EventWatch alert and requested an update. RCA shared following review of the event.</t>
        </is>
      </c>
      <c r="P89" s="33" t="n"/>
      <c r="Q89" s="33" t="inlineStr">
        <is>
          <t>Yes</t>
        </is>
      </c>
      <c r="R89" s="39" t="n">
        <v>8</v>
      </c>
      <c r="S89" s="39" t="n"/>
      <c r="T89" s="35" t="n">
        <v>46235</v>
      </c>
      <c r="U89" s="33" t="inlineStr">
        <is>
          <t>Medium</t>
        </is>
      </c>
      <c r="V89" s="33" t="inlineStr">
        <is>
          <t>WarRoom &amp; Decision Validation</t>
        </is>
      </c>
      <c r="W89" s="33" t="inlineStr">
        <is>
          <t>EAO-27</t>
        </is>
      </c>
      <c r="X89" s="33" t="inlineStr">
        <is>
          <t>RCA reviewed and sent to the customer on 20-Aug-2026 as a PDF attached to EAO-27; the document text is not in the ticket. Closed 25-Aug-2026 after no customer follow-up.</t>
        </is>
      </c>
      <c r="Y89" s="33" t="inlineStr">
        <is>
          <t>EventWatch Ops - Nitin Rindhe</t>
        </is>
      </c>
      <c r="Z89" s="37" t="n">
        <v>46259</v>
      </c>
    </row>
    <row r="90">
      <c r="A90" s="35" t="n">
        <v>46235</v>
      </c>
      <c r="B90" s="37" t="n">
        <v>46251</v>
      </c>
      <c r="C90" s="33" t="inlineStr">
        <is>
          <t>Port Disruption</t>
        </is>
      </c>
      <c r="D90" s="33" t="inlineStr">
        <is>
          <t>Eaton</t>
        </is>
      </c>
      <c r="E90" s="39" t="n">
        <v>1</v>
      </c>
      <c r="F90" s="33" t="inlineStr">
        <is>
          <t>Kandla Port Cargo Congestion – Supplier Impact Notification Clarification (Eaton)</t>
        </is>
      </c>
      <c r="G90" s="33" t="inlineStr">
        <is>
          <t>Inquiry</t>
        </is>
      </c>
      <c r="H90" s="33" t="inlineStr">
        <is>
          <t>Supplier Impact Mapping Clarification</t>
        </is>
      </c>
      <c r="I90" s="33" t="inlineStr">
        <is>
          <t>Process</t>
        </is>
      </c>
      <c r="J90" s="33" t="inlineStr">
        <is>
          <t>Mapping</t>
        </is>
      </c>
      <c r="K90" s="33" t="inlineStr">
        <is>
          <t>Improvement</t>
        </is>
      </c>
      <c r="L90" s="33" t="inlineStr">
        <is>
          <t>Clarification Provided</t>
        </is>
      </c>
      <c r="M90" s="33" t="inlineStr">
        <is>
          <t>Impact-confirmation notification criteria documentation for port/logistics bulletins</t>
        </is>
      </c>
      <c r="N90" s="33" t="inlineStr">
        <is>
          <t>No</t>
        </is>
      </c>
      <c r="O90" s="33" t="inlineStr">
        <is>
          <t>Staged from Jira EAO-28 (Done). Eaton asked what criteria triggered impact-confirmation notifications to Eaton suppliers on the Kandla Port cargo congestion bulletin, since the bulletin text focused on rice exports.</t>
        </is>
      </c>
      <c r="Q90" s="33" t="inlineStr">
        <is>
          <t>No</t>
        </is>
      </c>
      <c r="R90" s="39" t="n">
        <v>8</v>
      </c>
      <c r="T90" s="35" t="n">
        <v>46235</v>
      </c>
      <c r="U90" s="33" t="inlineStr">
        <is>
          <t>Low</t>
        </is>
      </c>
      <c r="V90" s="33" t="inlineStr">
        <is>
          <t>Entity &amp; Supplier Resolution</t>
        </is>
      </c>
      <c r="W90" s="33" t="inlineStr">
        <is>
          <t>EAO-28</t>
        </is>
      </c>
      <c r="X90"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0" s="33" t="inlineStr">
        <is>
          <t>EventWatch Ops - Nitin Rindhe</t>
        </is>
      </c>
      <c r="Z90" s="37" t="n">
        <v>46259</v>
      </c>
    </row>
    <row r="91">
      <c r="A91" s="35" t="n">
        <v>46235</v>
      </c>
      <c r="B91" s="37" t="n">
        <v>46252</v>
      </c>
      <c r="C91" s="33" t="inlineStr">
        <is>
          <t>Factory Fire</t>
        </is>
      </c>
      <c r="D91" s="33" t="inlineStr">
        <is>
          <t>Ford</t>
        </is>
      </c>
      <c r="E91" s="39" t="n">
        <v>1</v>
      </c>
      <c r="F91" s="33" t="inlineStr">
        <is>
          <t>Sasol Polyethylene Plant Fire / Shutdown</t>
        </is>
      </c>
      <c r="G91" s="33" t="inlineStr">
        <is>
          <t>Complaint</t>
        </is>
      </c>
      <c r="H91" s="33" t="inlineStr">
        <is>
          <t>Missed Event</t>
        </is>
      </c>
      <c r="I91" s="33" t="inlineStr">
        <is>
          <t>Product</t>
        </is>
      </c>
      <c r="J91" s="33" t="inlineStr">
        <is>
          <t>Source Coverage</t>
        </is>
      </c>
      <c r="K91" s="33" t="inlineStr">
        <is>
          <t>Improvement</t>
        </is>
      </c>
      <c r="L91" s="33" t="inlineStr">
        <is>
          <t>RCA Shared</t>
        </is>
      </c>
      <c r="M91" s="33" t="inlineStr">
        <is>
          <t>Dynamic Source Discovery</t>
        </is>
      </c>
      <c r="N91" s="33" t="inlineStr">
        <is>
          <t>Yes</t>
        </is>
      </c>
      <c r="O91" s="33" t="inlineStr">
        <is>
          <t>EAO-26: Customer reported a missed EventWatch alert for the Sasol polyethylene plant fire and shutdown. Investigation and RCA were requested; RCA shared.</t>
        </is>
      </c>
      <c r="P91" s="33" t="n"/>
      <c r="Q91" s="33" t="inlineStr">
        <is>
          <t>Yes</t>
        </is>
      </c>
      <c r="R91" s="39" t="n">
        <v>8</v>
      </c>
      <c r="S91" s="39" t="n"/>
      <c r="T91" s="35" t="n">
        <v>46235</v>
      </c>
      <c r="U91" s="33" t="inlineStr">
        <is>
          <t>Medium</t>
        </is>
      </c>
      <c r="V91" s="33" t="inlineStr">
        <is>
          <t>Dynamic Source Discovery</t>
        </is>
      </c>
      <c r="W91" s="33" t="inlineStr">
        <is>
          <t>EAO-26</t>
        </is>
      </c>
      <c r="X91" s="33" t="inlineStr">
        <is>
          <t>RCA reviewed and sent to the customer on 20-Aug-2026 as a PDF attached to EAO-26; the document text is not in the ticket. Closed 25-Aug-2026 after no customer follow-up.</t>
        </is>
      </c>
      <c r="Y91" s="33" t="inlineStr">
        <is>
          <t>Product &amp; Platform</t>
        </is>
      </c>
      <c r="Z91" s="37" t="n">
        <v>46259</v>
      </c>
    </row>
    <row r="92">
      <c r="A92" s="35" t="n">
        <v>46235</v>
      </c>
      <c r="B92" s="37" t="n">
        <v>46254</v>
      </c>
      <c r="C92" s="33" t="inlineStr">
        <is>
          <t>Hurricane/Typhoon</t>
        </is>
      </c>
      <c r="D92" s="33" t="inlineStr">
        <is>
          <t>Ford</t>
        </is>
      </c>
      <c r="E92" s="39" t="n">
        <v>1</v>
      </c>
      <c r="F92" s="33" t="inlineStr">
        <is>
          <t>Typhoon Dolphin Bulletins Distributed Across Two WarRooms</t>
        </is>
      </c>
      <c r="G92" s="33" t="inlineStr">
        <is>
          <t>Inquiry</t>
        </is>
      </c>
      <c r="H92" s="33" t="inlineStr">
        <is>
          <t>Coverage Verification Request</t>
        </is>
      </c>
      <c r="I92" s="33" t="inlineStr">
        <is>
          <t>Process</t>
        </is>
      </c>
      <c r="J92" s="33" t="inlineStr">
        <is>
          <t>Policy/Logic</t>
        </is>
      </c>
      <c r="K92" s="33" t="inlineStr">
        <is>
          <t>Improvement</t>
        </is>
      </c>
      <c r="L92" s="33" t="inlineStr">
        <is>
          <t>Clarification Provided</t>
        </is>
      </c>
      <c r="M92" s="33" t="inlineStr">
        <is>
          <t>Make the shared update sequence legible on the bulletin itself, so a jump from Update 2 to Update 5 in one country's WarRoom shows which storm-lifecycle updates ran under the other WarRooms instead of reading as missing bulletins</t>
        </is>
      </c>
      <c r="N92" s="33" t="inlineStr">
        <is>
          <t>No</t>
        </is>
      </c>
      <c r="O92" s="33" t="inlineStr">
        <is>
          <t>EAO-29: Bulletins were distributed across two WarRooms, resulting in gaps in the update sequence. Customer requested RCA; RCA shared.</t>
        </is>
      </c>
      <c r="P92" s="33" t="n"/>
      <c r="Q92" s="33" t="inlineStr">
        <is>
          <t>No</t>
        </is>
      </c>
      <c r="R92" s="39" t="n">
        <v>8</v>
      </c>
      <c r="S92" s="39" t="n"/>
      <c r="T92" s="35" t="n">
        <v>46235</v>
      </c>
      <c r="U92" s="33" t="inlineStr">
        <is>
          <t>Low</t>
        </is>
      </c>
      <c r="V92" s="33" t="inlineStr">
        <is>
          <t>Other Control Automation</t>
        </is>
      </c>
      <c r="W92" s="33" t="inlineStr">
        <is>
          <t>EAO-29</t>
        </is>
      </c>
      <c r="X92"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2" s="33" t="inlineStr">
        <is>
          <t>EventWatch Ops - Nitin Rindhe</t>
        </is>
      </c>
      <c r="Z92" s="37" t="n">
        <v>46272</v>
      </c>
    </row>
    <row r="93">
      <c r="A93" s="35" t="n">
        <v>46235</v>
      </c>
      <c r="B93" s="37" t="n">
        <v>46255</v>
      </c>
      <c r="C93" s="33" t="inlineStr">
        <is>
          <t>Port Disruption</t>
        </is>
      </c>
      <c r="D93" s="33" t="inlineStr">
        <is>
          <t>Ford/GM</t>
        </is>
      </c>
      <c r="E93" s="39" t="n">
        <v>2</v>
      </c>
      <c r="F93" s="33" t="inlineStr">
        <is>
          <t>World Trade Bridge Closed in Laredo, Texas</t>
        </is>
      </c>
      <c r="G93" s="33" t="inlineStr">
        <is>
          <t>Complaint</t>
        </is>
      </c>
      <c r="H93" s="33" t="inlineStr">
        <is>
          <t>Missed Event</t>
        </is>
      </c>
      <c r="I93" s="33" t="inlineStr">
        <is>
          <t>Product</t>
        </is>
      </c>
      <c r="J93" s="33" t="inlineStr">
        <is>
          <t>Keyword Update</t>
        </is>
      </c>
      <c r="K93" s="33" t="inlineStr">
        <is>
          <t>Improvement</t>
        </is>
      </c>
      <c r="L93" s="33" t="inlineStr">
        <is>
          <t>Fixed</t>
        </is>
      </c>
      <c r="M93" s="33" t="inlineStr">
        <is>
          <t>Dynamic Source Discovery</t>
        </is>
      </c>
      <c r="N93" s="33" t="inlineStr">
        <is>
          <t>Yes</t>
        </is>
      </c>
      <c r="O93" s="33" t="inlineStr">
        <is>
          <t>EAO-25: Event was missed due to a keyword gap. Keyword was added and the article is now being captured.</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46255</v>
      </c>
      <c r="C94" s="33" t="inlineStr">
        <is>
          <t>Factory Fire</t>
        </is>
      </c>
      <c r="D94" s="33" t="inlineStr">
        <is>
          <t>Ford/GM</t>
        </is>
      </c>
      <c r="E94" s="39" t="n">
        <v>2</v>
      </c>
      <c r="F94" s="33" t="inlineStr">
        <is>
          <t>Fire at FXI de Cuautitlán, S.A. de C.V.</t>
        </is>
      </c>
      <c r="G94" s="33" t="inlineStr">
        <is>
          <t>Complaint</t>
        </is>
      </c>
      <c r="H94" s="33" t="inlineStr">
        <is>
          <t>Missed Event</t>
        </is>
      </c>
      <c r="I94" s="33" t="inlineStr">
        <is>
          <t>Product</t>
        </is>
      </c>
      <c r="J94" s="33" t="inlineStr">
        <is>
          <t>Source Coverage</t>
        </is>
      </c>
      <c r="K94" s="33" t="inlineStr">
        <is>
          <t>Improvement</t>
        </is>
      </c>
      <c r="L94" s="33" t="inlineStr">
        <is>
          <t>RCA Shared</t>
        </is>
      </c>
      <c r="M94" s="33" t="inlineStr">
        <is>
          <t>Dynamic Source Discovery</t>
        </is>
      </c>
      <c r="N94" s="33" t="inlineStr">
        <is>
          <t>Yes</t>
        </is>
      </c>
      <c r="O94" s="33" t="inlineStr">
        <is>
          <t>EAO-25: Event was not captured by the vendor due to a source coverage gap. Vendor was asked to add the sources to its network. RCA shared based on the investigation trail.</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46258</v>
      </c>
      <c r="C95" s="33" t="inlineStr">
        <is>
          <t>Factory Fire</t>
        </is>
      </c>
      <c r="D95" s="33" t="inlineStr">
        <is>
          <t>Ford/GM</t>
        </is>
      </c>
      <c r="E95" s="39" t="n">
        <v>2</v>
      </c>
      <c r="F95" s="33" t="inlineStr">
        <is>
          <t>Fire at Nemak Factory in Monterrey, Mexico</t>
        </is>
      </c>
      <c r="G95" s="33" t="inlineStr">
        <is>
          <t>Complaint</t>
        </is>
      </c>
      <c r="H95" s="33" t="inlineStr">
        <is>
          <t>Missed Event</t>
        </is>
      </c>
      <c r="I95" s="33" t="inlineStr">
        <is>
          <t>People</t>
        </is>
      </c>
      <c r="J95" s="33" t="inlineStr">
        <is>
          <t>Review</t>
        </is>
      </c>
      <c r="K95" s="33" t="inlineStr">
        <is>
          <t>Improvement</t>
        </is>
      </c>
      <c r="L95" s="33" t="inlineStr">
        <is>
          <t>RCA Shared</t>
        </is>
      </c>
      <c r="M95" s="33" t="inlineStr">
        <is>
          <t>Not Impactful Decision Validation</t>
        </is>
      </c>
      <c r="N95" s="33" t="inlineStr">
        <is>
          <t>Yes</t>
        </is>
      </c>
      <c r="O95" s="33" t="inlineStr">
        <is>
          <t>EAO-25: News processing captured the article and attached it to an updated factory-fire cluster. The event was later marked Not Impactful by the analyst. RCA shared based on the investigation trail.</t>
        </is>
      </c>
      <c r="P95" s="33" t="n"/>
      <c r="Q95" s="33" t="inlineStr">
        <is>
          <t>Yes</t>
        </is>
      </c>
      <c r="R95" s="39" t="n">
        <v>8</v>
      </c>
      <c r="S95" s="39" t="n"/>
      <c r="T95" s="35" t="n">
        <v>46235</v>
      </c>
      <c r="U95" s="33" t="inlineStr">
        <is>
          <t>Medium</t>
        </is>
      </c>
      <c r="V95" s="33" t="inlineStr">
        <is>
          <t>WarRoom &amp; Decision Validation</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EventWatch Ops - Nitin Rindhe</t>
        </is>
      </c>
      <c r="Z95" s="37" t="n"/>
    </row>
    <row r="96">
      <c r="A96" s="35" t="n">
        <v>46235</v>
      </c>
      <c r="B96" s="37" t="n">
        <v>46258</v>
      </c>
      <c r="C96" s="33" t="inlineStr">
        <is>
          <t>Cyber Attack</t>
        </is>
      </c>
      <c r="D96" s="33" t="inlineStr">
        <is>
          <t>The American National Red Cross</t>
        </is>
      </c>
      <c r="E96" s="39" t="n">
        <v>1</v>
      </c>
      <c r="F96" s="33" t="inlineStr">
        <is>
          <t>Uber Freight Investigates Reported Cyberattack After Hackers Claim Data Breach</t>
        </is>
      </c>
      <c r="G96" s="33" t="inlineStr">
        <is>
          <t>Complaint</t>
        </is>
      </c>
      <c r="H96" s="33" t="inlineStr">
        <is>
          <t>WarRoom not visible in customer profile</t>
        </is>
      </c>
      <c r="I96" s="33" t="inlineStr">
        <is>
          <t>Process</t>
        </is>
      </c>
      <c r="J96" s="33" t="inlineStr">
        <is>
          <t>Visibility</t>
        </is>
      </c>
      <c r="K96" s="33" t="inlineStr">
        <is>
          <t>Improvement</t>
        </is>
      </c>
      <c r="L96" s="33" t="inlineStr">
        <is>
          <t>RCA Shared</t>
        </is>
      </c>
      <c r="M96" s="33" t="inlineStr">
        <is>
          <t>Notification Visibility Monitoring</t>
        </is>
      </c>
      <c r="N96" s="33" t="inlineStr">
        <is>
          <t>No</t>
        </is>
      </c>
      <c r="O96" s="33" t="inlineStr">
        <is>
          <t>EAO-30: EventWatch news was published on August 13 but was not visible on the customer portal. Portal visibility investigation completed and clarification provided.</t>
        </is>
      </c>
      <c r="P96" s="33" t="n"/>
      <c r="Q96" s="33" t="inlineStr">
        <is>
          <t>Yes</t>
        </is>
      </c>
      <c r="R96" s="39" t="n">
        <v>8</v>
      </c>
      <c r="S96" s="39" t="n"/>
      <c r="T96" s="35" t="n">
        <v>46235</v>
      </c>
      <c r="U96" s="33" t="inlineStr">
        <is>
          <t>Medium</t>
        </is>
      </c>
      <c r="V96" s="33" t="inlineStr">
        <is>
          <t>Notification Visibility Monitoring</t>
        </is>
      </c>
      <c r="W96" s="33" t="inlineStr">
        <is>
          <t>TS-22695</t>
        </is>
      </c>
      <c r="X96" s="33" t="n"/>
      <c r="Y96" s="33" t="inlineStr">
        <is>
          <t>EventWatch Ops - Nitin Rindhe</t>
        </is>
      </c>
      <c r="Z96" s="37" t="n"/>
    </row>
    <row r="97">
      <c r="A97" s="35" t="n">
        <v>46235</v>
      </c>
      <c r="B97" s="37" t="n">
        <v>46265</v>
      </c>
      <c r="C97" s="33" t="inlineStr">
        <is>
          <t>Cyber Attack</t>
        </is>
      </c>
      <c r="D97" s="33" t="inlineStr">
        <is>
          <t>Schneider Electric</t>
        </is>
      </c>
      <c r="E97" s="39" t="n">
        <v>1</v>
      </c>
      <c r="F97" s="33" t="inlineStr">
        <is>
          <t>Gindre India Data Breach – EventWatch Alert/WarRoom Missing</t>
        </is>
      </c>
      <c r="G97" s="33" t="inlineStr">
        <is>
          <t>Complaint</t>
        </is>
      </c>
      <c r="H97" s="33" t="inlineStr">
        <is>
          <t>Missed Event</t>
        </is>
      </c>
      <c r="I97" s="33" t="inlineStr">
        <is>
          <t>Product</t>
        </is>
      </c>
      <c r="J97" s="33" t="inlineStr">
        <is>
          <t>Source Coverage</t>
        </is>
      </c>
      <c r="K97" s="33" t="inlineStr">
        <is>
          <t>Improvement</t>
        </is>
      </c>
      <c r="L97" s="33" t="inlineStr">
        <is>
          <t>RCA Shared</t>
        </is>
      </c>
      <c r="M97" s="33" t="inlineStr">
        <is>
          <t>Dynamic Source Discovery</t>
        </is>
      </c>
      <c r="N97" s="33" t="inlineStr">
        <is>
          <t>Yes</t>
        </is>
      </c>
      <c r="O97" s="33" t="inlineStr">
        <is>
          <t>EAO-31: No corresponding EventWatch event or WarRoom was found for the reported data breach. Source coverage review completed and RCA shared.</t>
        </is>
      </c>
      <c r="P97" s="33" t="n"/>
      <c r="Q97" s="33" t="inlineStr">
        <is>
          <t>Yes</t>
        </is>
      </c>
      <c r="R97" s="39" t="n">
        <v>8</v>
      </c>
      <c r="S97" s="39" t="n"/>
      <c r="T97" s="35" t="n">
        <v>46235</v>
      </c>
      <c r="U97" s="33" t="inlineStr">
        <is>
          <t>Medium</t>
        </is>
      </c>
      <c r="V97" s="33" t="inlineStr">
        <is>
          <t>Dynamic Source Discovery</t>
        </is>
      </c>
      <c r="W97" s="33" t="inlineStr">
        <is>
          <t>EAO-31</t>
        </is>
      </c>
      <c r="X97" s="33" t="inlineStr">
        <is>
          <t>Feeds reporting the Qilin ransomware breach at Gindre India were not captured on the EventWatch portal; Engineering investigation requested 31-Aug-2026. RCA reviewed and shared with the customer 03-Sep-2026.</t>
        </is>
      </c>
      <c r="Y97" s="33" t="inlineStr">
        <is>
          <t>Product &amp; Platform</t>
        </is>
      </c>
      <c r="Z97" s="37" t="n">
        <v>46272</v>
      </c>
    </row>
    <row r="98">
      <c r="A98" s="35" t="n">
        <v>46235</v>
      </c>
      <c r="B98" s="37" t="n">
        <v>46265</v>
      </c>
      <c r="C98" s="33" t="inlineStr">
        <is>
          <t>Cyber Attack</t>
        </is>
      </c>
      <c r="D98" s="33" t="inlineStr">
        <is>
          <t>Merck</t>
        </is>
      </c>
      <c r="E98" s="39" t="n">
        <v>1</v>
      </c>
      <c r="F98" s="33" t="inlineStr">
        <is>
          <t>Baxter International Reports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Not Impactful Decision Validation</t>
        </is>
      </c>
      <c r="N98" s="33" t="inlineStr">
        <is>
          <t>Yes</t>
        </is>
      </c>
      <c r="O98" s="33" t="inlineStr">
        <is>
          <t>Customer reported the missed Baxter ransomware incident. EventWatch captured the report on August 14, but human review incorrectly marked it Not Impactful;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Cyber Attack</t>
        </is>
      </c>
      <c r="D99" s="33" t="inlineStr">
        <is>
          <t>Merck</t>
        </is>
      </c>
      <c r="E99" s="39" t="n">
        <v>1</v>
      </c>
      <c r="F99" s="33" t="inlineStr">
        <is>
          <t>McKesson Corporation Confirms Data Breach Following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Entity &amp; Duplicate Decision Validation</t>
        </is>
      </c>
      <c r="N99" s="33" t="inlineStr">
        <is>
          <t>Yes</t>
        </is>
      </c>
      <c r="O99" s="33" t="inlineStr">
        <is>
          <t>Customer reported the missed McKesson data-breach incident. EventWatch captured the report on August 28, but human review assumed it was already covered;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Counterfeit</t>
        </is>
      </c>
      <c r="D100" s="33" t="inlineStr">
        <is>
          <t>Liberty Blume</t>
        </is>
      </c>
      <c r="E100" s="39" t="n">
        <v>1</v>
      </c>
      <c r="F100" s="33" t="inlineStr">
        <is>
          <t>Ciena 400G Optics Counterfeit Risk Intelligence Request (Liberty Blume)</t>
        </is>
      </c>
      <c r="G100" s="33" t="inlineStr">
        <is>
          <t>Inquiry</t>
        </is>
      </c>
      <c r="H100" s="33" t="inlineStr">
        <is>
          <t>Intelligence/Advisory Request</t>
        </is>
      </c>
      <c r="I100" s="33" t="inlineStr">
        <is>
          <t>Process</t>
        </is>
      </c>
      <c r="J100" s="33" t="inlineStr">
        <is>
          <t>Process Clarification</t>
        </is>
      </c>
      <c r="K100" s="33" t="inlineStr">
        <is>
          <t>Improvement</t>
        </is>
      </c>
      <c r="L100" s="33" t="inlineStr">
        <is>
          <t>Clarification Provided</t>
        </is>
      </c>
      <c r="M100" s="33" t="inlineStr">
        <is>
          <t>Counterfeit/grey-market component intelligence briefing capability</t>
        </is>
      </c>
      <c r="N100" s="33" t="inlineStr">
        <is>
          <t>No</t>
        </is>
      </c>
      <c r="O100" s="33" t="inlineStr">
        <is>
          <t>Staged from Jira EAO-32 (Open). Liberty Blume requested industry intelligence on counterfeit/grey-market Ciena 400G optical transceivers beyond the supplier scanning report already provided.</t>
        </is>
      </c>
      <c r="Q100" s="33" t="inlineStr">
        <is>
          <t>No</t>
        </is>
      </c>
      <c r="R100" s="39" t="n">
        <v>8</v>
      </c>
      <c r="T100" s="35" t="n">
        <v>46235</v>
      </c>
      <c r="U100" s="33" t="inlineStr">
        <is>
          <t>Low</t>
        </is>
      </c>
      <c r="V100" s="33" t="inlineStr">
        <is>
          <t>Other Control Automation</t>
        </is>
      </c>
      <c r="W100" s="33" t="inlineStr">
        <is>
          <t>EAO-32</t>
        </is>
      </c>
      <c r="X100"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0" s="33" t="inlineStr">
        <is>
          <t>EventWatch Ops - Nitin Rindhe</t>
        </is>
      </c>
      <c r="Z100" s="37" t="n"/>
    </row>
    <row r="101">
      <c r="A101" s="35" t="n">
        <v>46266</v>
      </c>
      <c r="B101" s="37" t="n">
        <v>46267</v>
      </c>
      <c r="C101" s="33" t="inlineStr">
        <is>
          <t>Geopolitical</t>
        </is>
      </c>
      <c r="D101" s="33" t="inlineStr">
        <is>
          <t>Caterpillar</t>
        </is>
      </c>
      <c r="E101" s="39" t="n">
        <v>1</v>
      </c>
      <c r="F101" s="33" t="inlineStr">
        <is>
          <t>Taiwan Strait Conflict Risk Assessment – Missed EventWatch Notification</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Geopolitical conflict risk-assessment scenario monitoring and escalation</t>
        </is>
      </c>
      <c r="N101" s="33" t="inlineStr">
        <is>
          <t>Yes</t>
        </is>
      </c>
      <c r="O101" s="33" t="inlineStr">
        <is>
          <t>Staged from Jira EAO-33 (In Progress). Caterpillar reported no notification for “Taiwan Strait Conflict Risk Assessment and Potential Global Supply Chain Impact”; CS found no matching event in the backend.</t>
        </is>
      </c>
      <c r="Q101" s="33" t="inlineStr">
        <is>
          <t>Yes</t>
        </is>
      </c>
      <c r="R101" s="39" t="n">
        <v>9</v>
      </c>
      <c r="T101" s="35" t="n">
        <v>46266</v>
      </c>
      <c r="U101" s="33" t="inlineStr">
        <is>
          <t>Medium</t>
        </is>
      </c>
      <c r="V101" s="33" t="inlineStr">
        <is>
          <t>WarRoom &amp; Decision Validation</t>
        </is>
      </c>
      <c r="W101" s="33" t="inlineStr">
        <is>
          <t>EAO-33</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46268</v>
      </c>
      <c r="C102" s="33" t="inlineStr">
        <is>
          <t>Protest/Riot</t>
        </is>
      </c>
      <c r="D102" s="33" t="inlineStr">
        <is>
          <t>Ford</t>
        </is>
      </c>
      <c r="E102" s="39" t="n">
        <v>1</v>
      </c>
      <c r="F102" s="33" t="inlineStr">
        <is>
          <t>Western Balkans Truck Driver/EU Border Blockade – August 31 Update Missed Alert (Ford)</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Recurring/evolving-event WarRoom update monitoring and re-escalation detection</t>
        </is>
      </c>
      <c r="N102" s="33" t="inlineStr">
        <is>
          <t>Yes</t>
        </is>
      </c>
      <c r="O102"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2" s="33" t="inlineStr">
        <is>
          <t>Yes</t>
        </is>
      </c>
      <c r="R102" s="39" t="n">
        <v>9</v>
      </c>
      <c r="T102" s="35" t="n">
        <v>46266</v>
      </c>
      <c r="U102" s="33" t="inlineStr">
        <is>
          <t>Medium</t>
        </is>
      </c>
      <c r="V102" s="33" t="inlineStr">
        <is>
          <t>WarRoom &amp; Decision Validation</t>
        </is>
      </c>
      <c r="W102" s="33" t="inlineStr">
        <is>
          <t>EAO-34</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46272</v>
      </c>
      <c r="C103" s="33" t="inlineStr">
        <is>
          <t>Power Outage</t>
        </is>
      </c>
      <c r="D103" s="33" t="inlineStr">
        <is>
          <t>Eaton/Ford</t>
        </is>
      </c>
      <c r="E103" s="39" t="n">
        <v>2</v>
      </c>
      <c r="F103" s="33" t="inlineStr">
        <is>
          <t>Punjab Region Risk Event – Supplier Sites Outside the Impact Area Mapped for Impact Confirmation (Eaton/Ford)</t>
        </is>
      </c>
      <c r="G103" s="33" t="inlineStr">
        <is>
          <t>Complaint</t>
        </is>
      </c>
      <c r="H103" s="33" t="inlineStr">
        <is>
          <t>Geographic Misclassification</t>
        </is>
      </c>
      <c r="I103" s="33" t="inlineStr">
        <is>
          <t>Product</t>
        </is>
      </c>
      <c r="J103" s="33" t="inlineStr">
        <is>
          <t>Mapping</t>
        </is>
      </c>
      <c r="K103" s="33" t="inlineStr">
        <is>
          <t>Improvement</t>
        </is>
      </c>
      <c r="L103" s="33" t="inlineStr">
        <is>
          <t>RCA Shared</t>
        </is>
      </c>
      <c r="M103" s="33" t="inlineStr">
        <is>
          <t>Geographic validation of supplier site geocodes against the event impact polygon before impact-confirmation requests are issued, so sites outside the affected region cannot be attached to an event</t>
        </is>
      </c>
      <c r="N103" s="33" t="inlineStr">
        <is>
          <t>Yes</t>
        </is>
      </c>
      <c r="O103"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3" s="33" t="n"/>
      <c r="Q103" s="33" t="inlineStr">
        <is>
          <t>No</t>
        </is>
      </c>
      <c r="R103" s="39" t="n">
        <v>9</v>
      </c>
      <c r="S103" s="39" t="n"/>
      <c r="T103" s="35" t="inlineStr">
        <is>
          <t>Sep 2026</t>
        </is>
      </c>
      <c r="U103" s="33" t="inlineStr">
        <is>
          <t>Medium</t>
        </is>
      </c>
      <c r="V103" s="33" t="inlineStr">
        <is>
          <t>AI-Assisted Geofencing</t>
        </is>
      </c>
      <c r="W103" s="33" t="inlineStr">
        <is>
          <t>EAO-35/EAO-36</t>
        </is>
      </c>
      <c r="X103"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3" s="33" t="inlineStr">
        <is>
          <t>Product &amp; Platform</t>
        </is>
      </c>
      <c r="Z103" s="37" t="n"/>
    </row>
    <row r="104">
      <c r="A104" s="35" t="n">
        <v>46266</v>
      </c>
      <c r="B104" s="37" t="n">
        <v>46273</v>
      </c>
      <c r="C104" s="33" t="inlineStr">
        <is>
          <t>Extreme Weather</t>
        </is>
      </c>
      <c r="D104" s="33" t="inlineStr">
        <is>
          <t>Sandisk</t>
        </is>
      </c>
      <c r="E104" s="39" t="n">
        <v>1</v>
      </c>
      <c r="F104" s="33" t="inlineStr">
        <is>
          <t>Record Heavy Rain in Yokkaichi City, Japan – No EventWatch Notification (Sandisk)</t>
        </is>
      </c>
      <c r="G104" s="33" t="inlineStr">
        <is>
          <t>Complaint</t>
        </is>
      </c>
      <c r="H104" s="33" t="inlineStr">
        <is>
          <t>Delayed Event</t>
        </is>
      </c>
      <c r="I104" s="33" t="inlineStr">
        <is>
          <t>People</t>
        </is>
      </c>
      <c r="J104" s="33" t="inlineStr">
        <is>
          <t>Review</t>
        </is>
      </c>
      <c r="K104" s="33" t="inlineStr">
        <is>
          <t>Improvement</t>
        </is>
      </c>
      <c r="L104" s="33" t="inlineStr">
        <is>
          <t>RCA Shared</t>
        </is>
      </c>
      <c r="M104" s="33" t="inlineStr">
        <is>
          <t>Timeliness monitoring that flags a region already producing captured stories where a related event has not been published within the reporting window</t>
        </is>
      </c>
      <c r="N104" s="33" t="inlineStr">
        <is>
          <t>Yes</t>
        </is>
      </c>
      <c r="O104"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4" s="33" t="inlineStr">
        <is>
          <t>~1 day (customer query 08-Sep-2026 -&gt; EventWatch report 09-Sep-2026)</t>
        </is>
      </c>
      <c r="Q104" s="33" t="inlineStr">
        <is>
          <t>Yes</t>
        </is>
      </c>
      <c r="R104" s="39" t="n">
        <v>9</v>
      </c>
      <c r="S104" s="39" t="n"/>
      <c r="T104" s="35" t="inlineStr">
        <is>
          <t>Sep 2026</t>
        </is>
      </c>
      <c r="U104" s="33" t="inlineStr">
        <is>
          <t>Medium</t>
        </is>
      </c>
      <c r="V104" s="33" t="inlineStr">
        <is>
          <t>WarRoom &amp; Decision Validation</t>
        </is>
      </c>
      <c r="W104" s="33" t="inlineStr">
        <is>
          <t>EAO-37</t>
        </is>
      </c>
      <c r="X104"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4" s="33" t="inlineStr">
        <is>
          <t>EventWatch Ops - Nitin Rindhe</t>
        </is>
      </c>
      <c r="Z104" s="37" t="n"/>
    </row>
    <row r="105">
      <c r="A105" s="35" t="n">
        <v>46266</v>
      </c>
      <c r="B105" s="37" t="n">
        <v>46273</v>
      </c>
      <c r="C105" s="33" t="inlineStr">
        <is>
          <t>Merger &amp; Acquisition</t>
        </is>
      </c>
      <c r="D105" s="33" t="inlineStr">
        <is>
          <t>Eaton</t>
        </is>
      </c>
      <c r="E105" s="39" t="n">
        <v>1</v>
      </c>
      <c r="F105" s="33" t="inlineStr">
        <is>
          <t>Vertiv Acquires UtilityInnovation Group – Supplier Notification and Medium Risk Classification Queried (Eaton)</t>
        </is>
      </c>
      <c r="G105" s="33" t="inlineStr">
        <is>
          <t>Inquiry</t>
        </is>
      </c>
      <c r="H105" s="33" t="inlineStr">
        <is>
          <t>Severity / consolidation handling concern</t>
        </is>
      </c>
      <c r="I105" s="33" t="inlineStr">
        <is>
          <t>Process</t>
        </is>
      </c>
      <c r="J105" s="33" t="inlineStr">
        <is>
          <t>Policy/Logic</t>
        </is>
      </c>
      <c r="K105" s="33" t="inlineStr">
        <is>
          <t>Improvement</t>
        </is>
      </c>
      <c r="L105" s="33" t="inlineStr">
        <is>
          <t>Clarification Provided</t>
        </is>
      </c>
      <c r="M105" s="33" t="inlineStr">
        <is>
          <t>Automated enforcement of the M&amp;A notification threshold so acquiring-side suppliers are excluded from impact-confirmation requests, plus a documented basis for the risk classification</t>
        </is>
      </c>
      <c r="N105" s="33" t="inlineStr">
        <is>
          <t>No</t>
        </is>
      </c>
      <c r="O105"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5" s="33" t="n"/>
      <c r="Q105" s="33" t="inlineStr">
        <is>
          <t>No</t>
        </is>
      </c>
      <c r="R105" s="39" t="n">
        <v>9</v>
      </c>
      <c r="S105" s="39" t="n"/>
      <c r="T105" s="35" t="inlineStr">
        <is>
          <t>Sep 2026</t>
        </is>
      </c>
      <c r="U105" s="33" t="inlineStr">
        <is>
          <t>Low</t>
        </is>
      </c>
      <c r="V105" s="33" t="inlineStr">
        <is>
          <t>WarRoom &amp; Decision Validation</t>
        </is>
      </c>
      <c r="W105" s="33" t="inlineStr">
        <is>
          <t>EAO-38</t>
        </is>
      </c>
      <c r="X105"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5" s="33" t="inlineStr">
        <is>
          <t>EventWatch Ops - Nitin Rindhe</t>
        </is>
      </c>
      <c r="Z105" s="37" t="n"/>
    </row>
    <row r="106">
      <c r="A106" s="35" t="n">
        <v>46266</v>
      </c>
      <c r="B106" s="37" t="n">
        <v>46276</v>
      </c>
      <c r="C106" s="33" t="inlineStr">
        <is>
          <t>Supply Shortage</t>
        </is>
      </c>
      <c r="D106" s="33" t="inlineStr">
        <is>
          <t>Belden Inc</t>
        </is>
      </c>
      <c r="E106" s="39" t="n">
        <v>1</v>
      </c>
      <c r="F106" s="33" t="inlineStr">
        <is>
          <t>TSMC 28nm Production Capacity Reduction – No EventWatch Notification (Belden)</t>
        </is>
      </c>
      <c r="G106" s="33" t="inlineStr">
        <is>
          <t>Inquiry</t>
        </is>
      </c>
      <c r="H106" s="33" t="inlineStr">
        <is>
          <t>Coverage Verification Request</t>
        </is>
      </c>
      <c r="I106" s="33" t="inlineStr">
        <is>
          <t>Product</t>
        </is>
      </c>
      <c r="J106" s="33" t="inlineStr">
        <is>
          <t>Source Coverage</t>
        </is>
      </c>
      <c r="K106" s="33" t="inlineStr">
        <is>
          <t>Improvement</t>
        </is>
      </c>
      <c r="L106" s="33" t="inlineStr">
        <is>
          <t>Clarification Provided</t>
        </is>
      </c>
      <c r="M106"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6" s="33" t="inlineStr">
        <is>
          <t>Yes</t>
        </is>
      </c>
      <c r="O106"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6" s="33" t="n"/>
      <c r="Q106" s="33" t="inlineStr">
        <is>
          <t>No</t>
        </is>
      </c>
      <c r="R106" s="39" t="n">
        <v>9</v>
      </c>
      <c r="S106" s="39" t="n"/>
      <c r="T106" s="35" t="inlineStr">
        <is>
          <t>Sep 2026</t>
        </is>
      </c>
      <c r="U106" s="33" t="inlineStr">
        <is>
          <t>Medium</t>
        </is>
      </c>
      <c r="V106" s="33" t="inlineStr">
        <is>
          <t>Dynamic Source Discovery</t>
        </is>
      </c>
      <c r="W106" s="33" t="inlineStr">
        <is>
          <t>EAO-39</t>
        </is>
      </c>
      <c r="X106"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6" s="33" t="inlineStr">
        <is>
          <t>Product &amp; Platform</t>
        </is>
      </c>
      <c r="Z106" s="37" t="n"/>
    </row>
    <row r="107">
      <c r="A107" s="35" t="n">
        <v>46266</v>
      </c>
      <c r="B107" s="37" t="n">
        <v>46276</v>
      </c>
      <c r="C107" s="33" t="inlineStr">
        <is>
          <t>Supply Shortage</t>
        </is>
      </c>
      <c r="D107" s="33" t="inlineStr">
        <is>
          <t>Belden Inc</t>
        </is>
      </c>
      <c r="E107" s="39" t="n">
        <v>1</v>
      </c>
      <c r="F107" s="33" t="inlineStr">
        <is>
          <t>Murata MLCC Product Line Discontinuation – No EventWatch Notification (Belden)</t>
        </is>
      </c>
      <c r="G107" s="33" t="inlineStr">
        <is>
          <t>Complaint</t>
        </is>
      </c>
      <c r="H107" s="33" t="inlineStr">
        <is>
          <t>Missed Event</t>
        </is>
      </c>
      <c r="I107" s="33" t="inlineStr">
        <is>
          <t>People</t>
        </is>
      </c>
      <c r="J107" s="33" t="inlineStr">
        <is>
          <t>Review</t>
        </is>
      </c>
      <c r="K107" s="33" t="inlineStr">
        <is>
          <t>Improvement</t>
        </is>
      </c>
      <c r="L107" s="33" t="inlineStr">
        <is>
          <t>RCA Shared</t>
        </is>
      </c>
      <c r="M107" s="33" t="inlineStr">
        <is>
          <t>Validation step on high-impact component end-of-life and discontinuation notices before an analyst can clear them, so a major supplier's EOL announcement cannot be dismissed at review</t>
        </is>
      </c>
      <c r="N107" s="33" t="inlineStr">
        <is>
          <t>Yes</t>
        </is>
      </c>
      <c r="O107"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7" s="33" t="n"/>
      <c r="Q107" s="33" t="inlineStr">
        <is>
          <t>Yes</t>
        </is>
      </c>
      <c r="R107" s="39" t="n">
        <v>9</v>
      </c>
      <c r="S107" s="39" t="n"/>
      <c r="T107" s="35" t="inlineStr">
        <is>
          <t>Sep 2026</t>
        </is>
      </c>
      <c r="U107" s="33" t="inlineStr">
        <is>
          <t>Medium</t>
        </is>
      </c>
      <c r="V107" s="33" t="inlineStr">
        <is>
          <t>WarRoom &amp; Decision Validation</t>
        </is>
      </c>
      <c r="W107" s="33" t="inlineStr">
        <is>
          <t>EAO-39</t>
        </is>
      </c>
      <c r="X107" s="33" t="inlineStr">
        <is>
          <t>Analyst miss. The event was available for review and was not escalated into EventWatch coverage. Ingestion and source coverage did not contribute.</t>
        </is>
      </c>
      <c r="Y107" s="33" t="inlineStr">
        <is>
          <t>EventWatch Ops - Nitin Rindhe</t>
        </is>
      </c>
      <c r="Z107" s="37" t="n"/>
    </row>
    <row r="108">
      <c r="A108" s="35" t="n">
        <v>46266</v>
      </c>
      <c r="B108" s="37" t="n">
        <v>46276</v>
      </c>
      <c r="C108" s="33" t="inlineStr">
        <is>
          <t>Factory Fire</t>
        </is>
      </c>
      <c r="D108" s="33" t="inlineStr">
        <is>
          <t>Ford</t>
        </is>
      </c>
      <c r="E108" s="39" t="n">
        <v>1</v>
      </c>
      <c r="F108" s="33" t="inlineStr">
        <is>
          <t>Precision Resource Facility Fire, Mt. Sterling, Kentucky – Deep-Tier Supplier Event Not Captured (Ford)</t>
        </is>
      </c>
      <c r="G108" s="33" t="inlineStr">
        <is>
          <t>Complaint</t>
        </is>
      </c>
      <c r="H108" s="33" t="inlineStr">
        <is>
          <t>Missed Event</t>
        </is>
      </c>
      <c r="I108" s="33" t="inlineStr">
        <is>
          <t>Product</t>
        </is>
      </c>
      <c r="J108" s="33" t="inlineStr">
        <is>
          <t>Source Coverage</t>
        </is>
      </c>
      <c r="K108" s="33" t="inlineStr">
        <is>
          <t>Improvement</t>
        </is>
      </c>
      <c r="L108" s="33" t="inlineStr">
        <is>
          <t>RCA Shared</t>
        </is>
      </c>
      <c r="M108" s="33" t="inlineStr">
        <is>
          <t>Monitoring of local and regional outlets covering industrial incidents at deep-tier supplier sites, with event-to-supply-chain correlation so a sub-tier fire is linked to the OEMs exposed through it</t>
        </is>
      </c>
      <c r="N108" s="33" t="inlineStr">
        <is>
          <t>Yes</t>
        </is>
      </c>
      <c r="O108"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8" s="33" t="n"/>
      <c r="Q108" s="33" t="inlineStr">
        <is>
          <t>Yes</t>
        </is>
      </c>
      <c r="R108" s="39" t="n">
        <v>9</v>
      </c>
      <c r="S108" s="39" t="n"/>
      <c r="T108" s="35" t="inlineStr">
        <is>
          <t>Sep 2026</t>
        </is>
      </c>
      <c r="U108" s="33" t="inlineStr">
        <is>
          <t>High</t>
        </is>
      </c>
      <c r="V108" s="33" t="inlineStr">
        <is>
          <t>Dynamic Source Discovery</t>
        </is>
      </c>
      <c r="W108" s="33" t="inlineStr">
        <is>
          <t>EAO-40</t>
        </is>
      </c>
      <c r="X108"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8" s="33" t="inlineStr">
        <is>
          <t>Product &amp; Platform</t>
        </is>
      </c>
      <c r="Z108" s="37" t="n"/>
    </row>
    <row r="109">
      <c r="A109" s="35" t="n">
        <v>46266</v>
      </c>
      <c r="B109" s="37" t="n">
        <v>46279</v>
      </c>
      <c r="C109" s="33" t="inlineStr">
        <is>
          <t>Bankruptcy</t>
        </is>
      </c>
      <c r="D109" s="33" t="inlineStr">
        <is>
          <t>Irving Oil</t>
        </is>
      </c>
      <c r="E109" s="39" t="n">
        <v>1</v>
      </c>
      <c r="F109" s="33" t="inlineStr">
        <is>
          <t>Paystone CCAA Filing – No EventWatch Notification (Irving Oil)</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such as CCAA is added, so the same class of filing is not missed twice</t>
        </is>
      </c>
      <c r="N109" s="33" t="inlineStr">
        <is>
          <t>Yes</t>
        </is>
      </c>
      <c r="O109"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9" s="33" t="n"/>
      <c r="Q109" s="33" t="inlineStr">
        <is>
          <t>Yes</t>
        </is>
      </c>
      <c r="R109" s="39" t="n">
        <v>9</v>
      </c>
      <c r="S109" s="39" t="n"/>
      <c r="T109" s="35" t="inlineStr">
        <is>
          <t>Sep 2026</t>
        </is>
      </c>
      <c r="U109" s="33" t="inlineStr">
        <is>
          <t>Medium</t>
        </is>
      </c>
      <c r="V109" s="33" t="inlineStr">
        <is>
          <t>Dynamic Source Discovery</t>
        </is>
      </c>
      <c r="W109" s="33" t="inlineStr">
        <is>
          <t>EAO-41</t>
        </is>
      </c>
      <c r="X109"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9" s="33" t="inlineStr">
        <is>
          <t>Product &amp; Platform</t>
        </is>
      </c>
      <c r="Z109" s="37" t="n">
        <v>46288</v>
      </c>
    </row>
    <row r="110">
      <c r="A110" s="35" t="n">
        <v>46266</v>
      </c>
      <c r="B110" s="37" t="n">
        <v>46281</v>
      </c>
      <c r="C110" s="33" t="inlineStr">
        <is>
          <t>Bankruptcy</t>
        </is>
      </c>
      <c r="D110" s="33" t="inlineStr">
        <is>
          <t>Eaton</t>
        </is>
      </c>
      <c r="E110" s="39" t="n">
        <v>1</v>
      </c>
      <c r="F110" s="33" t="inlineStr">
        <is>
          <t>Pollmann Austria GmbH Insolvency – No EventWatch Notification (Eaton)</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is added, so the same class of filing is not missed twice</t>
        </is>
      </c>
      <c r="N110" s="33" t="inlineStr">
        <is>
          <t>Yes</t>
        </is>
      </c>
      <c r="O110"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0" s="33" t="inlineStr">
        <is>
          <t>15 days (01-Sep proceedings - 15-Sep escalation, never published)</t>
        </is>
      </c>
      <c r="Q110" s="33" t="inlineStr">
        <is>
          <t>Yes</t>
        </is>
      </c>
      <c r="R110" s="39" t="n">
        <v>9</v>
      </c>
      <c r="S110" s="39" t="n"/>
      <c r="T110" s="35" t="inlineStr">
        <is>
          <t>Sep 2026</t>
        </is>
      </c>
      <c r="U110" s="33" t="inlineStr">
        <is>
          <t>Medium</t>
        </is>
      </c>
      <c r="V110" s="33" t="inlineStr">
        <is>
          <t>Dynamic Source Discovery</t>
        </is>
      </c>
      <c r="W110" s="33" t="inlineStr">
        <is>
          <t>EAO-42</t>
        </is>
      </c>
      <c r="X110"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0" s="33" t="inlineStr">
        <is>
          <t>Product &amp; Platform</t>
        </is>
      </c>
      <c r="Z110" s="37" t="n">
        <v>46288</v>
      </c>
    </row>
    <row r="111">
      <c r="A111" s="35" t="n">
        <v>46266</v>
      </c>
      <c r="B111" s="37" t="n">
        <v>46281</v>
      </c>
      <c r="C111" s="33" t="inlineStr">
        <is>
          <t>Cyber Attack</t>
        </is>
      </c>
      <c r="D111" s="33" t="inlineStr">
        <is>
          <t>General Mills</t>
        </is>
      </c>
      <c r="E111" s="39" t="n">
        <v>1</v>
      </c>
      <c r="F111" s="33" t="inlineStr">
        <is>
          <t>ADM Data Breach Exposes Personal Data - No WarRoom Created (General Mills)</t>
        </is>
      </c>
      <c r="G111" s="33" t="inlineStr">
        <is>
          <t>Complaint</t>
        </is>
      </c>
      <c r="H111" s="33" t="inlineStr">
        <is>
          <t>Missed Event</t>
        </is>
      </c>
      <c r="I111" s="33" t="inlineStr">
        <is>
          <t>People</t>
        </is>
      </c>
      <c r="J111" s="33" t="inlineStr">
        <is>
          <t>Review</t>
        </is>
      </c>
      <c r="K111" s="33" t="inlineStr">
        <is>
          <t>Improvement</t>
        </is>
      </c>
      <c r="L111" s="33" t="inlineStr">
        <is>
          <t>Pending</t>
        </is>
      </c>
      <c r="M111"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1" s="33" t="inlineStr">
        <is>
          <t>Yes</t>
        </is>
      </c>
      <c r="O111"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The owner has classified this as a People issue: the article that was captured reached the portal, and a person marked its cluster not impactful, which is the analyst-overlooked test - so the row is People / Review, routed to EventWatch Ops, with a not-impactful decision check as the remedy. The keyword question on the three articles not yet accounted for stays open with PM, but it is not what this row is filed under.</t>
        </is>
      </c>
      <c r="P111" s="33" t="n"/>
      <c r="Q111" s="33" t="inlineStr">
        <is>
          <t>Yes</t>
        </is>
      </c>
      <c r="R111" s="39" t="n">
        <v>9</v>
      </c>
      <c r="S111" s="39" t="n"/>
      <c r="T111" s="35" t="inlineStr">
        <is>
          <t>Sep 2026</t>
        </is>
      </c>
      <c r="U111" s="33" t="inlineStr">
        <is>
          <t>Medium</t>
        </is>
      </c>
      <c r="V111" s="33" t="inlineStr">
        <is>
          <t>WarRoom &amp; Decision Validation</t>
        </is>
      </c>
      <c r="W111" s="33" t="inlineStr">
        <is>
          <t>EAO-51</t>
        </is>
      </c>
      <c r="X111" s="33" t="inlineStr">
        <is>
          <t>Four articles were raised with monitoring. Engineering traced one of them (undercodenews) and found it had been captured by the cyber attack RSS and linked to an existing cluster (cyber_attack_dt_20260915155539357_not.impactful._) which was later marked as not impactful; the other three are not accounted for yet. The owner classifies this as a People issue: the story did reach the portal and the not-impactful call was made by a person, so the failure is the quality of that review rather than the reach of the system. Not a source-coverage gap - the row carried that reading before the investigation reported, and it is corrected here. Under investigation: no agreed RCA yet.</t>
        </is>
      </c>
      <c r="Y111" s="33" t="inlineStr">
        <is>
          <t>EventWatch Ops - Nitin Rindhe</t>
        </is>
      </c>
      <c r="Z111" s="37" t="n"/>
    </row>
    <row r="112">
      <c r="A112" s="35" t="n">
        <v>46266</v>
      </c>
      <c r="B112" s="37" t="n">
        <v>46283</v>
      </c>
      <c r="C112" s="33" t="inlineStr">
        <is>
          <t>Merger &amp; Acquisition</t>
        </is>
      </c>
      <c r="D112" s="33" t="inlineStr">
        <is>
          <t>Eaton</t>
        </is>
      </c>
      <c r="E112" s="39" t="n">
        <v>1</v>
      </c>
      <c r="F112" s="33" t="inlineStr">
        <is>
          <t>Clarification on Impact Confirmation Requests for Supplier Acquisitions (Eaton)</t>
        </is>
      </c>
      <c r="G112" s="33" t="inlineStr">
        <is>
          <t>Inquiry</t>
        </is>
      </c>
      <c r="H112" s="33" t="inlineStr">
        <is>
          <t>Monitoring Strategy RFI</t>
        </is>
      </c>
      <c r="I112" s="33" t="inlineStr">
        <is>
          <t>Process</t>
        </is>
      </c>
      <c r="J112" s="33" t="inlineStr">
        <is>
          <t>Process Clarification</t>
        </is>
      </c>
      <c r="K112" s="33" t="inlineStr">
        <is>
          <t>Improvement</t>
        </is>
      </c>
      <c r="L112" s="33" t="inlineStr">
        <is>
          <t>Clarification Provided</t>
        </is>
      </c>
      <c r="M112" s="33" t="inlineStr">
        <is>
          <t>Publish the M&amp;A impact-confirmation trigger criteria in-product, so the rationale for an acquiring-side outreach is visible on the request itself instead of being explained per account after the fact</t>
        </is>
      </c>
      <c r="N112" s="33" t="inlineStr">
        <is>
          <t>No</t>
        </is>
      </c>
      <c r="O112"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2" s="33" t="n"/>
      <c r="Q112" s="33" t="inlineStr">
        <is>
          <t>No</t>
        </is>
      </c>
      <c r="R112" s="39" t="n">
        <v>9</v>
      </c>
      <c r="S112" s="39" t="n"/>
      <c r="T112" s="35" t="inlineStr">
        <is>
          <t>Sep 2026</t>
        </is>
      </c>
      <c r="U112" s="33" t="inlineStr">
        <is>
          <t>Low</t>
        </is>
      </c>
      <c r="V112" s="33" t="inlineStr">
        <is>
          <t>WarRoom &amp; Decision Validation</t>
        </is>
      </c>
      <c r="W112" s="33" t="inlineStr">
        <is>
          <t>EAO-43</t>
        </is>
      </c>
      <c r="X112"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2" s="33" t="inlineStr">
        <is>
          <t>EventWatch Ops - Nitin Rindhe</t>
        </is>
      </c>
      <c r="Z112" s="37" t="n"/>
    </row>
    <row r="113">
      <c r="A113" s="35" t="n">
        <v>46266</v>
      </c>
      <c r="B113" s="37" t="n">
        <v>46289</v>
      </c>
      <c r="C113" s="33" t="inlineStr">
        <is>
          <t>Bankruptcy</t>
        </is>
      </c>
      <c r="D113" s="33" t="inlineStr">
        <is>
          <t>Eaton</t>
        </is>
      </c>
      <c r="E113" s="39" t="n">
        <v>1</v>
      </c>
      <c r="F113" s="33" t="inlineStr">
        <is>
          <t>UPG Enterprises Chapter 11 Mapped to Mapes &amp; Sprowl - Mapping and Severity Queried (Eaton)</t>
        </is>
      </c>
      <c r="G113" s="33" t="inlineStr">
        <is>
          <t>Inquiry</t>
        </is>
      </c>
      <c r="H113" s="33" t="inlineStr">
        <is>
          <t>Wrong Relevancy</t>
        </is>
      </c>
      <c r="I113" s="33" t="inlineStr">
        <is>
          <t>Product</t>
        </is>
      </c>
      <c r="J113" s="33" t="inlineStr">
        <is>
          <t>Mapping</t>
        </is>
      </c>
      <c r="K113" s="33" t="inlineStr">
        <is>
          <t>Improvement</t>
        </is>
      </c>
      <c r="L113" s="33" t="inlineStr">
        <is>
          <t>Clarification Provided</t>
        </is>
      </c>
      <c r="M113" s="33" t="inlineStr">
        <is>
          <t>Scope check on parent-subsidiary linkage for insolvency filings, so a WarRoom is not raised against a subsidiary the filing text explicitly excludes, plus a recorded basis for the severity grade</t>
        </is>
      </c>
      <c r="N113" s="33" t="inlineStr">
        <is>
          <t>No</t>
        </is>
      </c>
      <c r="O113"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3" s="33" t="n"/>
      <c r="Q113" s="33" t="inlineStr">
        <is>
          <t>No</t>
        </is>
      </c>
      <c r="R113" s="39" t="n">
        <v>9</v>
      </c>
      <c r="S113" s="39" t="n"/>
      <c r="T113" s="35" t="inlineStr">
        <is>
          <t>Sep 2026</t>
        </is>
      </c>
      <c r="U113" s="33" t="inlineStr">
        <is>
          <t>Medium</t>
        </is>
      </c>
      <c r="V113" s="33" t="inlineStr">
        <is>
          <t>Entity &amp; Supplier Resolution</t>
        </is>
      </c>
      <c r="W113" s="33" t="inlineStr">
        <is>
          <t>EAO-44</t>
        </is>
      </c>
      <c r="X113"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3" s="33" t="inlineStr">
        <is>
          <t>Product &amp; Platform</t>
        </is>
      </c>
      <c r="Z113" s="37" t="n"/>
    </row>
    <row r="114">
      <c r="A114" s="35" t="n">
        <v>46266</v>
      </c>
      <c r="B114" s="37" t="n">
        <v>46289</v>
      </c>
      <c r="C114" s="33" t="inlineStr">
        <is>
          <t>Factory Fire</t>
        </is>
      </c>
      <c r="D114" s="33" t="inlineStr">
        <is>
          <t>Ford</t>
        </is>
      </c>
      <c r="E114" s="39" t="n">
        <v>1</v>
      </c>
      <c r="F114" s="33" t="inlineStr">
        <is>
          <t>Purflux Group Filter Systems Maroc Facility Fire - 10-11 Day Alert Delay (Ford)</t>
        </is>
      </c>
      <c r="G114" s="33" t="inlineStr">
        <is>
          <t>Complaint</t>
        </is>
      </c>
      <c r="H114" s="33" t="inlineStr">
        <is>
          <t>Delayed Event</t>
        </is>
      </c>
      <c r="I114" s="33" t="inlineStr">
        <is>
          <t>Product</t>
        </is>
      </c>
      <c r="J114" s="33" t="inlineStr">
        <is>
          <t>Source Coverage</t>
        </is>
      </c>
      <c r="K114" s="33" t="inlineStr">
        <is>
          <t>Improvement</t>
        </is>
      </c>
      <c r="L114" s="33" t="inlineStr">
        <is>
          <t>RCA Shared</t>
        </is>
      </c>
      <c r="M114" s="33" t="inlineStr">
        <is>
          <t>Latency monitoring on the gap between an incident's first public report and EventWatch publication, so a multi-day lag on a Tier-1 manufacturing site raises an internal alarm instead of waiting for the customer to notice</t>
        </is>
      </c>
      <c r="N114" s="33" t="inlineStr">
        <is>
          <t>Yes</t>
        </is>
      </c>
      <c r="O114"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4" s="33" t="inlineStr">
        <is>
          <t>~10-11 days (event 11/12-Sep-2026 -&gt; published 22-Sep-2026)</t>
        </is>
      </c>
      <c r="Q114" s="33" t="inlineStr">
        <is>
          <t>Yes</t>
        </is>
      </c>
      <c r="R114" s="39" t="n">
        <v>9</v>
      </c>
      <c r="S114" s="39" t="n">
        <v>252</v>
      </c>
      <c r="T114" s="35" t="inlineStr">
        <is>
          <t>Sep 2026</t>
        </is>
      </c>
      <c r="U114" s="33" t="inlineStr">
        <is>
          <t>High</t>
        </is>
      </c>
      <c r="V114" s="33" t="inlineStr">
        <is>
          <t>Dynamic Source Discovery</t>
        </is>
      </c>
      <c r="W114" s="33" t="inlineStr">
        <is>
          <t>EAO-45</t>
        </is>
      </c>
      <c r="X114"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4" s="33" t="inlineStr">
        <is>
          <t>Product &amp; Platform</t>
        </is>
      </c>
      <c r="Z114" s="37" t="n"/>
    </row>
    <row r="115">
      <c r="A115" s="35" t="n">
        <v>46266</v>
      </c>
      <c r="B115" s="37" t="n">
        <v>46293</v>
      </c>
      <c r="C115" s="33" t="inlineStr">
        <is>
          <t>Legal Action</t>
        </is>
      </c>
      <c r="D115" s="33" t="inlineStr">
        <is>
          <t>Eaton</t>
        </is>
      </c>
      <c r="E115" s="39" t="n">
        <v>1</v>
      </c>
      <c r="F115" s="33" t="inlineStr">
        <is>
          <t>USITC DRAM Patent Investigation - Duplicate WarRooms Published for One Event (Eaton)</t>
        </is>
      </c>
      <c r="G115" s="33" t="inlineStr">
        <is>
          <t>Complaint</t>
        </is>
      </c>
      <c r="H115" s="33" t="inlineStr">
        <is>
          <t>Duplicate WarRooms</t>
        </is>
      </c>
      <c r="I115" s="33" t="inlineStr">
        <is>
          <t>People</t>
        </is>
      </c>
      <c r="J115" s="33" t="inlineStr">
        <is>
          <t>Duplication</t>
        </is>
      </c>
      <c r="K115" s="33" t="inlineStr">
        <is>
          <t>Improvement</t>
        </is>
      </c>
      <c r="L115" s="33" t="inlineStr">
        <is>
          <t>Fixed</t>
        </is>
      </c>
      <c r="M115"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5" s="33" t="inlineStr">
        <is>
          <t>Yes</t>
        </is>
      </c>
      <c r="O115"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5" s="33" t="n"/>
      <c r="Q115" s="33" t="inlineStr">
        <is>
          <t>No</t>
        </is>
      </c>
      <c r="R115" s="39" t="n">
        <v>9</v>
      </c>
      <c r="S115" s="39" t="n"/>
      <c r="T115" s="35" t="inlineStr">
        <is>
          <t>Sep 2026</t>
        </is>
      </c>
      <c r="U115" s="33" t="inlineStr">
        <is>
          <t>Medium</t>
        </is>
      </c>
      <c r="V115" s="33" t="inlineStr">
        <is>
          <t>Cluster Integrity &amp; Duplicate Prevention</t>
        </is>
      </c>
      <c r="W115" s="33" t="inlineStr">
        <is>
          <t>EAO-46</t>
        </is>
      </c>
      <c r="X115"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5" s="33" t="inlineStr">
        <is>
          <t>EventWatch Ops - Nitin Rindhe</t>
        </is>
      </c>
      <c r="Z115" s="37" t="n"/>
    </row>
    <row r="116">
      <c r="A116" s="35" t="n">
        <v>46266</v>
      </c>
      <c r="B116" s="37" t="n">
        <v>46293</v>
      </c>
      <c r="C116" s="33" t="inlineStr">
        <is>
          <t>Financial Distress</t>
        </is>
      </c>
      <c r="D116" s="33" t="inlineStr">
        <is>
          <t>Western Digital</t>
        </is>
      </c>
      <c r="E116" s="39" t="n">
        <v>1</v>
      </c>
      <c r="F116" s="33" t="inlineStr">
        <is>
          <t>Nidec Reported 1tn Yen Impairment and CEO Dismissal - No EventWatch Event Created (Western Digital)</t>
        </is>
      </c>
      <c r="G116" s="33" t="inlineStr">
        <is>
          <t>Inquiry</t>
        </is>
      </c>
      <c r="H116" s="33" t="inlineStr">
        <is>
          <t>Wrong Relevancy</t>
        </is>
      </c>
      <c r="I116" s="33" t="inlineStr">
        <is>
          <t>People</t>
        </is>
      </c>
      <c r="J116" s="33" t="inlineStr">
        <is>
          <t>Review</t>
        </is>
      </c>
      <c r="K116" s="33" t="inlineStr">
        <is>
          <t>Improvement</t>
        </is>
      </c>
      <c r="L116" s="33" t="inlineStr">
        <is>
          <t>Clarification Provided</t>
        </is>
      </c>
      <c r="M116" s="33" t="inlineStr">
        <is>
          <t>A mapped-partner check at the point an analyst marks an event Not Impactful, so an event touching a customer's own mapped supplier cannot be closed out of their feed without that being surfaced to the reviewer</t>
        </is>
      </c>
      <c r="N116" s="33" t="inlineStr">
        <is>
          <t>Yes</t>
        </is>
      </c>
      <c r="O116"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6" s="33" t="n"/>
      <c r="Q116" s="33" t="inlineStr">
        <is>
          <t>No</t>
        </is>
      </c>
      <c r="R116" s="39" t="n">
        <v>9</v>
      </c>
      <c r="S116" s="39" t="n"/>
      <c r="T116" s="35" t="inlineStr">
        <is>
          <t>Sep 2026</t>
        </is>
      </c>
      <c r="U116" s="33" t="inlineStr">
        <is>
          <t>Medium</t>
        </is>
      </c>
      <c r="V116" s="33" t="inlineStr">
        <is>
          <t>WarRoom &amp; Decision Validation</t>
        </is>
      </c>
      <c r="W116" s="33" t="inlineStr">
        <is>
          <t>EAO-47</t>
        </is>
      </c>
      <c r="X116"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6" s="33" t="inlineStr">
        <is>
          <t>EventWatch Ops - Nitin Rindhe</t>
        </is>
      </c>
      <c r="Z116" s="37" t="n"/>
    </row>
    <row r="117">
      <c r="A117" s="35" t="n">
        <v>46266</v>
      </c>
      <c r="B117" s="37" t="n">
        <v>46293</v>
      </c>
      <c r="C117" s="33" t="inlineStr">
        <is>
          <t>Port Disruption</t>
        </is>
      </c>
      <c r="D117" s="33" t="inlineStr">
        <is>
          <t>Ford</t>
        </is>
      </c>
      <c r="E117" s="39" t="n">
        <v>1</v>
      </c>
      <c r="F117" s="33" t="inlineStr">
        <is>
          <t>South Africa Port and Corridor Congestion - EWC Cargo Movement Update Not Flagged (Ford)</t>
        </is>
      </c>
      <c r="G117" s="33" t="inlineStr">
        <is>
          <t>Complaint</t>
        </is>
      </c>
      <c r="H117" s="33" t="inlineStr">
        <is>
          <t>Missed Event</t>
        </is>
      </c>
      <c r="I117" s="33" t="inlineStr">
        <is>
          <t>People</t>
        </is>
      </c>
      <c r="J117" s="33" t="inlineStr">
        <is>
          <t>Review</t>
        </is>
      </c>
      <c r="K117" s="33" t="inlineStr">
        <is>
          <t>Improvement</t>
        </is>
      </c>
      <c r="L117" s="33" t="inlineStr">
        <is>
          <t>RCA Shared</t>
        </is>
      </c>
      <c r="M117" s="33" t="inlineStr">
        <is>
          <t>Not Impactful decision validation for port and corridor congestion, so a multi-day vessel waiting or berthing delay reported by a regional logistics body is escalated for a second review rather than closed at editorial review</t>
        </is>
      </c>
      <c r="N117" s="33" t="inlineStr">
        <is>
          <t>Yes</t>
        </is>
      </c>
      <c r="O117"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7" s="33" t="n"/>
      <c r="Q117" s="33" t="inlineStr">
        <is>
          <t>Yes</t>
        </is>
      </c>
      <c r="R117" s="39" t="n">
        <v>9</v>
      </c>
      <c r="S117" s="39" t="n"/>
      <c r="T117" s="35" t="inlineStr">
        <is>
          <t>Sep 2026</t>
        </is>
      </c>
      <c r="U117" s="33" t="inlineStr">
        <is>
          <t>High</t>
        </is>
      </c>
      <c r="V117" s="33" t="inlineStr">
        <is>
          <t>WarRoom &amp; Decision Validation</t>
        </is>
      </c>
      <c r="W117" s="33" t="inlineStr">
        <is>
          <t>EAO-48</t>
        </is>
      </c>
      <c r="X117" s="33" t="inlineStr">
        <is>
          <t>RCA reviewed internally on 05-Oct-2026 and shared with the customer as a PDF attached to EAO-48; the document text is not in the ticket. Closed 07-Oct-2026 with no follow-up received.</t>
        </is>
      </c>
      <c r="Y117" s="33" t="inlineStr">
        <is>
          <t>EventWatch Ops - Nitin Rindhe</t>
        </is>
      </c>
      <c r="Z117" s="37" t="n">
        <v>46302</v>
      </c>
    </row>
    <row r="118">
      <c r="A118" s="35" t="n">
        <v>46266</v>
      </c>
      <c r="B118" s="37" t="n">
        <v>46295</v>
      </c>
      <c r="C118" s="33" t="inlineStr">
        <is>
          <t>Extreme Weather</t>
        </is>
      </c>
      <c r="D118" s="33" t="inlineStr">
        <is>
          <t>META</t>
        </is>
      </c>
      <c r="E118" s="39" t="n">
        <v>1</v>
      </c>
      <c r="F118" s="33" t="inlineStr">
        <is>
          <t>Disaster Zone Declared in Bangkok, Thailand, Following Widespread Flooding</t>
        </is>
      </c>
      <c r="G118" s="33" t="inlineStr">
        <is>
          <t>Complaint</t>
        </is>
      </c>
      <c r="H118" s="33" t="inlineStr">
        <is>
          <t>Impacted Supplier Missing</t>
        </is>
      </c>
      <c r="I118" s="33" t="inlineStr">
        <is>
          <t>People</t>
        </is>
      </c>
      <c r="J118" s="33" t="inlineStr">
        <is>
          <t>Mapping</t>
        </is>
      </c>
      <c r="K118" s="33" t="inlineStr">
        <is>
          <t>Improvement</t>
        </is>
      </c>
      <c r="L118" s="33" t="inlineStr">
        <is>
          <t>Pending</t>
        </is>
      </c>
      <c r="M118"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8" s="33" t="inlineStr">
        <is>
          <t>Yes</t>
        </is>
      </c>
      <c r="O118"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Cause per EventWatch Ops: the analyst did not research the region beyond Bangkok when scoping the initial impacted-site list.</t>
        </is>
      </c>
      <c r="P118" s="33" t="n"/>
      <c r="Q118" s="33" t="inlineStr">
        <is>
          <t>No</t>
        </is>
      </c>
      <c r="R118" s="39" t="n">
        <v>9</v>
      </c>
      <c r="S118" s="39" t="n"/>
      <c r="T118" s="35" t="inlineStr">
        <is>
          <t>Sep 2026</t>
        </is>
      </c>
      <c r="U118" s="33" t="inlineStr">
        <is>
          <t>Medium</t>
        </is>
      </c>
      <c r="V118" s="33" t="inlineStr">
        <is>
          <t>Entity &amp; Supplier Resolution</t>
        </is>
      </c>
      <c r="W118" s="33" t="inlineStr">
        <is>
          <t>EAO-49</t>
        </is>
      </c>
      <c r="X118" s="33" t="n"/>
      <c r="Y118" s="33" t="inlineStr">
        <is>
          <t>EventWatch Ops - Nitin Rindhe</t>
        </is>
      </c>
      <c r="Z118" s="37" t="n"/>
    </row>
    <row r="119">
      <c r="A119" s="35" t="n">
        <v>46296</v>
      </c>
      <c r="B119" s="37" t="n">
        <v>46296</v>
      </c>
      <c r="C119" s="33" t="inlineStr">
        <is>
          <t>Labor Disruption</t>
        </is>
      </c>
      <c r="D119" s="33" t="inlineStr">
        <is>
          <t>Ford</t>
        </is>
      </c>
      <c r="E119" s="39" t="n">
        <v>1</v>
      </c>
      <c r="F119" s="33" t="inlineStr">
        <is>
          <t>Planned Strike at AGC Display Glass, Yunlin County, Taiwan (5 Oct 2026) Not Reported (Ford)</t>
        </is>
      </c>
      <c r="G119" s="33" t="inlineStr">
        <is>
          <t>Complaint</t>
        </is>
      </c>
      <c r="H119" s="33" t="inlineStr">
        <is>
          <t>Missed Event</t>
        </is>
      </c>
      <c r="I119" s="33" t="inlineStr">
        <is>
          <t>People</t>
        </is>
      </c>
      <c r="J119" s="33" t="inlineStr">
        <is>
          <t>Review</t>
        </is>
      </c>
      <c r="K119" s="33" t="inlineStr">
        <is>
          <t>Improvement</t>
        </is>
      </c>
      <c r="L119" s="33" t="inlineStr">
        <is>
          <t>Pending</t>
        </is>
      </c>
      <c r="M119" s="33" t="inlineStr">
        <is>
          <t>Not Impactful decision validation for planned labour actions, so a strike carrying a published start date is escalated for a second review rather than closed at editorial review</t>
        </is>
      </c>
      <c r="N119" s="33" t="inlineStr">
        <is>
          <t>Yes</t>
        </is>
      </c>
      <c r="O119"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19" s="33" t="n"/>
      <c r="Q119" s="33" t="inlineStr">
        <is>
          <t>Yes</t>
        </is>
      </c>
      <c r="R119" s="39" t="n">
        <v>10</v>
      </c>
      <c r="S119" s="39" t="n"/>
      <c r="T119" s="35" t="inlineStr">
        <is>
          <t>Oct 2026</t>
        </is>
      </c>
      <c r="U119" s="33" t="inlineStr">
        <is>
          <t>Medium</t>
        </is>
      </c>
      <c r="V119" s="33" t="inlineStr">
        <is>
          <t>WarRoom &amp; Decision Validation</t>
        </is>
      </c>
      <c r="W119" s="33" t="inlineStr">
        <is>
          <t>EAO-50</t>
        </is>
      </c>
      <c r="X119"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19" s="33" t="inlineStr">
        <is>
          <t>EventWatch Ops - Nitin Rindhe</t>
        </is>
      </c>
      <c r="Z119" s="37" t="n"/>
    </row>
    <row r="120">
      <c r="A120" s="35" t="n">
        <v>46296</v>
      </c>
      <c r="B120" s="37" t="n">
        <v>46303</v>
      </c>
      <c r="C120" s="33" t="inlineStr">
        <is>
          <t>Power Outage</t>
        </is>
      </c>
      <c r="D120" s="33" t="inlineStr">
        <is>
          <t>General Mills</t>
        </is>
      </c>
      <c r="E120" s="39" t="n">
        <v>1</v>
      </c>
      <c r="F120" s="33" t="inlineStr">
        <is>
          <t>Carlisle, Iowa Municipal Water Disruption – No WarRoom Created (General Mills)</t>
        </is>
      </c>
      <c r="G120" s="33" t="inlineStr">
        <is>
          <t>Complaint</t>
        </is>
      </c>
      <c r="H120" s="33" t="inlineStr">
        <is>
          <t>Missed WarRoom</t>
        </is>
      </c>
      <c r="I120" s="33" t="inlineStr">
        <is>
          <t>Product</t>
        </is>
      </c>
      <c r="J120" s="33" t="inlineStr">
        <is>
          <t>Keyword Update</t>
        </is>
      </c>
      <c r="K120" s="33" t="inlineStr">
        <is>
          <t>Improvement</t>
        </is>
      </c>
      <c r="L120" s="33" t="inlineStr">
        <is>
          <t>Pending</t>
        </is>
      </c>
      <c r="M120" s="33" t="inlineStr">
        <is>
          <t>Keyword coverage for municipal utility disruptions and do-not-use-water orders, so a named-locality utility failure is matched against mapped customer sites rather than passing the algorithm unrecognised</t>
        </is>
      </c>
      <c r="N120" s="33" t="inlineStr">
        <is>
          <t>Yes</t>
        </is>
      </c>
      <c r="O120"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that the keyword is being added, so the Sub-type is no longer a staging guess; the ticket is still open with PM and the geofencing and WarRoom questions have not been answered separately. Under investigation: no agreed RCA yet.</t>
        </is>
      </c>
      <c r="P120" s="33" t="n"/>
      <c r="Q120" s="33" t="inlineStr">
        <is>
          <t>Yes</t>
        </is>
      </c>
      <c r="R120" s="39" t="n">
        <v>10</v>
      </c>
      <c r="S120" s="39" t="n"/>
      <c r="T120" s="35" t="inlineStr">
        <is>
          <t>Oct 2026</t>
        </is>
      </c>
      <c r="U120" s="33" t="inlineStr">
        <is>
          <t>Medium</t>
        </is>
      </c>
      <c r="V120" s="33" t="inlineStr">
        <is>
          <t>Dynamic Source Discovery</t>
        </is>
      </c>
      <c r="W120" s="33" t="inlineStr">
        <is>
          <t>EAO-52</t>
        </is>
      </c>
      <c r="X120" s="33" t="inlineStr">
        <is>
          <t>Monitoring checked the Not Impacted tab and found no relevant article, then established the cause as a keyword miss: the Carlisle coverage was not matched by the algorithm's keyword set. The keyword is being added. Not a source-coverage gap - the row was staged as one before the investigation reported, and is corrected here.</t>
        </is>
      </c>
      <c r="Y120" s="33" t="inlineStr">
        <is>
          <t>Product &amp; Platform</t>
        </is>
      </c>
      <c r="Z120" s="37" t="n"/>
    </row>
    <row r="121">
      <c r="A121" s="35" t="n">
        <v>46296</v>
      </c>
      <c r="B121" s="37" t="n">
        <v>46304</v>
      </c>
      <c r="C121" s="33" t="inlineStr">
        <is>
          <t>Price Fluctuation</t>
        </is>
      </c>
      <c r="D121" s="33" t="inlineStr">
        <is>
          <t>META</t>
        </is>
      </c>
      <c r="E121" s="39" t="n">
        <v>1</v>
      </c>
      <c r="F121" s="33" t="inlineStr">
        <is>
          <t>Nvidia Shield TV Pro Price Increase WarRoom Trigger Clarification (META)</t>
        </is>
      </c>
      <c r="G121" s="33" t="inlineStr">
        <is>
          <t>Inquiry</t>
        </is>
      </c>
      <c r="H121" s="33" t="inlineStr">
        <is>
          <t>WarRoom Timing/Trigger Criteria Clarification</t>
        </is>
      </c>
      <c r="I121" s="33" t="inlineStr">
        <is>
          <t>Process</t>
        </is>
      </c>
      <c r="J121" s="33" t="inlineStr">
        <is>
          <t>Process Clarification</t>
        </is>
      </c>
      <c r="K121" s="33" t="inlineStr">
        <is>
          <t>Improvement</t>
        </is>
      </c>
      <c r="L121" s="33" t="inlineStr">
        <is>
          <t>Clarification Provided</t>
        </is>
      </c>
      <c r="M121" s="33" t="inlineStr">
        <is>
          <t>Product-level relevance check before WarRoom creation on a price fluctuation event, so a mapped supplier's price move raises a WarRoom only where the affected product is one the customer procures</t>
        </is>
      </c>
      <c r="N121" s="33" t="inlineStr">
        <is>
          <t>No</t>
        </is>
      </c>
      <c r="O121"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1" s="33" t="n"/>
      <c r="Q121" s="33" t="inlineStr">
        <is>
          <t>No</t>
        </is>
      </c>
      <c r="R121" s="39" t="n">
        <v>10</v>
      </c>
      <c r="S121" s="39" t="n"/>
      <c r="T121" s="35" t="inlineStr">
        <is>
          <t>Oct 2026</t>
        </is>
      </c>
      <c r="U121" s="33" t="inlineStr">
        <is>
          <t>Medium</t>
        </is>
      </c>
      <c r="V121" s="33" t="inlineStr">
        <is>
          <t>WarRoom &amp; Decision Validation</t>
        </is>
      </c>
      <c r="W121" s="33" t="n"/>
      <c r="X121"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1" s="33" t="inlineStr">
        <is>
          <t>EventWatch Ops - Nitin Rindhe</t>
        </is>
      </c>
      <c r="Z121" s="37" t="n"/>
    </row>
    <row r="122">
      <c r="A122" s="35" t="n">
        <v>46296</v>
      </c>
      <c r="B122" s="37" t="n">
        <v>46304</v>
      </c>
      <c r="C122" s="33" t="inlineStr">
        <is>
          <t>Labor Disruption</t>
        </is>
      </c>
      <c r="D122" s="33" t="inlineStr">
        <is>
          <t>NVR</t>
        </is>
      </c>
      <c r="E122" s="39" t="n">
        <v>1</v>
      </c>
      <c r="F122" s="33" t="inlineStr">
        <is>
          <t>MasterBrand Cabinets to Lay Off Employees at Its Facility in Kinston, North Carolina, USA</t>
        </is>
      </c>
      <c r="G122" s="33" t="inlineStr">
        <is>
          <t>Inquiry</t>
        </is>
      </c>
      <c r="H122" s="33" t="inlineStr">
        <is>
          <t>Supplier Impact Mapping Clarification</t>
        </is>
      </c>
      <c r="I122" s="33" t="inlineStr">
        <is>
          <t>Process</t>
        </is>
      </c>
      <c r="J122" s="33" t="inlineStr">
        <is>
          <t>Mapping</t>
        </is>
      </c>
      <c r="K122" s="33" t="inlineStr">
        <is>
          <t>Improvement</t>
        </is>
      </c>
      <c r="L122" s="33" t="inlineStr">
        <is>
          <t>Pending</t>
        </is>
      </c>
      <c r="M122" s="33" t="inlineStr">
        <is>
          <t>A site-data completeness review with the customer, so facilities of an already-mapped supplier are shared and on file before an event names one, rather than the gap surfacing when a WarRoom does not appear</t>
        </is>
      </c>
      <c r="N122" s="33" t="inlineStr">
        <is>
          <t>No</t>
        </is>
      </c>
      <c r="O122"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the verification is still open and the row stays Pending. Raised by email; no Jira ticket was opened, so the daily Pending re-check has no ticket to pull.</t>
        </is>
      </c>
      <c r="P122" s="33" t="n"/>
      <c r="Q122" s="33" t="inlineStr">
        <is>
          <t>No</t>
        </is>
      </c>
      <c r="R122" s="39" t="n">
        <v>10</v>
      </c>
      <c r="S122" s="39" t="n"/>
      <c r="T122" s="35" t="inlineStr">
        <is>
          <t>Oct 2026</t>
        </is>
      </c>
      <c r="U122" s="33" t="inlineStr">
        <is>
          <t>Low</t>
        </is>
      </c>
      <c r="V122" s="33" t="inlineStr">
        <is>
          <t>Entity &amp; Supplier Resolution</t>
        </is>
      </c>
      <c r="W122" s="33" t="n"/>
      <c r="X122"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2" s="33" t="inlineStr">
        <is>
          <t>EventWatch Ops - Nitin Rindhe</t>
        </is>
      </c>
      <c r="Z122" s="37" t="n"/>
    </row>
    <row r="123">
      <c r="A123" s="35" t="n">
        <v>46296</v>
      </c>
      <c r="B123" s="37" t="n">
        <v>46307</v>
      </c>
      <c r="C123" s="33" t="inlineStr">
        <is>
          <t>Bankruptcy</t>
        </is>
      </c>
      <c r="D123" s="33" t="inlineStr">
        <is>
          <t>Ford</t>
        </is>
      </c>
      <c r="E123" s="39" t="n">
        <v>1</v>
      </c>
      <c r="F123" s="33" t="inlineStr">
        <is>
          <t>BER Automotive Bankruptcy, Bursa Türkiye – No EventWatch Alert (Ford)</t>
        </is>
      </c>
      <c r="G123" s="33" t="inlineStr">
        <is>
          <t>Complaint</t>
        </is>
      </c>
      <c r="H123" s="33" t="inlineStr">
        <is>
          <t>Missed insolvency alert</t>
        </is>
      </c>
      <c r="I123" s="33" t="inlineStr">
        <is>
          <t>Product</t>
        </is>
      </c>
      <c r="J123" s="33" t="inlineStr">
        <is>
          <t>Keyword Update</t>
        </is>
      </c>
      <c r="K123" s="33" t="inlineStr">
        <is>
          <t>Improvement</t>
        </is>
      </c>
      <c r="L123" s="33" t="inlineStr">
        <is>
          <t>Pending</t>
        </is>
      </c>
      <c r="M123" s="33" t="inlineStr">
        <is>
          <t>Keyword coverage for bankruptcy, insolvency and fraud proceedings in Türkiye's automotive manufacturing cluster, so a filing at a sub-tier supplier is matched when it is published rather than when the customer raises it</t>
        </is>
      </c>
      <c r="N123" s="33" t="inlineStr">
        <is>
          <t>Yes</t>
        </is>
      </c>
      <c r="O123"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only cited source is a Turkish-language report of alleged billion-lira fraud in the Bursa automotive sector, offered as customer evidence rather than verified fact. The ticket asks for an RCA plus interim and permanent corrective actions. Under investigation: no RCA yet, and the Sub-type is a staging guess - source coverage and a keyword gap are both open, as EAO-52 has just shown.</t>
        </is>
      </c>
      <c r="P123" s="33" t="n"/>
      <c r="Q123" s="33" t="inlineStr">
        <is>
          <t>Yes</t>
        </is>
      </c>
      <c r="R123" s="39" t="n">
        <v>10</v>
      </c>
      <c r="S123" s="39" t="n"/>
      <c r="T123" s="35" t="inlineStr">
        <is>
          <t>Oct 2026</t>
        </is>
      </c>
      <c r="U123" s="33" t="inlineStr">
        <is>
          <t>High</t>
        </is>
      </c>
      <c r="V123" s="33" t="inlineStr">
        <is>
          <t>Dynamic Source Discovery</t>
        </is>
      </c>
      <c r="W123" s="33" t="inlineStr">
        <is>
          <t>EAO-53</t>
        </is>
      </c>
      <c r="X123" s="33" t="n"/>
      <c r="Y123" s="33" t="inlineStr">
        <is>
          <t>Product &amp; Platform</t>
        </is>
      </c>
      <c r="Z123"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36</v>
      </c>
      <c r="C67" s="23" t="n" cm="1">
        <f t="array" ref="C67:C76">_xlfn.ANCHORARRAY(B67)/COUNTIF(ComplaintTracker[Issue Type],"Complaint")</f>
        <v>0.36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2">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14</v>
      </c>
      <c r="K67" s="75" t="n">
        <v>1</v>
      </c>
      <c r="L67" s="75" t="n">
        <v>15</v>
      </c>
    </row>
    <row r="68" ht="23.25" customHeight="1">
      <c r="A68" s="20" t="inlineStr">
        <is>
          <t>Eaton</t>
        </is>
      </c>
      <c r="B68" s="22" t="n">
        <v>13</v>
      </c>
      <c r="C68" s="24" t="n">
        <v>0.13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1</v>
      </c>
      <c r="L70" s="76" t="n">
        <v>15</v>
      </c>
    </row>
    <row r="71" ht="23.25" customHeight="1">
      <c r="A71" s="20" t="inlineStr">
        <is>
          <t>GM</t>
        </is>
      </c>
      <c r="B71" s="22" t="n">
        <v>4</v>
      </c>
      <c r="C71" s="24" t="n">
        <v>0.04</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Ford/GM</t>
        </is>
      </c>
      <c r="B72" s="22" t="n">
        <v>3</v>
      </c>
      <c r="C72" s="24" t="n">
        <v>0.03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General Mills</t>
        </is>
      </c>
      <c r="B73" s="22" t="n">
        <v>2</v>
      </c>
      <c r="C73" s="24" t="n">
        <v>0.02</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META</t>
        </is>
      </c>
      <c r="B74" s="22" t="n">
        <v>2</v>
      </c>
      <c r="C74" s="24" t="n">
        <v>0.02</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v>
      </c>
      <c r="D76" s="3" t="n"/>
      <c r="E76" s="25" t="inlineStr">
        <is>
          <t>Total</t>
        </is>
      </c>
      <c r="F76" s="26">
        <f>SUM(F67:F75)</f>
        <v/>
      </c>
      <c r="G76" s="27">
        <f>SUM(G67:G75)</f>
        <v/>
      </c>
      <c r="H76" s="3" t="n"/>
      <c r="I76" s="20" t="inlineStr">
        <is>
          <t>Financial Distress</t>
        </is>
      </c>
      <c r="J76" s="76" t="n">
        <v>1</v>
      </c>
      <c r="K76" s="76" t="n">
        <v>1</v>
      </c>
      <c r="L76" s="76" t="n">
        <v>2</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5</v>
      </c>
      <c r="K77" s="76" t="n">
        <v>2</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6</v>
      </c>
      <c r="K79" s="76" t="n">
        <v>1</v>
      </c>
      <c r="L79" s="76" t="n">
        <v>7</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Legal Action</t>
        </is>
      </c>
      <c r="J81" s="76" t="n">
        <v>2</v>
      </c>
      <c r="K81" s="76" t="n">
        <v>0</v>
      </c>
      <c r="L81" s="76" t="n">
        <v>2</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Port Disruption</t>
        </is>
      </c>
      <c r="J84" s="76" t="n">
        <v>2</v>
      </c>
      <c r="K84" s="76" t="n">
        <v>1</v>
      </c>
      <c r="L84" s="76" t="n">
        <v>3</v>
      </c>
    </row>
    <row r="85" ht="23.25" customHeight="1">
      <c r="A85" s="3" t="n"/>
      <c r="B85" s="3" t="n"/>
      <c r="C85" s="3" t="n"/>
      <c r="D85" s="3" t="n"/>
      <c r="E85" s="3" t="n"/>
      <c r="F85" s="3" t="n"/>
      <c r="G85" s="3" t="n"/>
      <c r="H85" s="3" t="n"/>
      <c r="I85" s="20" t="inlineStr">
        <is>
          <t>Power Outage</t>
        </is>
      </c>
      <c r="J85" s="76" t="n">
        <v>2</v>
      </c>
      <c r="K85" s="76" t="n">
        <v>1</v>
      </c>
      <c r="L85" s="76" t="n">
        <v>3</v>
      </c>
    </row>
    <row r="86" ht="23.25" customHeight="1">
      <c r="A86" s="3" t="n"/>
      <c r="B86" s="3" t="n"/>
      <c r="C86" s="3" t="n"/>
      <c r="D86" s="3" t="n"/>
      <c r="E86" s="3" t="n"/>
      <c r="F86" s="3" t="n"/>
      <c r="G86" s="3" t="n"/>
      <c r="H86" s="3" t="n"/>
      <c r="I86" s="20" t="inlineStr">
        <is>
          <t>Price Fluctuation</t>
        </is>
      </c>
      <c r="J86" s="76" t="n">
        <v>0</v>
      </c>
      <c r="K86" s="76" t="n">
        <v>1</v>
      </c>
      <c r="L86" s="76" t="n">
        <v>1</v>
      </c>
    </row>
    <row r="87" ht="18" customHeight="1">
      <c r="A87" s="3" t="n"/>
      <c r="B87" s="3" t="n"/>
      <c r="C87" s="3" t="n"/>
      <c r="D87" s="3" t="n"/>
      <c r="E87" s="3" t="n"/>
      <c r="F87" s="3" t="n"/>
      <c r="G87" s="3" t="n"/>
      <c r="H87" s="3" t="n"/>
      <c r="I87" s="20" t="inlineStr">
        <is>
          <t>Protest/Riot</t>
        </is>
      </c>
      <c r="J87" s="76" t="n">
        <v>5</v>
      </c>
      <c r="K87" s="76" t="n">
        <v>0</v>
      </c>
      <c r="L87" s="76" t="n">
        <v>5</v>
      </c>
      <c r="M87" s="3" t="n"/>
      <c r="N87" s="3" t="n"/>
      <c r="O87" s="3" t="n"/>
      <c r="P87" s="3" t="n"/>
      <c r="Q87" s="3" t="n"/>
      <c r="R87" s="3" t="n"/>
    </row>
    <row r="88" ht="18" customHeight="1">
      <c r="A88" s="3" t="n"/>
      <c r="B88" s="3" t="n"/>
      <c r="C88" s="3" t="n"/>
      <c r="D88" s="3" t="n"/>
      <c r="E88" s="3" t="n"/>
      <c r="F88" s="3" t="n"/>
      <c r="G88" s="3" t="n"/>
      <c r="H88" s="3" t="n"/>
      <c r="I88" s="20" t="inlineStr">
        <is>
          <t>Regulatory Change</t>
        </is>
      </c>
      <c r="J88" s="76" t="n">
        <v>6</v>
      </c>
      <c r="K88" s="76" t="n">
        <v>0</v>
      </c>
      <c r="L88" s="76" t="n">
        <v>6</v>
      </c>
      <c r="M88" s="3" t="n"/>
      <c r="N88" s="3" t="n"/>
      <c r="O88" s="3" t="n"/>
      <c r="P88" s="3" t="n"/>
      <c r="Q88" s="3" t="n"/>
      <c r="R88" s="3" t="n"/>
    </row>
    <row r="89" ht="18" customHeight="1">
      <c r="A89" s="3" t="n"/>
      <c r="B89" s="3" t="n"/>
      <c r="C89" s="3" t="n"/>
      <c r="D89" s="3" t="n"/>
      <c r="E89" s="3" t="n"/>
      <c r="F89" s="3" t="n"/>
      <c r="G89" s="3" t="n"/>
      <c r="H89" s="3" t="n"/>
      <c r="I89" s="20" t="inlineStr">
        <is>
          <t>Supply Shortage</t>
        </is>
      </c>
      <c r="J89" s="76" t="n">
        <v>5</v>
      </c>
      <c r="K89" s="76" t="n">
        <v>3</v>
      </c>
      <c r="L89" s="76" t="n">
        <v>8</v>
      </c>
      <c r="M89" s="3" t="n"/>
      <c r="N89" s="3" t="n"/>
      <c r="O89" s="3" t="n"/>
      <c r="P89" s="3" t="n"/>
      <c r="Q89" s="3" t="n"/>
      <c r="R89" s="3" t="n"/>
    </row>
    <row r="90" ht="18" customHeight="1">
      <c r="A90" s="3" t="n"/>
      <c r="B90" s="3" t="n"/>
      <c r="C90" s="3" t="n"/>
      <c r="D90" s="3" t="n"/>
      <c r="E90" s="3" t="n"/>
      <c r="F90" s="3" t="n"/>
      <c r="G90" s="3" t="n"/>
      <c r="H90" s="3" t="n"/>
      <c r="I90" s="20" t="inlineStr">
        <is>
          <t>Tornado</t>
        </is>
      </c>
      <c r="J90" s="76" t="n">
        <v>3</v>
      </c>
      <c r="K90" s="76" t="n">
        <v>0</v>
      </c>
      <c r="L90" s="76" t="n">
        <v>3</v>
      </c>
      <c r="M90" s="3" t="n"/>
      <c r="N90" s="3" t="n"/>
      <c r="O90" s="3" t="n"/>
      <c r="P90" s="3" t="n"/>
      <c r="Q90" s="3" t="n"/>
      <c r="R90" s="3" t="n"/>
    </row>
    <row r="91" ht="18" customHeight="1">
      <c r="A91" s="3" t="n"/>
      <c r="B91" s="3" t="n"/>
      <c r="C91" s="3" t="n"/>
      <c r="D91" s="3" t="n"/>
      <c r="E91" s="3" t="n"/>
      <c r="F91" s="3" t="n"/>
      <c r="G91" s="3" t="n"/>
      <c r="H91" s="3" t="n"/>
      <c r="I91" s="20" t="inlineStr">
        <is>
          <t>Wildfire</t>
        </is>
      </c>
      <c r="J91" s="76" t="n">
        <v>3</v>
      </c>
      <c r="K91" s="76" t="n">
        <v>1</v>
      </c>
      <c r="L91" s="76" t="n">
        <v>4</v>
      </c>
      <c r="M91" s="3" t="n"/>
      <c r="N91" s="3" t="n"/>
      <c r="O91" s="3" t="n"/>
      <c r="P91" s="3" t="n"/>
      <c r="Q91" s="3" t="n"/>
      <c r="R91" s="3" t="n"/>
    </row>
    <row r="92" ht="18" customHeight="1">
      <c r="A92" s="3" t="n"/>
      <c r="B92" s="3" t="n"/>
      <c r="C92" s="3" t="n"/>
      <c r="D92" s="3" t="n"/>
      <c r="E92" s="3" t="n"/>
      <c r="F92" s="3" t="n"/>
      <c r="G92" s="3" t="n"/>
      <c r="H92" s="3" t="n"/>
      <c r="I92" s="25" t="inlineStr">
        <is>
          <t>Total</t>
        </is>
      </c>
      <c r="J92" s="77" t="n">
        <v>100</v>
      </c>
      <c r="K92" s="77" t="n">
        <v>22</v>
      </c>
      <c r="L92" s="77" t="n">
        <v>122</v>
      </c>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3"/>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