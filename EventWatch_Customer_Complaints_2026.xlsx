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15</v>
                </pt>
                <pt idx="8">
                  <v>12</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2</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28</v>
                </pt>
                <pt idx="2">
                  <v>19</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99</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55</v>
                </pt>
                <pt idx="1">
                  <v>33</v>
                </pt>
                <pt idx="2">
                  <v>9</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35</v>
                </pt>
                <pt idx="1">
                  <v>13</v>
                </pt>
                <pt idx="2">
                  <v>7</v>
                </pt>
                <pt idx="3">
                  <v>4</v>
                </pt>
                <pt idx="4">
                  <v>4</v>
                </pt>
                <pt idx="5">
                  <v>3</v>
                </pt>
                <pt idx="6">
                  <v>2</v>
                </pt>
                <pt idx="7">
                  <v>2</v>
                </pt>
                <pt idx="8">
                  <v>2</v>
                </pt>
                <pt idx="9">
                  <v>2</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28</v>
                </pt>
                <pt idx="1">
                  <v>30</v>
                </pt>
                <pt idx="2">
                  <v>5</v>
                </pt>
                <pt idx="3">
                  <v>10</v>
                </pt>
                <pt idx="4">
                  <v>7</v>
                </pt>
                <pt idx="5">
                  <v>4</v>
                </pt>
                <pt idx="6">
                  <v>4</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Pending</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clarification to the customer is still to follow.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Clarification to the customer is still to be provided, so nothing has been shared with General Mills yet.</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Litigation/Legal</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Pending</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Complaint</t>
        </is>
      </c>
      <c r="H115" s="33" t="inlineStr">
        <is>
          <t>Missed Event</t>
        </is>
      </c>
      <c r="I115" s="33" t="inlineStr">
        <is>
          <t>Product</t>
        </is>
      </c>
      <c r="J115" s="33" t="inlineStr">
        <is>
          <t>Source Coverage</t>
        </is>
      </c>
      <c r="K115" s="33" t="inlineStr">
        <is>
          <t>Improvement</t>
        </is>
      </c>
      <c r="L115" s="33" t="inlineStr">
        <is>
          <t>Pending</t>
        </is>
      </c>
      <c r="M115" s="33" t="inlineStr">
        <is>
          <t>Coverage of Japanese-language business and financial press for listed suppliers, with a path for a credible but company-unconfirmed report to be staged as a monitoring story the customer can see rather than being absent entirely</t>
        </is>
      </c>
      <c r="N115" s="33" t="inlineStr">
        <is>
          <t>Yes</t>
        </is>
      </c>
      <c r="O115" s="33" t="inlineStr">
        <is>
          <t>Staged from Jira EAO-47 (Open).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the owners' equity ratio expected to fall to the 20% level; an extraordinary board meeting on 25-Sep-2026 reportedly dismissed CEO Mitsuya Kishida over the impairments. Goldman Sachs takes no view on the accuracy of the article and the company had not confirmed it, with the yuho securities report expected 30-Sep-2026. A backend check found no corresponding EventWatch event. The customer asked for a root-cause explanation and a customer-ready response. Currently under investigation, so Root Cause, Sub-type and Standard Automation Focus remain provisional.</t>
        </is>
      </c>
      <c r="P115" s="33" t="n"/>
      <c r="Q115" s="33" t="inlineStr">
        <is>
          <t>Yes</t>
        </is>
      </c>
      <c r="R115" s="39" t="n">
        <v>9</v>
      </c>
      <c r="S115" s="39" t="n"/>
      <c r="T115" s="35" t="inlineStr">
        <is>
          <t>Sep 2026</t>
        </is>
      </c>
      <c r="U115" s="33" t="inlineStr">
        <is>
          <t>Medium</t>
        </is>
      </c>
      <c r="V115" s="33" t="inlineStr">
        <is>
          <t>Dynamic Source Discovery</t>
        </is>
      </c>
      <c r="W115" s="33" t="inlineStr">
        <is>
          <t>EAO-47</t>
        </is>
      </c>
      <c r="X115" s="33" t="n"/>
      <c r="Y115" s="33" t="inlineStr">
        <is>
          <t>Product &amp; Platform</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Product</t>
        </is>
      </c>
      <c r="J116" s="33" t="inlineStr">
        <is>
          <t>Source Coverage</t>
        </is>
      </c>
      <c r="K116" s="33" t="inlineStr">
        <is>
          <t>Improvement</t>
        </is>
      </c>
      <c r="L116" s="33" t="inlineStr">
        <is>
          <t>Pending</t>
        </is>
      </c>
      <c r="M116"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6" s="33" t="inlineStr">
        <is>
          <t>Yes</t>
        </is>
      </c>
      <c r="O116"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6" s="33" t="n"/>
      <c r="Q116" s="33" t="inlineStr">
        <is>
          <t>Yes</t>
        </is>
      </c>
      <c r="R116" s="39" t="n">
        <v>9</v>
      </c>
      <c r="S116" s="39" t="n"/>
      <c r="T116" s="35" t="inlineStr">
        <is>
          <t>Sep 2026</t>
        </is>
      </c>
      <c r="U116" s="33" t="inlineStr">
        <is>
          <t>High</t>
        </is>
      </c>
      <c r="V116" s="33" t="inlineStr">
        <is>
          <t>Dynamic Source Discovery</t>
        </is>
      </c>
      <c r="W116" s="33" t="inlineStr">
        <is>
          <t>EAO-48</t>
        </is>
      </c>
      <c r="X116" s="33" t="n"/>
      <c r="Y116" s="33" t="inlineStr">
        <is>
          <t>Product &amp; Platform</t>
        </is>
      </c>
      <c r="Z11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0.36082474226804123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0.13402061855670103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0.07216494845360824</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0.041237113402061855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0.041237113402061855</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0.030927835051546393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0.020618556701030927</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0.020618556701030927</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0.020618556701030927</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UVM Health Network</t>
        </is>
      </c>
      <c r="B76" s="22" t="n">
        <v>2</v>
      </c>
      <c r="C76" s="24" t="n">
        <v>0.020618556701030927</v>
      </c>
      <c r="D76" s="3" t="n"/>
      <c r="E76" s="25" t="inlineStr">
        <is>
          <t>Total</t>
        </is>
      </c>
      <c r="F76" s="26">
        <f>SUM(F67:F75)</f>
        <v/>
      </c>
      <c r="G76" s="27">
        <f>SUM(G67:G75)</f>
        <v/>
      </c>
      <c r="H76" s="3" t="n"/>
      <c r="I76" s="20" t="inlineStr">
        <is>
          <t>Financial Distress</t>
        </is>
      </c>
      <c r="J76" s="76" t="n">
        <v>2</v>
      </c>
      <c r="K76" s="76" t="n">
        <v>0</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4</v>
      </c>
      <c r="K88" s="76" t="n">
        <v>4</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97</v>
      </c>
      <c r="K91" s="77" t="n">
        <v>18</v>
      </c>
      <c r="L91" s="77" t="n">
        <v>115</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