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Dashboard!$B$50:$B$58</f>
              <numCache>
                <formatCode>General</formatCode>
                <ptCount val="9"/>
                <pt idx="0">
                  <v>4</v>
                </pt>
                <pt idx="1">
                  <v>9</v>
                </pt>
                <pt idx="2">
                  <v>13</v>
                </pt>
                <pt idx="3">
                  <v>12</v>
                </pt>
                <pt idx="4">
                  <v>17</v>
                </pt>
                <pt idx="5">
                  <v>9</v>
                </pt>
                <pt idx="6">
                  <v>7</v>
                </pt>
                <pt idx="7">
                  <v>15</v>
                </pt>
                <pt idx="8">
                  <v>4</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Dashboard!$C$50:$C$58</f>
              <numCache>
                <formatCode>General</formatCode>
                <ptCount val="9"/>
                <pt idx="0">
                  <v>0</v>
                </pt>
                <pt idx="1">
                  <v>0</v>
                </pt>
                <pt idx="2">
                  <v>1</v>
                </pt>
                <pt idx="3">
                  <v>1</v>
                </pt>
                <pt idx="4">
                  <v>1</v>
                </pt>
                <pt idx="5">
                  <v>3</v>
                </pt>
                <pt idx="6">
                  <v>4</v>
                </pt>
                <pt idx="7">
                  <v>2</v>
                </pt>
                <pt idx="8">
                  <v>1</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21</v>
                </pt>
                <pt idx="2">
                  <v>17</v>
                </pt>
                <pt idx="3">
                  <v>7</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91</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51</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Dashboard!$A$64:$A$74</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Dashboard!$B$64:$B$74</f>
              <numCache>
                <formatCode>General</formatCode>
                <ptCount val="11"/>
                <pt idx="0">
                  <v>32</v>
                </pt>
                <pt idx="1">
                  <v>12</v>
                </pt>
                <pt idx="2">
                  <v>7</v>
                </pt>
                <pt idx="3">
                  <v>4</v>
                </pt>
                <pt idx="4">
                  <v>4</v>
                </pt>
                <pt idx="5">
                  <v>3</v>
                </pt>
                <pt idx="6">
                  <v>2</v>
                </pt>
                <pt idx="7">
                  <v>2</v>
                </pt>
                <pt idx="8">
                  <v>2</v>
                </pt>
                <pt idx="9">
                  <v>2</v>
                </pt>
                <pt idx="10">
                  <v>20</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Dashboard!$E$64:$E$72</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Dashboard!$F$64:$F$72</f>
              <numCache>
                <formatCode>General</formatCode>
                <ptCount val="9"/>
                <pt idx="0">
                  <v>26</v>
                </pt>
                <pt idx="1">
                  <v>31</v>
                </pt>
                <pt idx="2">
                  <v>3</v>
                </pt>
                <pt idx="3">
                  <v>7</v>
                </pt>
                <pt idx="4">
                  <v>7</v>
                </pt>
                <pt idx="5">
                  <v>5</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Y104" headerRowCount="1" totalsRowShown="0" headerRowDxfId="30" dataDxfId="29">
  <autoFilter ref="A1:Y104"/>
  <tableColumns count="25">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9"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Y10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row>
    <row r="14">
      <c r="A14" s="35" t="n">
        <v>46054</v>
      </c>
      <c r="B14" s="37" t="n">
        <v>46078</v>
      </c>
      <c r="C14" s="33" t="inlineStr">
        <is>
          <t>Other</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row>
    <row r="27">
      <c r="A27" s="35" t="n">
        <v>46082</v>
      </c>
      <c r="B27" s="37" t="n">
        <v>46111</v>
      </c>
      <c r="C27" s="33" t="inlineStr">
        <is>
          <t>Other</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Pending</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n"/>
      <c r="Y31" s="33" t="inlineStr">
        <is>
          <t>Product &amp; Platform</t>
        </is>
      </c>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row>
    <row r="41">
      <c r="A41" s="35" t="n">
        <v>46113</v>
      </c>
      <c r="B41" s="37" t="n">
        <v>46142</v>
      </c>
      <c r="C41" s="33" t="inlineStr">
        <is>
          <t>Extreme Weather</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row>
    <row r="42">
      <c r="A42" s="35" t="n">
        <v>46143</v>
      </c>
      <c r="B42" s="37" t="n">
        <v>46143</v>
      </c>
      <c r="C42" s="33" t="inlineStr">
        <is>
          <t>Extreme Weather</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row>
    <row r="67">
      <c r="A67" s="35" t="n">
        <v>46174</v>
      </c>
      <c r="B67" s="37" t="n">
        <v>46196</v>
      </c>
      <c r="C67" s="33" t="inlineStr">
        <is>
          <t>Other</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row>
    <row r="76">
      <c r="A76" s="35" t="n">
        <v>46204</v>
      </c>
      <c r="B76" s="37" t="n">
        <v>46213</v>
      </c>
      <c r="C76" s="33" t="inlineStr">
        <is>
          <t>WarRoom Operations</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row>
    <row r="79">
      <c r="A79" s="35" t="n">
        <v>46204</v>
      </c>
      <c r="B79" s="37" t="n">
        <v>46217</v>
      </c>
      <c r="C79" s="33" t="inlineStr">
        <is>
          <t>Other</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Pending</t>
        </is>
      </c>
      <c r="M84" s="33" t="inlineStr">
        <is>
          <t>Chinese regional source coverage for sub-tier automotive lighting suppliers</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84" s="33" t="inlineStr">
        <is>
          <t>Product &amp; Platform</t>
        </is>
      </c>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People</t>
        </is>
      </c>
      <c r="J85" s="33" t="inlineStr">
        <is>
          <t>Event Identification</t>
        </is>
      </c>
      <c r="K85" s="33" t="inlineStr">
        <is>
          <t>Improvement</t>
        </is>
      </c>
      <c r="L85" s="33" t="inlineStr">
        <is>
          <t>Pending</t>
        </is>
      </c>
      <c r="M85" s="33" t="inlineStr">
        <is>
          <t>Escalation automation for localized-impact tornado/storm sub-events and named-facility (Trialco) impact confirmation</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WarRoom &amp; Decision Validation</t>
        </is>
      </c>
      <c r="W85" s="33" t="inlineStr">
        <is>
          <t>EAO-25</t>
        </is>
      </c>
      <c r="X8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85" s="33" t="inlineStr">
        <is>
          <t>EventWatch Ops - Nitin Rindhe</t>
        </is>
      </c>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row>
    <row r="99">
      <c r="A99" s="35" t="n">
        <v>46235</v>
      </c>
      <c r="B99" s="37" t="n">
        <v>46265</v>
      </c>
      <c r="C99" s="33" t="inlineStr">
        <is>
          <t>Other</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Pending</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n"/>
      <c r="Y99" s="33" t="inlineStr">
        <is>
          <t>EventWatch Ops - Nitin Rindhe</t>
        </is>
      </c>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Event Identification</t>
        </is>
      </c>
      <c r="K100" s="33" t="inlineStr">
        <is>
          <t>Improvement</t>
        </is>
      </c>
      <c r="L100" s="33" t="inlineStr">
        <is>
          <t>Pending</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n"/>
      <c r="Y100" s="33" t="inlineStr">
        <is>
          <t>EventWatch Ops - Nitin Rindhe</t>
        </is>
      </c>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Pending</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n"/>
      <c r="Y101" s="33" t="inlineStr">
        <is>
          <t>EventWatch Ops - Nitin Rindhe</t>
        </is>
      </c>
    </row>
    <row r="102">
      <c r="A102" s="35" t="n">
        <v>46266</v>
      </c>
      <c r="B102" s="37" t="n">
        <v>46272</v>
      </c>
      <c r="C102" s="33" t="inlineStr">
        <is>
          <t>Other</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Pending</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n"/>
      <c r="Y102" s="33" t="inlineStr">
        <is>
          <t>Product &amp; Platform</t>
        </is>
      </c>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Missed Event</t>
        </is>
      </c>
      <c r="I103" s="33" t="inlineStr">
        <is>
          <t>Product</t>
        </is>
      </c>
      <c r="J103" s="33" t="inlineStr">
        <is>
          <t>Source Coverage</t>
        </is>
      </c>
      <c r="K103" s="33" t="inlineStr">
        <is>
          <t>Improvement</t>
        </is>
      </c>
      <c r="L103" s="33" t="inlineStr">
        <is>
          <t>Pending</t>
        </is>
      </c>
      <c r="M103" s="33" t="inlineStr">
        <is>
          <t>Japanese-language and regional weather source coverage for localized record-rainfall events</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n"/>
      <c r="Q103" s="33" t="inlineStr">
        <is>
          <t>Yes</t>
        </is>
      </c>
      <c r="R103" s="39" t="n">
        <v>9</v>
      </c>
      <c r="S103" s="39" t="n"/>
      <c r="T103" s="35" t="inlineStr">
        <is>
          <t>Sep 2026</t>
        </is>
      </c>
      <c r="U103" s="33" t="inlineStr">
        <is>
          <t>Medium</t>
        </is>
      </c>
      <c r="V103" s="33" t="inlineStr">
        <is>
          <t>Dynamic Source Discovery</t>
        </is>
      </c>
      <c r="W103" s="33" t="inlineStr">
        <is>
          <t>EAO-37</t>
        </is>
      </c>
      <c r="X103" s="33" t="n"/>
      <c r="Y103" s="33" t="inlineStr">
        <is>
          <t>Product &amp; Platform</t>
        </is>
      </c>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Pending</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n"/>
      <c r="Y104" s="33" t="inlineStr">
        <is>
          <t>EventWatch Ops - Nitin Rindhe</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0"/>
  <sheetViews>
    <sheetView showGridLines="0" workbookViewId="0">
      <pane ySplit="2" topLeftCell="E69"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25" t="inlineStr">
        <is>
          <t>Total</t>
        </is>
      </c>
      <c r="B59" s="26">
        <f>SUM(B50:B58)</f>
        <v/>
      </c>
      <c r="C59" s="26">
        <f>SUM(C50:C58)</f>
        <v/>
      </c>
      <c r="D59" s="3" t="n"/>
      <c r="E59" s="3" t="n"/>
      <c r="F59" s="3" t="n"/>
      <c r="G59" s="3" t="n"/>
      <c r="H59" s="3" t="n"/>
      <c r="I59" s="3" t="n"/>
      <c r="J59" s="3" t="n"/>
      <c r="K59" s="3" t="n"/>
      <c r="L59" s="3" t="n"/>
      <c r="M59" s="3" t="n"/>
      <c r="N59" s="3" t="n"/>
      <c r="O59" s="3" t="n"/>
      <c r="P59" s="3" t="n"/>
      <c r="Q59" s="3" t="n"/>
      <c r="R59"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23.25" customHeight="1">
      <c r="A62" s="88" t="inlineStr">
        <is>
          <t>SOURCE 05 · Top customers</t>
        </is>
      </c>
      <c r="D62" s="3" t="n"/>
      <c r="E62" s="88" t="inlineStr">
        <is>
          <t>SOURCE 06 · Automation focus</t>
        </is>
      </c>
      <c r="H62" s="3" t="n"/>
      <c r="I62" s="88" t="inlineStr">
        <is>
          <t>DETAIL · Event type workload</t>
        </is>
      </c>
    </row>
    <row r="63" ht="18" customHeight="1">
      <c r="A63" s="15" t="inlineStr">
        <is>
          <t>Customer</t>
        </is>
      </c>
      <c r="B63" s="15" t="inlineStr">
        <is>
          <t>Complaints</t>
        </is>
      </c>
      <c r="C63" s="15" t="inlineStr">
        <is>
          <t>% of Complaints</t>
        </is>
      </c>
      <c r="D63" s="3" t="n"/>
      <c r="E63" s="15" t="inlineStr">
        <is>
          <t>Automation Focus</t>
        </is>
      </c>
      <c r="F63" s="15" t="inlineStr">
        <is>
          <t>Complaints</t>
        </is>
      </c>
      <c r="G63" s="15" t="inlineStr">
        <is>
          <t>% of Complaints</t>
        </is>
      </c>
      <c r="H63" s="3" t="n"/>
      <c r="I63" s="15" t="inlineStr">
        <is>
          <t>Event Type</t>
        </is>
      </c>
      <c r="J63" s="15" t="inlineStr">
        <is>
          <t>Complaints</t>
        </is>
      </c>
      <c r="K63" s="15" t="inlineStr">
        <is>
          <t>Inquiries</t>
        </is>
      </c>
      <c r="L63" s="16" t="inlineStr">
        <is>
          <t>Total</t>
        </is>
      </c>
    </row>
    <row r="64" ht="23.25" customHeight="1">
      <c r="A64" s="18" t="str" cm="1">
        <f t="array" ref="A64:A73">_xlfn.LET(_xlpm.u,_xlfn.UNIQUE(_xlfn._xlws.FILTER(ComplaintTracker[Customer],ComplaintTracker[Issue Type]="Complaint")),_xlfn.TAKE(_xlfn.SORTBY(_xlpm.u,COUNTIFS(ComplaintTracker[Issue Type],"Complaint",ComplaintTracker[Customer],_xlpm.u),-1,_xlpm.u,1),10))</f>
        <v>Ford</v>
      </c>
      <c r="B64" s="21" t="n" cm="1">
        <f t="array" ref="B64:B73">COUNTIFS(ComplaintTracker[Issue Type],"Complaint",ComplaintTracker[Customer],_xlfn.ANCHORARRAY(A64))</f>
        <v>32</v>
      </c>
      <c r="C64" s="23" t="n" cm="1">
        <f t="array" ref="C64:C73">_xlfn.ANCHORARRAY(B64)/COUNTIF(ComplaintTracker[Issue Type],"Complaint")</f>
        <v>0.35555555555555557</v>
      </c>
      <c r="D64" s="3" t="n"/>
      <c r="E64" s="18" t="inlineStr">
        <is>
          <t>WarRoom &amp; Decision Validation</t>
        </is>
      </c>
      <c r="F64" s="21">
        <f>COUNTIFS(ComplaintTracker[Issue Type],"Complaint",ComplaintTracker[Standard Automation Focus],E64)</f>
        <v/>
      </c>
      <c r="G64" s="23">
        <f>F64/COUNTIF(ComplaintTracker[Issue Type],"Complaint")</f>
        <v/>
      </c>
      <c r="H64" s="3" t="n"/>
      <c r="I64" s="18" t="str" cm="1">
        <f t="array" ref="I64:L87">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4" s="75" t="n">
        <v>10</v>
      </c>
      <c r="K64" s="75" t="n">
        <v>0</v>
      </c>
      <c r="L64" s="75" t="n">
        <v>10</v>
      </c>
    </row>
    <row r="65" ht="23.25" customHeight="1">
      <c r="A65" s="20" t="inlineStr">
        <is>
          <t>Eaton</t>
        </is>
      </c>
      <c r="B65" s="22" t="n">
        <v>12</v>
      </c>
      <c r="C65" s="24" t="n">
        <v>0.13333333333333333</v>
      </c>
      <c r="D65" s="3" t="n"/>
      <c r="E65" s="20" t="inlineStr">
        <is>
          <t>Dynamic Source Discovery</t>
        </is>
      </c>
      <c r="F65" s="22">
        <f>COUNTIFS(ComplaintTracker[Issue Type],"Complaint",ComplaintTracker[Standard Automation Focus],E65)</f>
        <v/>
      </c>
      <c r="G65" s="24">
        <f>F65/COUNTIF(ComplaintTracker[Issue Type],"Complaint")</f>
        <v/>
      </c>
      <c r="H65" s="3" t="n"/>
      <c r="I65" s="20" t="inlineStr">
        <is>
          <t>Chemical Spill</t>
        </is>
      </c>
      <c r="J65" s="76" t="n">
        <v>1</v>
      </c>
      <c r="K65" s="76" t="n">
        <v>0</v>
      </c>
      <c r="L65" s="76" t="n">
        <v>1</v>
      </c>
    </row>
    <row r="66" ht="18" customHeight="1">
      <c r="A66" s="20" t="inlineStr">
        <is>
          <t>Caterpillar</t>
        </is>
      </c>
      <c r="B66" s="22" t="n">
        <v>7</v>
      </c>
      <c r="C66" s="24" t="n">
        <v>0.07777777777777778</v>
      </c>
      <c r="D66" s="3" t="n"/>
      <c r="E66" s="20" t="inlineStr">
        <is>
          <t>Multilingual Keyword Expansion</t>
        </is>
      </c>
      <c r="F66" s="22">
        <f>COUNTIFS(ComplaintTracker[Issue Type],"Complaint",ComplaintTracker[Standard Automation Focus],E66)</f>
        <v/>
      </c>
      <c r="G66" s="24">
        <f>F66/COUNTIF(ComplaintTracker[Issue Type],"Complaint")</f>
        <v/>
      </c>
      <c r="H66" s="3" t="n"/>
      <c r="I66" s="20" t="inlineStr">
        <is>
          <t>Cyber Attack</t>
        </is>
      </c>
      <c r="J66" s="76" t="n">
        <v>14</v>
      </c>
      <c r="K66" s="76" t="n">
        <v>0</v>
      </c>
      <c r="L66" s="76" t="n">
        <v>14</v>
      </c>
    </row>
    <row r="67" ht="23.25" customHeight="1">
      <c r="A67" s="20" t="inlineStr">
        <is>
          <t>Collins Aerospace</t>
        </is>
      </c>
      <c r="B67" s="22" t="n">
        <v>4</v>
      </c>
      <c r="C67" s="24" t="n">
        <v>0.044444444444444446</v>
      </c>
      <c r="D67" s="3" t="n"/>
      <c r="E67" s="20" t="inlineStr">
        <is>
          <t>Other Control Automation</t>
        </is>
      </c>
      <c r="F67" s="22">
        <f>COUNTIFS(ComplaintTracker[Issue Type],"Complaint",ComplaintTracker[Standard Automation Focus],E67)</f>
        <v/>
      </c>
      <c r="G67" s="24">
        <f>F67/COUNTIF(ComplaintTracker[Issue Type],"Complaint")</f>
        <v/>
      </c>
      <c r="H67" s="3" t="n"/>
      <c r="I67" s="20" t="inlineStr">
        <is>
          <t>Earthquake</t>
        </is>
      </c>
      <c r="J67" s="76" t="n">
        <v>2</v>
      </c>
      <c r="K67" s="76" t="n">
        <v>1</v>
      </c>
      <c r="L67" s="76" t="n">
        <v>3</v>
      </c>
    </row>
    <row r="68" ht="23.25" customHeight="1">
      <c r="A68" s="20" t="inlineStr">
        <is>
          <t>GM</t>
        </is>
      </c>
      <c r="B68" s="22" t="n">
        <v>4</v>
      </c>
      <c r="C68" s="24" t="n">
        <v>0.044444444444444446</v>
      </c>
      <c r="D68" s="3" t="n"/>
      <c r="E68" s="20" t="inlineStr">
        <is>
          <t>Entity &amp; Supplier Resolution</t>
        </is>
      </c>
      <c r="F68" s="22">
        <f>COUNTIFS(ComplaintTracker[Issue Type],"Complaint",ComplaintTracker[Standard Automation Focus],E68)</f>
        <v/>
      </c>
      <c r="G68" s="24">
        <f>F68/COUNTIF(ComplaintTracker[Issue Type],"Complaint")</f>
        <v/>
      </c>
      <c r="H68" s="3" t="n"/>
      <c r="I68" s="20" t="inlineStr">
        <is>
          <t>Extreme Weather</t>
        </is>
      </c>
      <c r="J68" s="76" t="n">
        <v>9</v>
      </c>
      <c r="K68" s="76" t="n">
        <v>0</v>
      </c>
      <c r="L68" s="76" t="n">
        <v>9</v>
      </c>
    </row>
    <row r="69" ht="18" customHeight="1">
      <c r="A69" s="20" t="inlineStr">
        <is>
          <t>Ford/GM</t>
        </is>
      </c>
      <c r="B69" s="22" t="n">
        <v>3</v>
      </c>
      <c r="C69" s="24" t="n">
        <v>0.03333333333333333</v>
      </c>
      <c r="D69" s="3" t="n"/>
      <c r="E69" s="20" t="inlineStr">
        <is>
          <t>AI-Assisted Geofencing</t>
        </is>
      </c>
      <c r="F69" s="22">
        <f>COUNTIFS(ComplaintTracker[Issue Type],"Complaint",ComplaintTracker[Standard Automation Focus],E69)</f>
        <v/>
      </c>
      <c r="G69" s="24">
        <f>F69/COUNTIF(ComplaintTracker[Issue Type],"Complaint")</f>
        <v/>
      </c>
      <c r="H69" s="3" t="n"/>
      <c r="I69" s="20" t="inlineStr">
        <is>
          <t>Factory Closure</t>
        </is>
      </c>
      <c r="J69" s="76" t="n">
        <v>1</v>
      </c>
      <c r="K69" s="76" t="n">
        <v>0</v>
      </c>
      <c r="L69" s="76" t="n">
        <v>1</v>
      </c>
    </row>
    <row r="70" ht="23.25" customHeight="1">
      <c r="A70" s="20" t="inlineStr">
        <is>
          <t>Hitachi</t>
        </is>
      </c>
      <c r="B70" s="22" t="n">
        <v>2</v>
      </c>
      <c r="C70" s="24" t="n">
        <v>0.022222222222222223</v>
      </c>
      <c r="D70" s="3" t="n"/>
      <c r="E70" s="20" t="inlineStr">
        <is>
          <t>Cluster Integrity &amp; Duplicate Prevention</t>
        </is>
      </c>
      <c r="F70" s="22">
        <f>COUNTIFS(ComplaintTracker[Issue Type],"Complaint",ComplaintTracker[Standard Automation Focus],E70)</f>
        <v/>
      </c>
      <c r="G70" s="24">
        <f>F70/COUNTIF(ComplaintTracker[Issue Type],"Complaint")</f>
        <v/>
      </c>
      <c r="H70" s="3" t="n"/>
      <c r="I70" s="20" t="inlineStr">
        <is>
          <t>Factory Disruption</t>
        </is>
      </c>
      <c r="J70" s="76" t="n">
        <v>1</v>
      </c>
      <c r="K70" s="76" t="n">
        <v>0</v>
      </c>
      <c r="L70" s="76" t="n">
        <v>1</v>
      </c>
    </row>
    <row r="71" ht="23.25" customHeight="1">
      <c r="A71" s="20" t="inlineStr">
        <is>
          <t>Merck</t>
        </is>
      </c>
      <c r="B71" s="22" t="n">
        <v>2</v>
      </c>
      <c r="C71" s="24" t="n">
        <v>0.022222222222222223</v>
      </c>
      <c r="D71" s="3" t="n"/>
      <c r="E71" s="20" t="inlineStr">
        <is>
          <t>Automated Industry Tagging</t>
        </is>
      </c>
      <c r="F71" s="22">
        <f>COUNTIFS(ComplaintTracker[Issue Type],"Complaint",ComplaintTracker[Standard Automation Focus],E71)</f>
        <v/>
      </c>
      <c r="G71" s="24">
        <f>F71/COUNTIF(ComplaintTracker[Issue Type],"Complaint")</f>
        <v/>
      </c>
      <c r="H71" s="3" t="n"/>
      <c r="I71" s="20" t="inlineStr">
        <is>
          <t>Factory Fire</t>
        </is>
      </c>
      <c r="J71" s="76" t="n">
        <v>12</v>
      </c>
      <c r="K71" s="76" t="n">
        <v>2</v>
      </c>
      <c r="L71" s="76" t="n">
        <v>14</v>
      </c>
    </row>
    <row r="72" ht="18" customHeight="1">
      <c r="A72" s="20" t="inlineStr">
        <is>
          <t>Schneider Electric</t>
        </is>
      </c>
      <c r="B72" s="22" t="n">
        <v>2</v>
      </c>
      <c r="C72" s="24" t="n">
        <v>0.022222222222222223</v>
      </c>
      <c r="D72" s="3" t="n"/>
      <c r="E72" s="20" t="inlineStr">
        <is>
          <t>Notification Visibility Monitoring</t>
        </is>
      </c>
      <c r="F72" s="22">
        <f>COUNTIFS(ComplaintTracker[Issue Type],"Complaint",ComplaintTracker[Standard Automation Focus],E72)</f>
        <v/>
      </c>
      <c r="G72" s="24">
        <f>F72/COUNTIF(ComplaintTracker[Issue Type],"Complaint")</f>
        <v/>
      </c>
      <c r="H72" s="3" t="n"/>
      <c r="I72" s="20" t="inlineStr">
        <is>
          <t>Financial Distress</t>
        </is>
      </c>
      <c r="J72" s="76" t="n">
        <v>1</v>
      </c>
      <c r="K72" s="76" t="n">
        <v>0</v>
      </c>
      <c r="L72" s="76" t="n">
        <v>1</v>
      </c>
    </row>
    <row r="73" ht="23.25" customHeight="1">
      <c r="A73" s="20" t="inlineStr">
        <is>
          <t>UVM Health Network</t>
        </is>
      </c>
      <c r="B73" s="22" t="n">
        <v>2</v>
      </c>
      <c r="C73" s="24" t="n">
        <v>0.022222222222222223</v>
      </c>
      <c r="D73" s="3" t="n"/>
      <c r="E73" s="25" t="inlineStr">
        <is>
          <t>Total</t>
        </is>
      </c>
      <c r="F73" s="26">
        <f>SUM(F64:F72)</f>
        <v/>
      </c>
      <c r="G73" s="27">
        <f>SUM(G64:G72)</f>
        <v/>
      </c>
      <c r="H73" s="3" t="n"/>
      <c r="I73" s="20" t="inlineStr">
        <is>
          <t>Geopolitical</t>
        </is>
      </c>
      <c r="J73" s="76" t="n">
        <v>6</v>
      </c>
      <c r="K73" s="76" t="n">
        <v>0</v>
      </c>
      <c r="L73" s="76" t="n">
        <v>6</v>
      </c>
    </row>
    <row r="74" ht="23.25" customHeight="1">
      <c r="A74" s="20" t="inlineStr">
        <is>
          <t>Other customers</t>
        </is>
      </c>
      <c r="B74" s="22">
        <f>COUNTIF(ComplaintTracker[Issue Type],"Complaint")-SUM(B64:B73)</f>
        <v/>
      </c>
      <c r="C74" s="24">
        <f>B74/COUNTIF(ComplaintTracker[Issue Type],"Complaint")</f>
        <v/>
      </c>
      <c r="D74" s="3" t="n"/>
      <c r="E74" s="3" t="n"/>
      <c r="F74" s="3" t="n"/>
      <c r="G74" s="3" t="n"/>
      <c r="H74" s="3" t="n"/>
      <c r="I74" s="20" t="inlineStr">
        <is>
          <t>Hurricane/Typhoon</t>
        </is>
      </c>
      <c r="J74" s="76" t="n">
        <v>1</v>
      </c>
      <c r="K74" s="76" t="n">
        <v>0</v>
      </c>
      <c r="L74" s="76" t="n">
        <v>1</v>
      </c>
    </row>
    <row r="75" ht="18" customHeight="1">
      <c r="A75" s="25" t="inlineStr">
        <is>
          <t>Total</t>
        </is>
      </c>
      <c r="B75" s="26">
        <f>SUM(B64:B74)</f>
        <v/>
      </c>
      <c r="C75" s="27">
        <f>SUM(C64:C74)</f>
        <v/>
      </c>
      <c r="D75" s="3" t="n"/>
      <c r="E75" s="3" t="n"/>
      <c r="F75" s="3" t="n"/>
      <c r="G75" s="3" t="n"/>
      <c r="H75" s="3" t="n"/>
      <c r="I75" s="20" t="inlineStr">
        <is>
          <t>Labor Disruption</t>
        </is>
      </c>
      <c r="J75" s="76" t="n">
        <v>5</v>
      </c>
      <c r="K75" s="76" t="n">
        <v>0</v>
      </c>
      <c r="L75" s="76" t="n">
        <v>5</v>
      </c>
    </row>
    <row r="76" ht="23.25" customHeight="1">
      <c r="A76" s="3" t="n"/>
      <c r="B76" s="3" t="n"/>
      <c r="C76" s="3" t="n"/>
      <c r="D76" s="3" t="n"/>
      <c r="E76" s="3" t="n"/>
      <c r="F76" s="3" t="n"/>
      <c r="G76" s="3" t="n"/>
      <c r="H76" s="3" t="n"/>
      <c r="I76" s="20" t="inlineStr">
        <is>
          <t>Leadership Transition</t>
        </is>
      </c>
      <c r="J76" s="76" t="n">
        <v>1</v>
      </c>
      <c r="K76" s="76" t="n">
        <v>0</v>
      </c>
      <c r="L76" s="76" t="n">
        <v>1</v>
      </c>
    </row>
    <row r="77" ht="23.25" customHeight="1">
      <c r="A77" s="3" t="n"/>
      <c r="B77" s="3" t="n"/>
      <c r="C77" s="3" t="n"/>
      <c r="D77" s="3" t="n"/>
      <c r="E77" s="3" t="n"/>
      <c r="F77" s="3" t="n"/>
      <c r="G77" s="3" t="n"/>
      <c r="H77" s="3" t="n"/>
      <c r="I77" s="20" t="inlineStr">
        <is>
          <t>Litigation/Legal</t>
        </is>
      </c>
      <c r="J77" s="76" t="n">
        <v>1</v>
      </c>
      <c r="K77" s="76" t="n">
        <v>0</v>
      </c>
      <c r="L77" s="76" t="n">
        <v>1</v>
      </c>
    </row>
    <row r="78" ht="18" customHeight="1">
      <c r="A78" s="3" t="n"/>
      <c r="B78" s="3" t="n"/>
      <c r="C78" s="3" t="n"/>
      <c r="D78" s="3" t="n"/>
      <c r="E78" s="3" t="n"/>
      <c r="F78" s="3" t="n"/>
      <c r="G78" s="3" t="n"/>
      <c r="H78" s="3" t="n"/>
      <c r="I78" s="20" t="inlineStr">
        <is>
          <t>Merger &amp; Acquisition</t>
        </is>
      </c>
      <c r="J78" s="76" t="n">
        <v>3</v>
      </c>
      <c r="K78" s="76" t="n">
        <v>1</v>
      </c>
      <c r="L78" s="76" t="n">
        <v>4</v>
      </c>
    </row>
    <row r="79" ht="23.25" customHeight="1">
      <c r="A79" s="3" t="n"/>
      <c r="B79" s="3" t="n"/>
      <c r="C79" s="3" t="n"/>
      <c r="D79" s="3" t="n"/>
      <c r="E79" s="3" t="n"/>
      <c r="F79" s="3" t="n"/>
      <c r="G79" s="3" t="n"/>
      <c r="H79" s="3" t="n"/>
      <c r="I79" s="20" t="inlineStr">
        <is>
          <t>Other</t>
        </is>
      </c>
      <c r="J79" s="76" t="n">
        <v>3</v>
      </c>
      <c r="K79" s="76" t="n">
        <v>3</v>
      </c>
      <c r="L79" s="76" t="n">
        <v>6</v>
      </c>
    </row>
    <row r="80" ht="23.25" customHeight="1">
      <c r="A80" s="3" t="n"/>
      <c r="B80" s="3" t="n"/>
      <c r="C80" s="3" t="n"/>
      <c r="D80" s="3" t="n"/>
      <c r="E80" s="3" t="n"/>
      <c r="F80" s="3" t="n"/>
      <c r="G80" s="3" t="n"/>
      <c r="H80" s="3" t="n"/>
      <c r="I80" s="20" t="inlineStr">
        <is>
          <t>Protest/Riot</t>
        </is>
      </c>
      <c r="J80" s="76" t="n">
        <v>5</v>
      </c>
      <c r="K80" s="76" t="n">
        <v>0</v>
      </c>
      <c r="L80" s="76" t="n">
        <v>5</v>
      </c>
    </row>
    <row r="81" ht="18" customHeight="1">
      <c r="A81" s="3" t="n"/>
      <c r="B81" s="3" t="n"/>
      <c r="C81" s="3" t="n"/>
      <c r="D81" s="3" t="n"/>
      <c r="E81" s="3" t="n"/>
      <c r="F81" s="3" t="n"/>
      <c r="G81" s="3" t="n"/>
      <c r="H81" s="3" t="n"/>
      <c r="I81" s="20" t="inlineStr">
        <is>
          <t>Regulatory Change</t>
        </is>
      </c>
      <c r="J81" s="76" t="n">
        <v>6</v>
      </c>
      <c r="K81" s="76" t="n">
        <v>0</v>
      </c>
      <c r="L81" s="76" t="n">
        <v>6</v>
      </c>
    </row>
    <row r="82" ht="23.25" customHeight="1">
      <c r="A82" s="3" t="n"/>
      <c r="B82" s="3" t="n"/>
      <c r="C82" s="3" t="n"/>
      <c r="D82" s="3" t="n"/>
      <c r="E82" s="3" t="n"/>
      <c r="F82" s="3" t="n"/>
      <c r="G82" s="3" t="n"/>
      <c r="H82" s="3" t="n"/>
      <c r="I82" s="20" t="inlineStr">
        <is>
          <t>Supply Shortage</t>
        </is>
      </c>
      <c r="J82" s="76" t="n">
        <v>3</v>
      </c>
      <c r="K82" s="76" t="n">
        <v>3</v>
      </c>
      <c r="L82" s="76" t="n">
        <v>6</v>
      </c>
    </row>
    <row r="83" ht="23.25" customHeight="1">
      <c r="A83" s="3" t="n"/>
      <c r="B83" s="3" t="n"/>
      <c r="C83" s="3" t="n"/>
      <c r="D83" s="3" t="n"/>
      <c r="E83" s="3" t="n"/>
      <c r="F83" s="3" t="n"/>
      <c r="G83" s="3" t="n"/>
      <c r="H83" s="3" t="n"/>
      <c r="I83" s="20" t="inlineStr">
        <is>
          <t>Tornado</t>
        </is>
      </c>
      <c r="J83" s="76" t="n">
        <v>1</v>
      </c>
      <c r="K83" s="76" t="n">
        <v>0</v>
      </c>
      <c r="L83" s="76" t="n">
        <v>1</v>
      </c>
    </row>
    <row r="84" ht="18" customHeight="1">
      <c r="A84" s="3" t="n"/>
      <c r="B84" s="3" t="n"/>
      <c r="C84" s="3" t="n"/>
      <c r="D84" s="3" t="n"/>
      <c r="E84" s="3" t="n"/>
      <c r="F84" s="3" t="n"/>
      <c r="G84" s="3" t="n"/>
      <c r="H84" s="3" t="n"/>
      <c r="I84" s="20" t="inlineStr">
        <is>
          <t>Transport Disruption</t>
        </is>
      </c>
      <c r="J84" s="76" t="n">
        <v>1</v>
      </c>
      <c r="K84" s="76" t="n">
        <v>1</v>
      </c>
      <c r="L84" s="76" t="n">
        <v>2</v>
      </c>
      <c r="M84" s="3" t="n"/>
      <c r="N84" s="3" t="n"/>
      <c r="O84" s="3" t="n"/>
      <c r="P84" s="3" t="n"/>
      <c r="Q84" s="3" t="n"/>
      <c r="R84" s="3" t="n"/>
    </row>
    <row r="85" ht="18" customHeight="1">
      <c r="A85" s="3" t="n"/>
      <c r="B85" s="3" t="n"/>
      <c r="C85" s="3" t="n"/>
      <c r="D85" s="3" t="n"/>
      <c r="E85" s="3" t="n"/>
      <c r="F85" s="3" t="n"/>
      <c r="G85" s="3" t="n"/>
      <c r="H85" s="3" t="n"/>
      <c r="I85" s="20" t="inlineStr">
        <is>
          <t>WarRoom Operations</t>
        </is>
      </c>
      <c r="J85" s="76" t="n">
        <v>0</v>
      </c>
      <c r="K85" s="76" t="n">
        <v>1</v>
      </c>
      <c r="L85" s="76" t="n">
        <v>1</v>
      </c>
      <c r="M85" s="3" t="n"/>
      <c r="N85" s="3" t="n"/>
      <c r="O85" s="3" t="n"/>
      <c r="P85" s="3" t="n"/>
      <c r="Q85" s="3" t="n"/>
      <c r="R85" s="3" t="n"/>
    </row>
    <row r="86" ht="18" customHeight="1">
      <c r="A86" s="3" t="n"/>
      <c r="B86" s="3" t="n"/>
      <c r="C86" s="3" t="n"/>
      <c r="D86" s="3" t="n"/>
      <c r="E86" s="3" t="n"/>
      <c r="F86" s="3" t="n"/>
      <c r="G86" s="3" t="n"/>
      <c r="H86" s="3" t="n"/>
      <c r="I86" s="20" t="inlineStr">
        <is>
          <t>Wildfire</t>
        </is>
      </c>
      <c r="J86" s="76" t="n">
        <v>3</v>
      </c>
      <c r="K86" s="76" t="n">
        <v>1</v>
      </c>
      <c r="L86" s="76" t="n">
        <v>4</v>
      </c>
      <c r="M86" s="3" t="n"/>
      <c r="N86" s="3" t="n"/>
      <c r="O86" s="3" t="n"/>
      <c r="P86" s="3" t="n"/>
      <c r="Q86" s="3" t="n"/>
      <c r="R86" s="3" t="n"/>
    </row>
    <row r="87" ht="18" customHeight="1">
      <c r="A87" s="3" t="n"/>
      <c r="B87" s="3" t="n"/>
      <c r="C87" s="3" t="n"/>
      <c r="D87" s="3" t="n"/>
      <c r="E87" s="3" t="n"/>
      <c r="F87" s="3" t="n"/>
      <c r="G87" s="3" t="n"/>
      <c r="H87" s="3" t="n"/>
      <c r="I87" s="25" t="inlineStr">
        <is>
          <t>Total</t>
        </is>
      </c>
      <c r="J87" s="77" t="n">
        <v>90</v>
      </c>
      <c r="K87" s="77" t="n">
        <v>13</v>
      </c>
      <c r="L87" s="77" t="n">
        <v>103</v>
      </c>
      <c r="M87" s="3" t="n"/>
      <c r="N87" s="3" t="n"/>
      <c r="O87" s="3" t="n"/>
      <c r="P87" s="3" t="n"/>
      <c r="Q87" s="3" t="n"/>
      <c r="R87" s="3" t="n"/>
    </row>
    <row r="88" ht="18" customHeight="1">
      <c r="A88" s="3" t="n"/>
      <c r="B88" s="3" t="n"/>
      <c r="C88" s="3" t="n"/>
      <c r="D88" s="3" t="n"/>
      <c r="E88" s="3" t="n"/>
      <c r="F88" s="3" t="n"/>
      <c r="G88" s="3" t="n"/>
      <c r="H88" s="3" t="n"/>
      <c r="I88" s="3" t="n"/>
      <c r="J88" s="78" t="n"/>
      <c r="K88" s="78" t="n"/>
      <c r="L88" s="78" t="n"/>
      <c r="M88" s="3" t="n"/>
      <c r="N88" s="3" t="n"/>
      <c r="O88" s="3" t="n"/>
      <c r="P88" s="3" t="n"/>
      <c r="Q88" s="3" t="n"/>
      <c r="R88" s="3" t="n"/>
    </row>
    <row r="89" ht="18" customHeight="1">
      <c r="A89" s="3" t="n"/>
      <c r="B89" s="3" t="n"/>
      <c r="C89" s="3" t="n"/>
      <c r="D89" s="3" t="n"/>
      <c r="E89" s="3" t="n"/>
      <c r="F89" s="3" t="n"/>
      <c r="G89" s="3" t="n"/>
      <c r="H89" s="3" t="n"/>
      <c r="I89" s="3" t="n"/>
      <c r="J89" s="78" t="n"/>
      <c r="K89" s="78" t="n"/>
      <c r="L89" s="78" t="n"/>
      <c r="M89" s="3" t="n"/>
      <c r="N89" s="3" t="n"/>
      <c r="O89" s="3" t="n"/>
      <c r="P89" s="3" t="n"/>
      <c r="Q89" s="3" t="n"/>
      <c r="R89" s="3" t="n"/>
    </row>
    <row r="90" ht="18" customHeight="1">
      <c r="A90" s="3" t="n"/>
      <c r="B90" s="3" t="n"/>
      <c r="C90" s="3" t="n"/>
      <c r="D90" s="3" t="n"/>
      <c r="E90" s="3" t="n"/>
      <c r="F90" s="3" t="n"/>
      <c r="G90" s="3" t="n"/>
      <c r="H90" s="3" t="n"/>
      <c r="I90" s="3" t="n"/>
      <c r="J90" s="78" t="n"/>
      <c r="K90" s="78" t="n"/>
      <c r="L90" s="78" t="n"/>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3" t="n"/>
      <c r="K101" s="3" t="n"/>
      <c r="L101" s="3" t="n"/>
      <c r="M101" s="3" t="n"/>
      <c r="N101" s="3" t="n"/>
      <c r="O101" s="3" t="n"/>
      <c r="P101" s="3" t="n"/>
      <c r="Q101" s="3" t="n"/>
      <c r="R101" s="3" t="n"/>
    </row>
    <row r="102" ht="18" customHeight="1">
      <c r="A102" s="3" t="n"/>
      <c r="B102" s="3" t="n"/>
      <c r="C102" s="3" t="n"/>
      <c r="D102" s="3" t="n"/>
      <c r="E102" s="3" t="n"/>
      <c r="F102" s="3" t="n"/>
      <c r="G102" s="3" t="n"/>
      <c r="H102" s="3" t="n"/>
      <c r="I102" s="3" t="n"/>
      <c r="J102" s="3" t="n"/>
      <c r="K102" s="3" t="n"/>
      <c r="L102" s="3" t="n"/>
      <c r="M102" s="3" t="n"/>
      <c r="N102" s="3" t="n"/>
      <c r="O102" s="3" t="n"/>
      <c r="P102" s="3" t="n"/>
      <c r="Q102" s="3" t="n"/>
      <c r="R102" s="3" t="n"/>
    </row>
    <row r="103" ht="18" customHeight="1">
      <c r="A103" s="3" t="n"/>
      <c r="B103" s="3" t="n"/>
      <c r="C103" s="3" t="n"/>
      <c r="D103" s="3" t="n"/>
      <c r="E103" s="3" t="n"/>
      <c r="F103" s="3" t="n"/>
      <c r="G103" s="3" t="n"/>
      <c r="H103" s="3" t="n"/>
      <c r="I103" s="3" t="n"/>
      <c r="J103" s="3" t="n"/>
      <c r="K103" s="3" t="n"/>
      <c r="L103" s="3"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32" ht="18.75" customHeight="1"/>
  </sheetData>
  <mergeCells count="28">
    <mergeCell ref="A27:F27"/>
    <mergeCell ref="A46:R46"/>
    <mergeCell ref="J4:L4"/>
    <mergeCell ref="M27:R27"/>
    <mergeCell ref="A2:R2"/>
    <mergeCell ref="D4:F4"/>
    <mergeCell ref="I48:K48"/>
    <mergeCell ref="A62:C62"/>
    <mergeCell ref="D5:F7"/>
    <mergeCell ref="G4:I4"/>
    <mergeCell ref="A4:C4"/>
    <mergeCell ref="A5:C7"/>
    <mergeCell ref="G5:I7"/>
    <mergeCell ref="M4:O4"/>
    <mergeCell ref="A9:F9"/>
    <mergeCell ref="G9:L9"/>
    <mergeCell ref="P4:R4"/>
    <mergeCell ref="A48:C48"/>
    <mergeCell ref="E62:G62"/>
    <mergeCell ref="G27:L27"/>
    <mergeCell ref="J5:L7"/>
    <mergeCell ref="P5:R7"/>
    <mergeCell ref="M9:R9"/>
    <mergeCell ref="M5:O7"/>
    <mergeCell ref="M48:O48"/>
    <mergeCell ref="E48:G48"/>
    <mergeCell ref="A1:R1"/>
    <mergeCell ref="I62:L62"/>
  </mergeCells>
  <conditionalFormatting sqref="B64:B74">
    <cfRule type="dataBar" priority="1">
      <dataBar>
        <cfvo type="min"/>
        <cfvo type="max"/>
        <color rgb="FF638EC6"/>
      </dataBar>
    </cfRule>
  </conditionalFormatting>
  <conditionalFormatting sqref="F64:F72">
    <cfRule type="dataBar" priority="2">
      <dataBar>
        <cfvo type="min"/>
        <cfvo type="max"/>
        <color rgb="FF638EC6"/>
      </dataBar>
    </cfRule>
  </conditionalFormatting>
  <conditionalFormatting sqref="J64:J83">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9"/>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tornadoes, typhoons, flooding, or snowstorms.</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