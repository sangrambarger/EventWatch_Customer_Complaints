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Dashboard!$B$50:$B$61</f>
              <numCache>
                <formatCode>General</formatCode>
                <ptCount val="12"/>
                <pt idx="0">
                  <v>4</v>
                </pt>
                <pt idx="1">
                  <v>9</v>
                </pt>
                <pt idx="2">
                  <v>13</v>
                </pt>
                <pt idx="3">
                  <v>12</v>
                </pt>
                <pt idx="4">
                  <v>17</v>
                </pt>
                <pt idx="5">
                  <v>9</v>
                </pt>
                <pt idx="6">
                  <v>7</v>
                </pt>
                <pt idx="7">
                  <v>15</v>
                </pt>
                <pt idx="8">
                  <v>4</v>
                </pt>
                <pt idx="9">
                  <v>0</v>
                </pt>
                <pt idx="10">
                  <v>0</v>
                </pt>
                <pt idx="11">
                  <v>0</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Dashboard!$C$50:$C$61</f>
              <numCache>
                <formatCode>General</formatCode>
                <ptCount val="12"/>
                <pt idx="0">
                  <v>0</v>
                </pt>
                <pt idx="1">
                  <v>0</v>
                </pt>
                <pt idx="2">
                  <v>1</v>
                </pt>
                <pt idx="3">
                  <v>1</v>
                </pt>
                <pt idx="4">
                  <v>1</v>
                </pt>
                <pt idx="5">
                  <v>3</v>
                </pt>
                <pt idx="6">
                  <v>4</v>
                </pt>
                <pt idx="7">
                  <v>2</v>
                </pt>
                <pt idx="8">
                  <v>1</v>
                </pt>
                <pt idx="9">
                  <v>0</v>
                </pt>
                <pt idx="10">
                  <v>0</v>
                </pt>
                <pt idx="11">
                  <v>0</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45</v>
                </pt>
                <pt idx="1">
                  <v>21</v>
                </pt>
                <pt idx="2">
                  <v>17</v>
                </pt>
                <pt idx="3">
                  <v>7</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2</v>
                </pt>
                <pt idx="2">
                  <v>91</v>
                </pt>
                <pt idx="3">
                  <v>10</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51</v>
                </pt>
                <pt idx="1">
                  <v>32</v>
                </pt>
                <pt idx="2">
                  <v>7</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Dashboard!$A$67:$A$77</f>
              <strCache>
                <ptCount val="11"/>
                <pt idx="0">
                  <v>Ford</v>
                </pt>
                <pt idx="1">
                  <v>Eaton</v>
                </pt>
                <pt idx="2">
                  <v>Caterpillar</v>
                </pt>
                <pt idx="3">
                  <v>Collins Aerospace</v>
                </pt>
                <pt idx="4">
                  <v>GM</v>
                </pt>
                <pt idx="5">
                  <v>Ford/GM</v>
                </pt>
                <pt idx="6">
                  <v>Hitachi</v>
                </pt>
                <pt idx="7">
                  <v>Merck</v>
                </pt>
                <pt idx="8">
                  <v>Schneider Electric</v>
                </pt>
                <pt idx="9">
                  <v>UVM Health Network</v>
                </pt>
                <pt idx="10">
                  <v>Other customers</v>
                </pt>
              </strCache>
            </strRef>
          </cat>
          <val>
            <numRef>
              <f>Dashboard!$B$67:$B$77</f>
              <numCache>
                <formatCode>General</formatCode>
                <ptCount val="11"/>
                <pt idx="0">
                  <v>32</v>
                </pt>
                <pt idx="1">
                  <v>12</v>
                </pt>
                <pt idx="2">
                  <v>7</v>
                </pt>
                <pt idx="3">
                  <v>4</v>
                </pt>
                <pt idx="4">
                  <v>4</v>
                </pt>
                <pt idx="5">
                  <v>3</v>
                </pt>
                <pt idx="6">
                  <v>2</v>
                </pt>
                <pt idx="7">
                  <v>2</v>
                </pt>
                <pt idx="8">
                  <v>2</v>
                </pt>
                <pt idx="9">
                  <v>2</v>
                </pt>
                <pt idx="10">
                  <v>20</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Dashboard!$E$67:$E$75</f>
              <strCache>
                <ptCount val="9"/>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strCache>
            </strRef>
          </cat>
          <val>
            <numRef>
              <f>Dashboard!$F$67:$F$75</f>
              <numCache>
                <formatCode>General</formatCode>
                <ptCount val="9"/>
                <pt idx="0">
                  <v>26</v>
                </pt>
                <pt idx="1">
                  <v>31</v>
                </pt>
                <pt idx="2">
                  <v>3</v>
                </pt>
                <pt idx="3">
                  <v>7</v>
                </pt>
                <pt idx="4">
                  <v>7</v>
                </pt>
                <pt idx="5">
                  <v>5</v>
                </pt>
                <pt idx="6">
                  <v>2</v>
                </pt>
                <pt idx="7">
                  <v>2</v>
                </pt>
                <pt idx="8">
                  <v>7</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Y104" headerRowCount="1" totalsRowShown="0" headerRowDxfId="30" dataDxfId="29">
  <autoFilter ref="A1:Y104"/>
  <tableColumns count="25">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 id="24" name="RCA Details"/>
    <tableColumn id="25" name="Routed To"/>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39" headerRowCount="1" totalsRowShown="0" headerRowDxfId="6" dataDxfId="5">
  <autoFilter ref="A3:E139"/>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Y104"/>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c r="X1" t="inlineStr">
        <is>
          <t>RCA Details</t>
        </is>
      </c>
      <c r="Y1" t="inlineStr">
        <is>
          <t>Routed To</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Dynamic Source Discovery</t>
        </is>
      </c>
      <c r="X2" s="33" t="n"/>
      <c r="Y2" s="33" t="inlineStr">
        <is>
          <t>Product &amp; Platform</t>
        </is>
      </c>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c r="X3" s="33" t="n"/>
      <c r="Y3" s="33" t="inlineStr">
        <is>
          <t>Product &amp; Platform</t>
        </is>
      </c>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Event Identification</t>
        </is>
      </c>
      <c r="K4" s="33" t="inlineStr">
        <is>
          <t>Improvement</t>
        </is>
      </c>
      <c r="L4" s="33" t="inlineStr">
        <is>
          <t>Fixed</t>
        </is>
      </c>
      <c r="M4" s="33" t="inlineStr">
        <is>
          <t>Customer link ingestion</t>
        </is>
      </c>
      <c r="N4" s="33" t="inlineStr">
        <is>
          <t>No</t>
        </is>
      </c>
      <c r="O4" s="33" t="inlineStr">
        <is>
          <t>Feed harvesting gap; WarRoom created after escalation.</t>
        </is>
      </c>
      <c r="P4" s="33" t="n"/>
      <c r="Q4" s="33" t="inlineStr">
        <is>
          <t>Yes</t>
        </is>
      </c>
      <c r="R4" s="39" t="n">
        <v>1</v>
      </c>
      <c r="S4" s="39" t="n"/>
      <c r="T4" s="35" t="n">
        <v>46023</v>
      </c>
      <c r="U4" s="33" t="inlineStr">
        <is>
          <t>Medium</t>
        </is>
      </c>
      <c r="V4" s="33" t="inlineStr">
        <is>
          <t>Other Control Automation</t>
        </is>
      </c>
      <c r="X4" s="33" t="n"/>
      <c r="Y4" s="33" t="inlineStr">
        <is>
          <t>Product &amp; Platform</t>
        </is>
      </c>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c r="X5" s="33" t="n"/>
      <c r="Y5" s="33" t="inlineStr">
        <is>
          <t>EventWatch Ops - Nitin Rindhe</t>
        </is>
      </c>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c r="X6" s="33" t="n"/>
      <c r="Y6" s="33" t="inlineStr">
        <is>
          <t>EventWatch Ops - Nitin Rindhe</t>
        </is>
      </c>
    </row>
    <row r="7">
      <c r="A7" s="35" t="n">
        <v>46054</v>
      </c>
      <c r="B7" s="37" t="n">
        <v>46059</v>
      </c>
      <c r="C7" s="33" t="inlineStr">
        <is>
          <t>Extreme Weather</t>
        </is>
      </c>
      <c r="D7" s="33" t="inlineStr">
        <is>
          <t>Eaton</t>
        </is>
      </c>
      <c r="E7" s="39" t="n">
        <v>1</v>
      </c>
      <c r="F7" s="33" t="inlineStr">
        <is>
          <t>Winter Storm Fern – Event Not Visible on Supplier Portal for K Technologies (Eaton)</t>
        </is>
      </c>
      <c r="G7" s="33" t="inlineStr">
        <is>
          <t>Complaint</t>
        </is>
      </c>
      <c r="H7" s="33" t="inlineStr">
        <is>
          <t>WarRoom not visible in customer profile</t>
        </is>
      </c>
      <c r="I7" s="33" t="inlineStr">
        <is>
          <t>Product</t>
        </is>
      </c>
      <c r="J7" s="33" t="inlineStr">
        <is>
          <t>Visibility</t>
        </is>
      </c>
      <c r="K7" s="33" t="inlineStr">
        <is>
          <t>Improvement</t>
        </is>
      </c>
      <c r="L7" s="33" t="inlineStr">
        <is>
          <t>Fixed</t>
        </is>
      </c>
      <c r="M7" s="33" t="inlineStr">
        <is>
          <t>Supplier-portal event visibility checks after an impact request is issued, so a delivered notification always has a matching visible event</t>
        </is>
      </c>
      <c r="N7" s="33" t="inlineStr">
        <is>
          <t>No</t>
        </is>
      </c>
      <c r="O7" s="33" t="inlineStr">
        <is>
          <t>From Jira CAN-3242 (Resolved). The Winter Storm Fern event (customer-side 34360914, supplier-side 34399459) did not appear in the Events card or My Events on the supplier portal for K TECHNOLOGIES, even though a supplier impact was issued for Eaton and the supplier user received the notification. Portal visibility issue rather than a coverage miss.</t>
        </is>
      </c>
      <c r="P7" s="33" t="n"/>
      <c r="Q7" s="33" t="inlineStr">
        <is>
          <t>No</t>
        </is>
      </c>
      <c r="R7" s="39" t="n">
        <v>2</v>
      </c>
      <c r="S7" s="39" t="n"/>
      <c r="T7" s="35" t="inlineStr">
        <is>
          <t>Feb 2026</t>
        </is>
      </c>
      <c r="U7" s="33" t="inlineStr">
        <is>
          <t>Medium</t>
        </is>
      </c>
      <c r="V7" s="33" t="inlineStr">
        <is>
          <t>Notification Visibility Monitoring</t>
        </is>
      </c>
      <c r="W7" s="33" t="inlineStr">
        <is>
          <t>CAN-3242</t>
        </is>
      </c>
      <c r="X7" s="33" t="n"/>
      <c r="Y7" s="33" t="inlineStr">
        <is>
          <t>Product &amp; Platform</t>
        </is>
      </c>
    </row>
    <row r="8">
      <c r="A8" s="35" t="n">
        <v>46054</v>
      </c>
      <c r="B8" s="37" t="n">
        <v>46062</v>
      </c>
      <c r="C8" s="33" t="inlineStr">
        <is>
          <t>Bankruptcy</t>
        </is>
      </c>
      <c r="D8" s="33" t="inlineStr">
        <is>
          <t>Schneider Electric</t>
        </is>
      </c>
      <c r="E8" s="39" t="n">
        <v>1</v>
      </c>
      <c r="F8" s="33" t="inlineStr">
        <is>
          <t>Insolvency event (supplier not captured)</t>
        </is>
      </c>
      <c r="G8" s="33" t="inlineStr">
        <is>
          <t>Complaint</t>
        </is>
      </c>
      <c r="H8" s="33" t="inlineStr">
        <is>
          <t>Missed insolvency alert</t>
        </is>
      </c>
      <c r="I8" s="33" t="inlineStr">
        <is>
          <t>Product</t>
        </is>
      </c>
      <c r="J8" s="33" t="inlineStr">
        <is>
          <t>Source Coverage</t>
        </is>
      </c>
      <c r="K8" s="33" t="inlineStr">
        <is>
          <t>Improvement</t>
        </is>
      </c>
      <c r="L8" s="33" t="inlineStr">
        <is>
          <t>Fixed</t>
        </is>
      </c>
      <c r="M8" s="33" t="inlineStr">
        <is>
          <t>Dynamic Source Discovery</t>
        </is>
      </c>
      <c r="N8" s="33" t="inlineStr">
        <is>
          <t>Yes</t>
        </is>
      </c>
      <c r="O8" s="33" t="inlineStr">
        <is>
          <t>Insolvency miss due to source gap; RCA finalized and shared with customer.</t>
        </is>
      </c>
      <c r="P8" s="33" t="n"/>
      <c r="Q8" s="33" t="inlineStr">
        <is>
          <t>Yes</t>
        </is>
      </c>
      <c r="R8" s="39" t="n">
        <v>2</v>
      </c>
      <c r="S8" s="39" t="n"/>
      <c r="T8" s="35" t="n">
        <v>46054</v>
      </c>
      <c r="U8" s="33" t="inlineStr">
        <is>
          <t>Medium</t>
        </is>
      </c>
      <c r="V8" s="33" t="inlineStr">
        <is>
          <t>Dynamic Source Discovery</t>
        </is>
      </c>
      <c r="X8" s="33" t="n"/>
      <c r="Y8" s="33" t="inlineStr">
        <is>
          <t>Product &amp; Platform</t>
        </is>
      </c>
    </row>
    <row r="9">
      <c r="A9" s="35" t="n">
        <v>46054</v>
      </c>
      <c r="B9" s="37" t="n">
        <v>46070</v>
      </c>
      <c r="C9" s="33" t="inlineStr">
        <is>
          <t>Geopolitical</t>
        </is>
      </c>
      <c r="D9" s="33" t="inlineStr">
        <is>
          <t>Nestle Global</t>
        </is>
      </c>
      <c r="E9" s="39" t="n">
        <v>1</v>
      </c>
      <c r="F9" s="33" t="inlineStr">
        <is>
          <t>"Update 7: US Armed Forces Capture Venezuelan President…"</t>
        </is>
      </c>
      <c r="G9" s="33" t="inlineStr">
        <is>
          <t>Complaint</t>
        </is>
      </c>
      <c r="H9" s="33" t="inlineStr">
        <is>
          <t>Severity / consolidation handling concern</t>
        </is>
      </c>
      <c r="I9" s="33" t="inlineStr">
        <is>
          <t>Process</t>
        </is>
      </c>
      <c r="J9" s="33" t="inlineStr">
        <is>
          <t>Strategy</t>
        </is>
      </c>
      <c r="K9" s="33" t="inlineStr">
        <is>
          <t>Improvement</t>
        </is>
      </c>
      <c r="L9" s="33" t="inlineStr">
        <is>
          <t>Clarification Provided</t>
        </is>
      </c>
      <c r="M9" s="33" t="inlineStr">
        <is>
          <t>Severity logic transparency for API/control tower users</t>
        </is>
      </c>
      <c r="N9" s="33" t="inlineStr">
        <is>
          <t>Yes</t>
        </is>
      </c>
      <c r="O9" s="33" t="inlineStr">
        <is>
          <t>Customer questioned severity/consolidation handling; rationale explained for single-thread WarRoom approach.</t>
        </is>
      </c>
      <c r="P9" s="33" t="n"/>
      <c r="Q9" s="33" t="inlineStr">
        <is>
          <t>No</t>
        </is>
      </c>
      <c r="R9" s="39" t="n">
        <v>2</v>
      </c>
      <c r="S9" s="39" t="n"/>
      <c r="T9" s="35" t="n">
        <v>46054</v>
      </c>
      <c r="U9" s="33" t="inlineStr">
        <is>
          <t>Medium</t>
        </is>
      </c>
      <c r="V9" s="33" t="inlineStr">
        <is>
          <t>Other Control Automation</t>
        </is>
      </c>
      <c r="X9" s="33" t="n"/>
      <c r="Y9" s="33" t="inlineStr">
        <is>
          <t>EventWatch Ops - Nitin Rindhe</t>
        </is>
      </c>
    </row>
    <row r="10">
      <c r="A10" s="35" t="n">
        <v>46054</v>
      </c>
      <c r="B10" s="37" t="n">
        <v>46073</v>
      </c>
      <c r="C10" s="33" t="inlineStr">
        <is>
          <t>Extreme Weather</t>
        </is>
      </c>
      <c r="D10" s="33" t="inlineStr">
        <is>
          <t>Ford</t>
        </is>
      </c>
      <c r="E10" s="39" t="n">
        <v>1</v>
      </c>
      <c r="F10" s="33" t="inlineStr">
        <is>
          <t>Snowstorm Forecast Not Captured</t>
        </is>
      </c>
      <c r="G10" s="33" t="inlineStr">
        <is>
          <t>Complaint</t>
        </is>
      </c>
      <c r="H10" s="33" t="inlineStr">
        <is>
          <t>Missed Event</t>
        </is>
      </c>
      <c r="I10" s="33" t="inlineStr">
        <is>
          <t>People</t>
        </is>
      </c>
      <c r="J10" s="33" t="inlineStr">
        <is>
          <t>Event Identification</t>
        </is>
      </c>
      <c r="K10" s="33" t="inlineStr">
        <is>
          <t>Improvement</t>
        </is>
      </c>
      <c r="L10" s="33" t="inlineStr">
        <is>
          <t>Clarification Provided</t>
        </is>
      </c>
      <c r="M10" s="33" t="inlineStr">
        <is>
          <t>Forecast classification logic</t>
        </is>
      </c>
      <c r="N10" s="33" t="inlineStr">
        <is>
          <t>No</t>
        </is>
      </c>
      <c r="O10" s="33" t="inlineStr">
        <is>
          <t>Snowstorm moved to monitoring incorrectly; decision explained to customer.</t>
        </is>
      </c>
      <c r="P10" s="33" t="n"/>
      <c r="Q10" s="33" t="inlineStr">
        <is>
          <t>Yes</t>
        </is>
      </c>
      <c r="R10" s="39" t="n">
        <v>2</v>
      </c>
      <c r="S10" s="39" t="n"/>
      <c r="T10" s="35" t="n">
        <v>46054</v>
      </c>
      <c r="U10" s="33" t="inlineStr">
        <is>
          <t>Medium</t>
        </is>
      </c>
      <c r="V10" s="33" t="inlineStr">
        <is>
          <t>Other Control Automation</t>
        </is>
      </c>
      <c r="X10" s="33" t="n"/>
      <c r="Y10" s="33" t="inlineStr">
        <is>
          <t>EventWatch Ops - Nitin Rindhe</t>
        </is>
      </c>
    </row>
    <row r="11">
      <c r="A11" s="35" t="n">
        <v>46054</v>
      </c>
      <c r="B11" s="37" t="n">
        <v>46073</v>
      </c>
      <c r="C11" s="33" t="inlineStr">
        <is>
          <t>Labor Disruption</t>
        </is>
      </c>
      <c r="D11" s="33" t="inlineStr">
        <is>
          <t>Caterpillar</t>
        </is>
      </c>
      <c r="E11" s="39" t="n">
        <v>1</v>
      </c>
      <c r="F11" s="33" t="inlineStr">
        <is>
          <t>Spain railway strike (event not converted to WarRoom)</t>
        </is>
      </c>
      <c r="G11" s="33" t="inlineStr">
        <is>
          <t>Complaint</t>
        </is>
      </c>
      <c r="H11" s="33" t="inlineStr">
        <is>
          <t>WarRoom not created despite nationwide disruption</t>
        </is>
      </c>
      <c r="I11" s="33" t="inlineStr">
        <is>
          <t>Product</t>
        </is>
      </c>
      <c r="J11" s="33" t="inlineStr">
        <is>
          <t>Review</t>
        </is>
      </c>
      <c r="K11" s="33" t="inlineStr">
        <is>
          <t>Improvement</t>
        </is>
      </c>
      <c r="L11" s="33" t="inlineStr">
        <is>
          <t>Fixed</t>
        </is>
      </c>
      <c r="M11" s="33" t="inlineStr">
        <is>
          <t>Escalation automation</t>
        </is>
      </c>
      <c r="N11" s="33" t="inlineStr">
        <is>
          <t>Yes</t>
        </is>
      </c>
      <c r="O11" s="33" t="inlineStr">
        <is>
          <t>AI classification bias + missed human escalation; WarRoom created after reassessment. NC issued.</t>
        </is>
      </c>
      <c r="P11" s="33" t="n"/>
      <c r="Q11" s="33" t="inlineStr">
        <is>
          <t>Yes</t>
        </is>
      </c>
      <c r="R11" s="39" t="n">
        <v>2</v>
      </c>
      <c r="S11" s="39" t="n"/>
      <c r="T11" s="35" t="n">
        <v>46054</v>
      </c>
      <c r="U11" s="33" t="inlineStr">
        <is>
          <t>Medium</t>
        </is>
      </c>
      <c r="V11" s="33" t="inlineStr">
        <is>
          <t>WarRoom &amp; Decision Validation</t>
        </is>
      </c>
      <c r="X11" s="33" t="n"/>
      <c r="Y11" s="33" t="inlineStr">
        <is>
          <t>Product &amp; Platform</t>
        </is>
      </c>
    </row>
    <row r="12">
      <c r="A12" s="35" t="n">
        <v>46054</v>
      </c>
      <c r="B12" s="37" t="n">
        <v>46076</v>
      </c>
      <c r="C12" s="33" t="inlineStr">
        <is>
          <t>Geopolitical</t>
        </is>
      </c>
      <c r="D12" s="33" t="inlineStr">
        <is>
          <t>Roche</t>
        </is>
      </c>
      <c r="E12" s="39" t="n">
        <v>1</v>
      </c>
      <c r="F12" s="33" t="inlineStr">
        <is>
          <t>"Military Operation Against CJNG Cartel Triggers Multi-State Violence in Mexico"</t>
        </is>
      </c>
      <c r="G12" s="33" t="inlineStr">
        <is>
          <t>Complaint</t>
        </is>
      </c>
      <c r="H12" s="33" t="inlineStr">
        <is>
          <t>Coverage Verification Request</t>
        </is>
      </c>
      <c r="I12" s="33" t="inlineStr">
        <is>
          <t>Process</t>
        </is>
      </c>
      <c r="J12" s="33" t="inlineStr">
        <is>
          <t>Visibility</t>
        </is>
      </c>
      <c r="K12" s="33" t="inlineStr">
        <is>
          <t>Improvement</t>
        </is>
      </c>
      <c r="L12" s="33" t="inlineStr">
        <is>
          <t>Clarification Provided</t>
        </is>
      </c>
      <c r="M12" s="33" t="inlineStr">
        <is>
          <t>Validation automation</t>
        </is>
      </c>
      <c r="N12" s="33" t="inlineStr">
        <is>
          <t>Yes</t>
        </is>
      </c>
      <c r="O12" s="33" t="inlineStr">
        <is>
          <t>Customer said event not reported; EW confirmed WarRoom already published and delivery verified.</t>
        </is>
      </c>
      <c r="P12" s="33" t="n"/>
      <c r="Q12" s="33" t="inlineStr">
        <is>
          <t>No</t>
        </is>
      </c>
      <c r="R12" s="39" t="n">
        <v>2</v>
      </c>
      <c r="S12" s="39" t="n"/>
      <c r="T12" s="35" t="n">
        <v>46054</v>
      </c>
      <c r="U12" s="33" t="inlineStr">
        <is>
          <t>Medium</t>
        </is>
      </c>
      <c r="V12" s="33" t="inlineStr">
        <is>
          <t>Notification Visibility Monitoring</t>
        </is>
      </c>
      <c r="X12" s="33" t="n"/>
      <c r="Y12" s="33" t="inlineStr">
        <is>
          <t>EventWatch Ops - Nitin Rindhe</t>
        </is>
      </c>
    </row>
    <row r="13">
      <c r="A13" s="35" t="n">
        <v>46054</v>
      </c>
      <c r="B13" s="37" t="n">
        <v>46078</v>
      </c>
      <c r="C13" s="33" t="inlineStr">
        <is>
          <t>Leadership Transition</t>
        </is>
      </c>
      <c r="D13" s="33" t="inlineStr">
        <is>
          <t>Eaton</t>
        </is>
      </c>
      <c r="E13" s="39" t="n">
        <v>1</v>
      </c>
      <c r="F13" s="33" t="inlineStr">
        <is>
          <t>Duplicate WarRooms: "Xometry Announces CEO Succession Plan" + "Xometry Appoints New CEO"</t>
        </is>
      </c>
      <c r="G13" s="33" t="inlineStr">
        <is>
          <t>Complaint</t>
        </is>
      </c>
      <c r="H13" s="33" t="inlineStr">
        <is>
          <t>Duplicate WarRooms</t>
        </is>
      </c>
      <c r="I13" s="33" t="inlineStr">
        <is>
          <t>People</t>
        </is>
      </c>
      <c r="J13" s="33" t="inlineStr">
        <is>
          <t>Duplication</t>
        </is>
      </c>
      <c r="K13" s="33" t="inlineStr">
        <is>
          <t>Improvement</t>
        </is>
      </c>
      <c r="L13" s="33" t="inlineStr">
        <is>
          <t>Fixed</t>
        </is>
      </c>
      <c r="M13" s="33" t="inlineStr">
        <is>
          <t>Duplicate detection</t>
        </is>
      </c>
      <c r="N13" s="33" t="inlineStr">
        <is>
          <t>Yes</t>
        </is>
      </c>
      <c r="O13" s="33" t="inlineStr">
        <is>
          <t>Duplicate WarRooms created; control failure acknowledged. NC raised for decision-making gap.</t>
        </is>
      </c>
      <c r="P13" s="33" t="n"/>
      <c r="Q13" s="33" t="inlineStr">
        <is>
          <t>No</t>
        </is>
      </c>
      <c r="R13" s="39" t="n">
        <v>2</v>
      </c>
      <c r="S13" s="39" t="n"/>
      <c r="T13" s="35" t="n">
        <v>46054</v>
      </c>
      <c r="U13" s="33" t="inlineStr">
        <is>
          <t>Medium</t>
        </is>
      </c>
      <c r="V13" s="33" t="inlineStr">
        <is>
          <t>Cluster Integrity &amp; Duplicate Prevention</t>
        </is>
      </c>
      <c r="X13" s="33" t="n"/>
      <c r="Y13" s="33" t="inlineStr">
        <is>
          <t>EventWatch Ops - Nitin Rindhe</t>
        </is>
      </c>
    </row>
    <row r="14">
      <c r="A14" s="35" t="n">
        <v>46054</v>
      </c>
      <c r="B14" s="37" t="n">
        <v>46078</v>
      </c>
      <c r="C14" s="33" t="inlineStr">
        <is>
          <t>Platform/Data Quality</t>
        </is>
      </c>
      <c r="D14" s="33" t="inlineStr">
        <is>
          <t>Molex</t>
        </is>
      </c>
      <c r="E14" s="39" t="n">
        <v>1</v>
      </c>
      <c r="F14" s="33" t="inlineStr">
        <is>
          <t>Irrelevant Partner-Sourced Sites Appearing in Customer Portal (Molex)</t>
        </is>
      </c>
      <c r="G14" s="33" t="inlineStr">
        <is>
          <t>Complaint</t>
        </is>
      </c>
      <c r="H14" s="33" t="inlineStr">
        <is>
          <t>Wrong Relevancy</t>
        </is>
      </c>
      <c r="I14" s="33" t="inlineStr">
        <is>
          <t>Product</t>
        </is>
      </c>
      <c r="J14" s="33" t="inlineStr">
        <is>
          <t>Mapping</t>
        </is>
      </c>
      <c r="K14" s="33" t="inlineStr">
        <is>
          <t>Improvement</t>
        </is>
      </c>
      <c r="L14" s="33" t="inlineStr">
        <is>
          <t>Fixed</t>
        </is>
      </c>
      <c r="M14" s="33" t="inlineStr">
        <is>
          <t>Tenant isolation checks on site_shareable records so sites created against a demo org cannot surface in a production customer portal</t>
        </is>
      </c>
      <c r="N14" s="33" t="inlineStr">
        <is>
          <t>No</t>
        </is>
      </c>
      <c r="O14" s="33" t="inlineStr">
        <is>
          <t>From Jira CAN-3263 (Closed). Molex is an EventWatch-only customer with no SCVs launched, so no sites should show with source Partner, yet ARROW ELECTRONICS - GBR BERKSHIRE READING appeared at Tier 1. The site_shareable record under the Molex tenant had its source_id mapped to the HITACHI ENERGY MAP demo org, so demo-org sites leaked into a production portal.</t>
        </is>
      </c>
      <c r="P14" s="33" t="n"/>
      <c r="Q14" s="33" t="inlineStr">
        <is>
          <t>No</t>
        </is>
      </c>
      <c r="R14" s="39" t="n">
        <v>2</v>
      </c>
      <c r="S14" s="39" t="n"/>
      <c r="T14" s="35" t="inlineStr">
        <is>
          <t>Feb 2026</t>
        </is>
      </c>
      <c r="U14" s="33" t="inlineStr">
        <is>
          <t>Medium</t>
        </is>
      </c>
      <c r="V14" s="33" t="inlineStr">
        <is>
          <t>Entity &amp; Supplier Resolution</t>
        </is>
      </c>
      <c r="W14" s="33" t="inlineStr">
        <is>
          <t>CAN-3263</t>
        </is>
      </c>
      <c r="X14" s="33" t="n"/>
      <c r="Y14" s="33" t="inlineStr">
        <is>
          <t>Product &amp; Platform</t>
        </is>
      </c>
    </row>
    <row r="15">
      <c r="A15" s="35" t="n">
        <v>46082</v>
      </c>
      <c r="B15" s="37" t="n">
        <v>46085</v>
      </c>
      <c r="C15" s="33" t="inlineStr">
        <is>
          <t>Protest/Riot</t>
        </is>
      </c>
      <c r="D15" s="33" t="inlineStr">
        <is>
          <t>Ford</t>
        </is>
      </c>
      <c r="E15" s="39" t="n">
        <v>1</v>
      </c>
      <c r="F15" s="33" t="inlineStr">
        <is>
          <t>"Transporters Threaten Potential Border Blockades Across Bosnia and Herzegovina"</t>
        </is>
      </c>
      <c r="G15" s="33" t="inlineStr">
        <is>
          <t>Complaint</t>
        </is>
      </c>
      <c r="H15" s="33" t="inlineStr">
        <is>
          <t>Missed alert / event not captured</t>
        </is>
      </c>
      <c r="I15" s="33" t="inlineStr">
        <is>
          <t>Product</t>
        </is>
      </c>
      <c r="J15" s="33" t="inlineStr">
        <is>
          <t>Keyword Update</t>
        </is>
      </c>
      <c r="K15" s="33" t="inlineStr">
        <is>
          <t>Improvement</t>
        </is>
      </c>
      <c r="L15" s="33" t="inlineStr">
        <is>
          <t>Fixed</t>
        </is>
      </c>
      <c r="M15" s="33" t="inlineStr">
        <is>
          <t>Dynamic Source Discovery</t>
        </is>
      </c>
      <c r="N15" s="33" t="inlineStr">
        <is>
          <t>Yes</t>
        </is>
      </c>
      <c r="O15" s="33" t="inlineStr">
        <is>
          <t>Feeds not ingested; vendor source and keywords added after customer escalation.</t>
        </is>
      </c>
      <c r="P15" s="33" t="n"/>
      <c r="Q15" s="33" t="inlineStr">
        <is>
          <t>Yes</t>
        </is>
      </c>
      <c r="R15" s="39" t="n">
        <v>3</v>
      </c>
      <c r="S15" s="39" t="n"/>
      <c r="T15" s="35" t="n">
        <v>46082</v>
      </c>
      <c r="U15" s="33" t="inlineStr">
        <is>
          <t>Medium</t>
        </is>
      </c>
      <c r="V15" s="33" t="inlineStr">
        <is>
          <t>Dynamic Source Discovery</t>
        </is>
      </c>
      <c r="X15" s="33" t="n"/>
      <c r="Y15" s="33" t="inlineStr">
        <is>
          <t>Product &amp; Platform</t>
        </is>
      </c>
    </row>
    <row r="16">
      <c r="A16" s="35" t="n">
        <v>46082</v>
      </c>
      <c r="B16" s="37" t="n">
        <v>46085</v>
      </c>
      <c r="C16" s="33" t="inlineStr">
        <is>
          <t>Bankruptcy</t>
        </is>
      </c>
      <c r="D16" s="33" t="inlineStr">
        <is>
          <t>Eaton</t>
        </is>
      </c>
      <c r="E16" s="39" t="n">
        <v>1</v>
      </c>
      <c r="F16" s="33" t="inlineStr">
        <is>
          <t>"DRUTEC Druckguss &amp; Montagetechnik GmbH + Co. KG Files for Insolvency in Germany"</t>
        </is>
      </c>
      <c r="G16" s="33" t="inlineStr">
        <is>
          <t>Complaint</t>
        </is>
      </c>
      <c r="H16" s="33" t="inlineStr">
        <is>
          <t>Missed insolvency event</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DRUTEC bankruptcy feeds not captured; sources not in vendor network. Vendor addition requested.</t>
        </is>
      </c>
      <c r="P16" s="33" t="n"/>
      <c r="Q16" s="33" t="inlineStr">
        <is>
          <t>Yes</t>
        </is>
      </c>
      <c r="R16" s="39" t="n">
        <v>3</v>
      </c>
      <c r="S16" s="39" t="n"/>
      <c r="T16" s="35" t="n">
        <v>46082</v>
      </c>
      <c r="U16" s="33" t="inlineStr">
        <is>
          <t>Medium</t>
        </is>
      </c>
      <c r="V16" s="33" t="inlineStr">
        <is>
          <t>Dynamic Source Discovery</t>
        </is>
      </c>
      <c r="X16" s="33" t="n"/>
      <c r="Y16" s="33" t="inlineStr">
        <is>
          <t>Product &amp; Platform</t>
        </is>
      </c>
    </row>
    <row r="17">
      <c r="A17" s="35" t="n">
        <v>46082</v>
      </c>
      <c r="B17" s="37" t="n">
        <v>46091</v>
      </c>
      <c r="C17" s="33" t="inlineStr">
        <is>
          <t>Factory Fire</t>
        </is>
      </c>
      <c r="D17" s="33" t="inlineStr">
        <is>
          <t>Ford</t>
        </is>
      </c>
      <c r="E17" s="39" t="n">
        <v>1</v>
      </c>
      <c r="F17" s="33" t="inlineStr">
        <is>
          <t>"Eason &amp; Co Notifies Of Fire Incident In Area Its Factory" (customer wording)</t>
        </is>
      </c>
      <c r="G17" s="33" t="inlineStr">
        <is>
          <t>Inquiry</t>
        </is>
      </c>
      <c r="H17" s="33" t="inlineStr">
        <is>
          <t>Event not triggered / not notified</t>
        </is>
      </c>
      <c r="I17" s="33" t="inlineStr">
        <is>
          <t>Product</t>
        </is>
      </c>
      <c r="J17" s="33" t="inlineStr">
        <is>
          <t>Mapping</t>
        </is>
      </c>
      <c r="K17" s="33" t="inlineStr">
        <is>
          <t>Improvement</t>
        </is>
      </c>
      <c r="L17" s="33" t="inlineStr">
        <is>
          <t>Clarification Provided</t>
        </is>
      </c>
      <c r="M17" s="33" t="inlineStr">
        <is>
          <t>Customer-facing "not mapped" explanation template + What-If guidance</t>
        </is>
      </c>
      <c r="N17" s="33" t="inlineStr">
        <is>
          <t>No</t>
        </is>
      </c>
      <c r="O17" s="33" t="inlineStr">
        <is>
          <t>Event not triggered due to company not mapped as Ford supplier; explanation provided.</t>
        </is>
      </c>
      <c r="P17" s="33" t="n"/>
      <c r="Q17" s="33" t="inlineStr">
        <is>
          <t>Yes</t>
        </is>
      </c>
      <c r="R17" s="39" t="n">
        <v>3</v>
      </c>
      <c r="S17" s="39" t="n"/>
      <c r="T17" s="35" t="n">
        <v>46082</v>
      </c>
      <c r="U17" s="33" t="inlineStr">
        <is>
          <t>Medium</t>
        </is>
      </c>
      <c r="V17" s="33" t="inlineStr">
        <is>
          <t>Entity &amp; Supplier Resolution</t>
        </is>
      </c>
      <c r="X17" s="33" t="n"/>
      <c r="Y17" s="33" t="inlineStr">
        <is>
          <t>Product &amp; Platform</t>
        </is>
      </c>
    </row>
    <row r="18">
      <c r="A18" s="35" t="n">
        <v>46082</v>
      </c>
      <c r="B18" s="37" t="n">
        <v>46092</v>
      </c>
      <c r="C18" s="33" t="inlineStr">
        <is>
          <t>Bankruptcy</t>
        </is>
      </c>
      <c r="D18" s="33" t="inlineStr">
        <is>
          <t>Ford</t>
        </is>
      </c>
      <c r="E18" s="39" t="n">
        <v>1</v>
      </c>
      <c r="F18" s="33" t="inlineStr">
        <is>
          <t>"French Court Declines Accelerated Safeguard Plan for Saint Jean Industries"</t>
        </is>
      </c>
      <c r="G18" s="33" t="inlineStr">
        <is>
          <t>Complaint</t>
        </is>
      </c>
      <c r="H18" s="33" t="inlineStr">
        <is>
          <t>Missing Resilinc alert / insolvency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Insolvency feeds not captured; vendor working on adding source.</t>
        </is>
      </c>
      <c r="P18" s="33" t="n"/>
      <c r="Q18" s="33" t="inlineStr">
        <is>
          <t>Yes</t>
        </is>
      </c>
      <c r="R18" s="39" t="n">
        <v>3</v>
      </c>
      <c r="S18" s="39" t="n"/>
      <c r="T18" s="35" t="n">
        <v>46082</v>
      </c>
      <c r="U18" s="33" t="inlineStr">
        <is>
          <t>Medium</t>
        </is>
      </c>
      <c r="V18" s="33" t="inlineStr">
        <is>
          <t>Dynamic Source Discovery</t>
        </is>
      </c>
      <c r="X18" s="33" t="n"/>
      <c r="Y18" s="33" t="inlineStr">
        <is>
          <t>Product &amp; Platform</t>
        </is>
      </c>
    </row>
    <row r="19">
      <c r="A19" s="35" t="n">
        <v>46082</v>
      </c>
      <c r="B19" s="37" t="n">
        <v>46097</v>
      </c>
      <c r="C19" s="33" t="inlineStr">
        <is>
          <t>Cyber Attack</t>
        </is>
      </c>
      <c r="D19" s="33" t="inlineStr">
        <is>
          <t>UVM Health Network</t>
        </is>
      </c>
      <c r="E19" s="39" t="n">
        <v>1</v>
      </c>
      <c r="F19" s="33" t="inlineStr">
        <is>
          <t>WarRoom visibility: "Cyber Attack Disrupts Operations at Stryker Corporation"</t>
        </is>
      </c>
      <c r="G19" s="33" t="inlineStr">
        <is>
          <t>Complaint</t>
        </is>
      </c>
      <c r="H19" s="33" t="inlineStr">
        <is>
          <t>WarRoom visibility affected by customer profile filters</t>
        </is>
      </c>
      <c r="I19" s="33" t="inlineStr">
        <is>
          <t>Process</t>
        </is>
      </c>
      <c r="J19" s="33" t="inlineStr">
        <is>
          <t>Visibility</t>
        </is>
      </c>
      <c r="K19" s="33" t="inlineStr">
        <is>
          <t>Improvement</t>
        </is>
      </c>
      <c r="L19" s="33" t="inlineStr">
        <is>
          <t>Clarification Provided</t>
        </is>
      </c>
      <c r="M19" s="33" t="inlineStr">
        <is>
          <t>Preventive UI prompt: "Unsaved preference changes" + default include Resilinc for WarRoom view</t>
        </is>
      </c>
      <c r="N19" s="33" t="inlineStr">
        <is>
          <t>No</t>
        </is>
      </c>
      <c r="O19" s="33" t="inlineStr">
        <is>
          <t>WarRoom not visible due to user preference filtering out Resilinc; customer advised to update settings.</t>
        </is>
      </c>
      <c r="P19" s="33" t="n"/>
      <c r="Q19" s="33" t="inlineStr">
        <is>
          <t>No</t>
        </is>
      </c>
      <c r="R19" s="39" t="n">
        <v>3</v>
      </c>
      <c r="S19" s="39" t="n"/>
      <c r="T19" s="35" t="n">
        <v>46082</v>
      </c>
      <c r="U19" s="33" t="inlineStr">
        <is>
          <t>Medium</t>
        </is>
      </c>
      <c r="V19" s="33" t="inlineStr">
        <is>
          <t>Notification Visibility Monitoring</t>
        </is>
      </c>
      <c r="X19" s="33" t="n"/>
      <c r="Y19" s="33" t="inlineStr">
        <is>
          <t>EventWatch Ops - Nitin Rindhe</t>
        </is>
      </c>
    </row>
    <row r="20">
      <c r="A20" s="35" t="n">
        <v>46082</v>
      </c>
      <c r="B20" s="37" t="n">
        <v>46097</v>
      </c>
      <c r="C20" s="33" t="inlineStr">
        <is>
          <t>Cyber Attack</t>
        </is>
      </c>
      <c r="D20" s="33" t="inlineStr">
        <is>
          <t>UVM Health Network</t>
        </is>
      </c>
      <c r="E20" s="39" t="n">
        <v>1</v>
      </c>
      <c r="F20" s="33" t="inlineStr">
        <is>
          <t>"Data Breach Reported at Intuitive Surgical Following Phishing Attack"</t>
        </is>
      </c>
      <c r="G20" s="33" t="inlineStr">
        <is>
          <t>Complaint</t>
        </is>
      </c>
      <c r="H20" s="33" t="inlineStr">
        <is>
          <t>Missing EventWatch coverage / feeds not captured</t>
        </is>
      </c>
      <c r="I20" s="33" t="inlineStr">
        <is>
          <t>Product</t>
        </is>
      </c>
      <c r="J20" s="33" t="inlineStr">
        <is>
          <t>Source Coverage</t>
        </is>
      </c>
      <c r="K20" s="33" t="inlineStr">
        <is>
          <t>Improvement</t>
        </is>
      </c>
      <c r="L20" s="33" t="inlineStr">
        <is>
          <t>Fixed</t>
        </is>
      </c>
      <c r="M20" s="33" t="inlineStr">
        <is>
          <t>Dynamic Source Discovery</t>
        </is>
      </c>
      <c r="N20" s="33" t="inlineStr">
        <is>
          <t>Yes</t>
        </is>
      </c>
      <c r="O20" s="33" t="inlineStr">
        <is>
          <t>Phishing incident feeds not captured; WarRoom published after investigation.</t>
        </is>
      </c>
      <c r="P20" s="33" t="n"/>
      <c r="Q20" s="33" t="inlineStr">
        <is>
          <t>Yes</t>
        </is>
      </c>
      <c r="R20" s="39" t="n">
        <v>3</v>
      </c>
      <c r="S20" s="39" t="n"/>
      <c r="T20" s="35" t="n">
        <v>46082</v>
      </c>
      <c r="U20" s="33" t="inlineStr">
        <is>
          <t>Medium</t>
        </is>
      </c>
      <c r="V20" s="33" t="inlineStr">
        <is>
          <t>Dynamic Source Discovery</t>
        </is>
      </c>
      <c r="X20" s="33" t="n"/>
      <c r="Y20" s="33" t="inlineStr">
        <is>
          <t>Product &amp; Platform</t>
        </is>
      </c>
    </row>
    <row r="21">
      <c r="A21" s="35" t="n">
        <v>46082</v>
      </c>
      <c r="B21" s="37" t="n">
        <v>46099</v>
      </c>
      <c r="C21" s="33" t="inlineStr">
        <is>
          <t>Supply Shortage</t>
        </is>
      </c>
      <c r="D21" s="33" t="inlineStr">
        <is>
          <t>Caterpillar</t>
        </is>
      </c>
      <c r="E21" s="39" t="n">
        <v>1</v>
      </c>
      <c r="F21" s="33" t="inlineStr">
        <is>
          <t>"LPG and LNG Gas Shortage Triggers Nationwide Industrial Disruptions Across India"</t>
        </is>
      </c>
      <c r="G21" s="33" t="inlineStr">
        <is>
          <t>Complaint</t>
        </is>
      </c>
      <c r="H21" s="33" t="inlineStr">
        <is>
          <t>Delay in creating separate WarRoom / delayed escalation</t>
        </is>
      </c>
      <c r="I21" s="33" t="inlineStr">
        <is>
          <t>Product</t>
        </is>
      </c>
      <c r="J21" s="33" t="inlineStr">
        <is>
          <t>Review</t>
        </is>
      </c>
      <c r="K21" s="33" t="inlineStr">
        <is>
          <t>Improvement</t>
        </is>
      </c>
      <c r="L21" s="33" t="inlineStr">
        <is>
          <t>Fixed</t>
        </is>
      </c>
      <c r="M21" s="33" t="inlineStr">
        <is>
          <t>Escalation automation</t>
        </is>
      </c>
      <c r="N21" s="33" t="inlineStr">
        <is>
          <t>Yes</t>
        </is>
      </c>
      <c r="O21" s="33" t="inlineStr">
        <is>
          <t>AI classified LPG shortage as Non-Event; human review missed embedded company-impact articles. Dedicated WarRoom created.</t>
        </is>
      </c>
      <c r="P21" s="33" t="n"/>
      <c r="Q21" s="33" t="inlineStr">
        <is>
          <t>Yes</t>
        </is>
      </c>
      <c r="R21" s="39" t="n">
        <v>3</v>
      </c>
      <c r="S21" s="39" t="n"/>
      <c r="T21" s="35" t="n">
        <v>46082</v>
      </c>
      <c r="U21" s="33" t="inlineStr">
        <is>
          <t>Medium</t>
        </is>
      </c>
      <c r="V21" s="33" t="inlineStr">
        <is>
          <t>WarRoom &amp; Decision Validation</t>
        </is>
      </c>
      <c r="X21" s="33" t="n"/>
      <c r="Y21" s="33" t="inlineStr">
        <is>
          <t>Product &amp; Platform</t>
        </is>
      </c>
    </row>
    <row r="22">
      <c r="A22" s="35" t="n">
        <v>46082</v>
      </c>
      <c r="B22" s="37" t="n">
        <v>46099</v>
      </c>
      <c r="C22" s="33" t="inlineStr">
        <is>
          <t>Extreme Weather</t>
        </is>
      </c>
      <c r="D22" s="33" t="inlineStr">
        <is>
          <t>Danaher</t>
        </is>
      </c>
      <c r="E22" s="39" t="n">
        <v>1</v>
      </c>
      <c r="F22" s="33" t="inlineStr">
        <is>
          <t>Massachusetts Level 3 Critical Drought – WarRoom Empty and Not Listed After 3 Hours (Danaher)</t>
        </is>
      </c>
      <c r="G22" s="33" t="inlineStr">
        <is>
          <t>Complaint</t>
        </is>
      </c>
      <c r="H22" s="33" t="inlineStr">
        <is>
          <t>Delayed WarRoom</t>
        </is>
      </c>
      <c r="I22" s="33" t="inlineStr">
        <is>
          <t>Product</t>
        </is>
      </c>
      <c r="J22" s="33" t="inlineStr">
        <is>
          <t>Visibility</t>
        </is>
      </c>
      <c r="K22" s="33" t="inlineStr">
        <is>
          <t>Improvement</t>
        </is>
      </c>
      <c r="L22" s="33" t="inlineStr">
        <is>
          <t>Fixed</t>
        </is>
      </c>
      <c r="M22" s="33" t="inlineStr">
        <is>
          <t>Monitoring that a WarRoom becomes visible and populated within an agreed window of the notification being sent, with alerting when it does not</t>
        </is>
      </c>
      <c r="N22" s="33" t="inlineStr">
        <is>
          <t>Yes</t>
        </is>
      </c>
      <c r="O22" s="33" t="inlineStr">
        <is>
          <t>From Jira CAN-3278 (Closed). Danaher received the notification email for the Massachusetts Level 3 Critical Drought WarRoom, but the WarRoom was empty across Suppliers, Sites, Parts and Products and was absent from the WarRoom listing page more than three hours after creation. CS recorded it as reproducible and as a likely regression of CAN-2921.</t>
        </is>
      </c>
      <c r="P22" s="33" t="n"/>
      <c r="Q22" s="33" t="inlineStr">
        <is>
          <t>No</t>
        </is>
      </c>
      <c r="R22" s="39" t="n">
        <v>3</v>
      </c>
      <c r="S22" s="39" t="n"/>
      <c r="T22" s="35" t="inlineStr">
        <is>
          <t>Mar 2026</t>
        </is>
      </c>
      <c r="U22" s="33" t="inlineStr">
        <is>
          <t>Medium</t>
        </is>
      </c>
      <c r="V22" s="33" t="inlineStr">
        <is>
          <t>Notification Visibility Monitoring</t>
        </is>
      </c>
      <c r="W22" s="33" t="inlineStr">
        <is>
          <t>CAN-3278</t>
        </is>
      </c>
      <c r="X22" s="33" t="n"/>
      <c r="Y22" s="33" t="inlineStr">
        <is>
          <t>Product &amp; Platform</t>
        </is>
      </c>
    </row>
    <row r="23">
      <c r="A23" s="35" t="n">
        <v>46082</v>
      </c>
      <c r="B23" s="37" t="n">
        <v>46104</v>
      </c>
      <c r="C23" s="33" t="inlineStr">
        <is>
          <t>Factory Fire</t>
        </is>
      </c>
      <c r="D23" s="33" t="inlineStr">
        <is>
          <t>Ford</t>
        </is>
      </c>
      <c r="E23" s="39" t="n">
        <v>1</v>
      </c>
      <c r="F23" s="33" t="inlineStr">
        <is>
          <t>"Fire at the Fuyao Glass America Site in Moraine, Ohio, USA"</t>
        </is>
      </c>
      <c r="G23" s="33" t="inlineStr">
        <is>
          <t>Complaint</t>
        </is>
      </c>
      <c r="H23" s="33" t="inlineStr">
        <is>
          <t>Missed alert / event not captured</t>
        </is>
      </c>
      <c r="I23" s="33" t="inlineStr">
        <is>
          <t>Product</t>
        </is>
      </c>
      <c r="J23" s="33" t="inlineStr">
        <is>
          <t>Source Coverage</t>
        </is>
      </c>
      <c r="K23" s="33" t="inlineStr">
        <is>
          <t>Bug</t>
        </is>
      </c>
      <c r="L23" s="33" t="inlineStr">
        <is>
          <t>Fixed</t>
        </is>
      </c>
      <c r="M23" s="33" t="inlineStr">
        <is>
          <t>Dynamic Source Discovery</t>
        </is>
      </c>
      <c r="N23" s="33" t="inlineStr">
        <is>
          <t>Yes</t>
        </is>
      </c>
      <c r="O23" s="33" t="inlineStr">
        <is>
          <t>Open-source articles not ingested; Engineering bug identified in feed harvesting. Patch planned.</t>
        </is>
      </c>
      <c r="P23" s="33" t="n"/>
      <c r="Q23" s="33" t="inlineStr">
        <is>
          <t>Yes</t>
        </is>
      </c>
      <c r="R23" s="39" t="n">
        <v>3</v>
      </c>
      <c r="S23" s="39" t="n"/>
      <c r="T23" s="35" t="n">
        <v>46082</v>
      </c>
      <c r="U23" s="33" t="inlineStr">
        <is>
          <t>Medium</t>
        </is>
      </c>
      <c r="V23" s="33" t="inlineStr">
        <is>
          <t>Dynamic Source Discovery</t>
        </is>
      </c>
      <c r="X23" s="33" t="n"/>
      <c r="Y23" s="33" t="inlineStr">
        <is>
          <t>Product &amp; Platform</t>
        </is>
      </c>
    </row>
    <row r="24">
      <c r="A24" s="35" t="n">
        <v>46082</v>
      </c>
      <c r="B24" s="37" t="n">
        <v>46106</v>
      </c>
      <c r="C24" s="33" t="inlineStr">
        <is>
          <t>Regulatory Change</t>
        </is>
      </c>
      <c r="D24" s="33" t="inlineStr">
        <is>
          <t>HPE</t>
        </is>
      </c>
      <c r="E24" s="39" t="n">
        <v>1</v>
      </c>
      <c r="F24" s="33" t="inlineStr">
        <is>
          <t>"Microsoft Azure account raised SEC notification delay (Jan 2025)"</t>
        </is>
      </c>
      <c r="G24" s="33" t="inlineStr">
        <is>
          <t>Complaint</t>
        </is>
      </c>
      <c r="H24" s="33" t="inlineStr">
        <is>
          <t>SEC notification not captured/provided on time</t>
        </is>
      </c>
      <c r="I24" s="33" t="inlineStr">
        <is>
          <t>People</t>
        </is>
      </c>
      <c r="J24" s="33" t="inlineStr">
        <is>
          <t>Process Clarification</t>
        </is>
      </c>
      <c r="K24" s="33" t="inlineStr">
        <is>
          <t>Improvement</t>
        </is>
      </c>
      <c r="L24" s="33" t="inlineStr">
        <is>
          <t>Clarification Provided</t>
        </is>
      </c>
      <c r="M24" s="33" t="inlineStr">
        <is>
          <t>Regulatory feed timeliness checks + publication timestamp comparison</t>
        </is>
      </c>
      <c r="N24" s="33" t="inlineStr">
        <is>
          <t>Yes</t>
        </is>
      </c>
      <c r="O24" s="33" t="inlineStr">
        <is>
          <t>SEC notification delay investigation requested; awaiting closure inputs.</t>
        </is>
      </c>
      <c r="P24" s="33" t="n"/>
      <c r="Q24" s="33" t="inlineStr">
        <is>
          <t>Yes</t>
        </is>
      </c>
      <c r="R24" s="39" t="n">
        <v>3</v>
      </c>
      <c r="S24" s="39" t="n"/>
      <c r="T24" s="35" t="n">
        <v>46082</v>
      </c>
      <c r="U24" s="33" t="inlineStr">
        <is>
          <t>Medium</t>
        </is>
      </c>
      <c r="V24" s="33" t="inlineStr">
        <is>
          <t>Dynamic Source Discovery</t>
        </is>
      </c>
      <c r="X24" s="33" t="n"/>
      <c r="Y24" s="33" t="inlineStr">
        <is>
          <t>EventWatch Ops - Nitin Rindhe</t>
        </is>
      </c>
    </row>
    <row r="25">
      <c r="A25" s="35" t="n">
        <v>46082</v>
      </c>
      <c r="B25" s="37" t="n">
        <v>46107</v>
      </c>
      <c r="C25" s="33" t="inlineStr">
        <is>
          <t>Labor Disruption</t>
        </is>
      </c>
      <c r="D25" s="33" t="inlineStr">
        <is>
          <t>Ford</t>
        </is>
      </c>
      <c r="E25" s="39" t="n">
        <v>1</v>
      </c>
      <c r="F25" s="33" t="inlineStr">
        <is>
          <t>"Workers Strike at Freudenberg-NOK Sealing Technologies in Findlay, Ohio, USA"</t>
        </is>
      </c>
      <c r="G25" s="33" t="inlineStr">
        <is>
          <t>Complaint</t>
        </is>
      </c>
      <c r="H25" s="33" t="inlineStr">
        <is>
          <t>Missing Automotive industry tag (customer tracking missed it)</t>
        </is>
      </c>
      <c r="I25" s="33" t="inlineStr">
        <is>
          <t>People</t>
        </is>
      </c>
      <c r="J25" s="33" t="inlineStr">
        <is>
          <t>Tagging</t>
        </is>
      </c>
      <c r="K25" s="33" t="inlineStr">
        <is>
          <t>Improvement</t>
        </is>
      </c>
      <c r="L25" s="33" t="inlineStr">
        <is>
          <t>Fixed</t>
        </is>
      </c>
      <c r="M25" s="33" t="inlineStr">
        <is>
          <t>Auto-tagging</t>
        </is>
      </c>
      <c r="N25" s="33" t="inlineStr">
        <is>
          <t>Yes</t>
        </is>
      </c>
      <c r="O25" s="33" t="inlineStr">
        <is>
          <t>Automotive tag missed during publishing; oversight acknowledged. Review process reinforced.</t>
        </is>
      </c>
      <c r="P25" s="33" t="n"/>
      <c r="Q25" s="33" t="inlineStr">
        <is>
          <t>Yes</t>
        </is>
      </c>
      <c r="R25" s="39" t="n">
        <v>3</v>
      </c>
      <c r="S25" s="39" t="n"/>
      <c r="T25" s="35" t="n">
        <v>46082</v>
      </c>
      <c r="U25" s="33" t="inlineStr">
        <is>
          <t>Medium</t>
        </is>
      </c>
      <c r="V25" s="33" t="inlineStr">
        <is>
          <t>Automated Industry Tagging</t>
        </is>
      </c>
      <c r="X25" s="33" t="n"/>
      <c r="Y25" s="33" t="inlineStr">
        <is>
          <t>EventWatch Ops - Nitin Rindhe</t>
        </is>
      </c>
    </row>
    <row r="26">
      <c r="A26" s="35" t="n">
        <v>46082</v>
      </c>
      <c r="B26" s="37" t="n">
        <v>46109</v>
      </c>
      <c r="C26" s="33" t="inlineStr">
        <is>
          <t>Extreme Weather</t>
        </is>
      </c>
      <c r="D26" s="33" t="inlineStr">
        <is>
          <t>Ford</t>
        </is>
      </c>
      <c r="E26" s="39" t="n">
        <v>1</v>
      </c>
      <c r="F26" s="33" t="inlineStr">
        <is>
          <t>"Missed Severe Weather Alert – Midwest USA (March 26, 2026)" (customer wording)</t>
        </is>
      </c>
      <c r="G26" s="33" t="inlineStr">
        <is>
          <t>Complaint</t>
        </is>
      </c>
      <c r="H26" s="33" t="inlineStr">
        <is>
          <t>Missed severe weather alert</t>
        </is>
      </c>
      <c r="I26" s="33" t="inlineStr">
        <is>
          <t>People</t>
        </is>
      </c>
      <c r="J26" s="33" t="inlineStr">
        <is>
          <t>Event Identification</t>
        </is>
      </c>
      <c r="K26" s="33" t="inlineStr">
        <is>
          <t>Improvement</t>
        </is>
      </c>
      <c r="L26" s="33" t="inlineStr">
        <is>
          <t>Clarification Provided</t>
        </is>
      </c>
      <c r="M26" s="33" t="inlineStr">
        <is>
          <t>Escalation automation</t>
        </is>
      </c>
      <c r="N26" s="33" t="inlineStr">
        <is>
          <t>Yes</t>
        </is>
      </c>
      <c r="O26" s="33" t="inlineStr">
        <is>
          <t>Severe weather alert missed; response already provided on 27-Mar-26.</t>
        </is>
      </c>
      <c r="P26" s="33" t="n"/>
      <c r="Q26" s="33" t="inlineStr">
        <is>
          <t>Yes</t>
        </is>
      </c>
      <c r="R26" s="39" t="n">
        <v>3</v>
      </c>
      <c r="S26" s="39" t="n"/>
      <c r="T26" s="35" t="n">
        <v>46082</v>
      </c>
      <c r="U26" s="33" t="inlineStr">
        <is>
          <t>Medium</t>
        </is>
      </c>
      <c r="V26" s="33" t="inlineStr">
        <is>
          <t>WarRoom &amp; Decision Validation</t>
        </is>
      </c>
      <c r="X26" s="33" t="n"/>
      <c r="Y26" s="33" t="inlineStr">
        <is>
          <t>EventWatch Ops - Nitin Rindhe</t>
        </is>
      </c>
    </row>
    <row r="27">
      <c r="A27" s="35" t="n">
        <v>46082</v>
      </c>
      <c r="B27" s="37" t="n">
        <v>46111</v>
      </c>
      <c r="C27" s="33" t="inlineStr">
        <is>
          <t>Platform/Data Quality</t>
        </is>
      </c>
      <c r="D27" s="33" t="inlineStr">
        <is>
          <t>PepsiCo</t>
        </is>
      </c>
      <c r="E27" s="39" t="n">
        <v>1</v>
      </c>
      <c r="F27" s="33" t="inlineStr">
        <is>
          <t>Unrecognized Supplier Names Appearing for Customer Users (PepsiCo)</t>
        </is>
      </c>
      <c r="G27" s="33" t="inlineStr">
        <is>
          <t>Complaint</t>
        </is>
      </c>
      <c r="H27" s="33" t="inlineStr">
        <is>
          <t>Wrong Relevancy</t>
        </is>
      </c>
      <c r="I27" s="33" t="inlineStr">
        <is>
          <t>Product</t>
        </is>
      </c>
      <c r="J27" s="33" t="inlineStr">
        <is>
          <t>Mapping</t>
        </is>
      </c>
      <c r="K27" s="33" t="inlineStr">
        <is>
          <t>Improvement</t>
        </is>
      </c>
      <c r="L27" s="33" t="inlineStr">
        <is>
          <t>Fixed</t>
        </is>
      </c>
      <c r="M27" s="33" t="inlineStr">
        <is>
          <t>Validation that supplier names shown to customer users reconcile to that customer's CDIF</t>
        </is>
      </c>
      <c r="N27" s="33" t="inlineStr">
        <is>
          <t>No</t>
        </is>
      </c>
      <c r="O27" s="33" t="inlineStr">
        <is>
          <t>From Jira TS-22591 (Resolved). PepsiCo users saw supplier names that are not present in their CDIF; the CSM verified the names were absent and a second internal user reproduced it, while the reporter did not. Raised as priority.</t>
        </is>
      </c>
      <c r="P27" s="33" t="n"/>
      <c r="Q27" s="33" t="inlineStr">
        <is>
          <t>No</t>
        </is>
      </c>
      <c r="R27" s="39" t="n">
        <v>3</v>
      </c>
      <c r="S27" s="39" t="n"/>
      <c r="T27" s="35" t="inlineStr">
        <is>
          <t>Mar 2026</t>
        </is>
      </c>
      <c r="U27" s="33" t="inlineStr">
        <is>
          <t>Medium</t>
        </is>
      </c>
      <c r="V27" s="33" t="inlineStr">
        <is>
          <t>Entity &amp; Supplier Resolution</t>
        </is>
      </c>
      <c r="W27" s="33" t="inlineStr">
        <is>
          <t>TS-22591</t>
        </is>
      </c>
      <c r="X27" s="33" t="n"/>
      <c r="Y27" s="33" t="inlineStr">
        <is>
          <t>Product &amp; Platform</t>
        </is>
      </c>
    </row>
    <row r="28">
      <c r="A28" s="35" t="n">
        <v>46082</v>
      </c>
      <c r="B28" s="37" t="n">
        <v>46112</v>
      </c>
      <c r="C28" s="33" t="inlineStr">
        <is>
          <t>Cyber Attack</t>
        </is>
      </c>
      <c r="D28" s="33" t="inlineStr">
        <is>
          <t>Ford</t>
        </is>
      </c>
      <c r="E28" s="39" t="n">
        <v>1</v>
      </c>
      <c r="F28" s="33" t="inlineStr">
        <is>
          <t>"RESILINC - Delayed Alert for Murata Manufacturing Cyber Attack"</t>
        </is>
      </c>
      <c r="G28" s="33" t="inlineStr">
        <is>
          <t>Complaint</t>
        </is>
      </c>
      <c r="H28" s="33" t="inlineStr">
        <is>
          <t>Delayed alert / WarRoom created late</t>
        </is>
      </c>
      <c r="I28" s="33" t="inlineStr">
        <is>
          <t>Product</t>
        </is>
      </c>
      <c r="J28" s="33" t="inlineStr">
        <is>
          <t>Source Coverage</t>
        </is>
      </c>
      <c r="K28" s="33" t="inlineStr">
        <is>
          <t>Improvement</t>
        </is>
      </c>
      <c r="L28" s="33" t="inlineStr">
        <is>
          <t>Fixed</t>
        </is>
      </c>
      <c r="M28" s="33" t="inlineStr">
        <is>
          <t>Dynamic Source Discovery</t>
        </is>
      </c>
      <c r="N28" s="33" t="inlineStr">
        <is>
          <t>Yes</t>
        </is>
      </c>
      <c r="O28" s="33" t="inlineStr">
        <is>
          <t>25-day delay: Initial source blocked + misclassification. RCA shared with retraining plan.</t>
        </is>
      </c>
      <c r="P28" s="33" t="inlineStr">
        <is>
          <t>25 days</t>
        </is>
      </c>
      <c r="Q28" s="33" t="inlineStr">
        <is>
          <t>Yes</t>
        </is>
      </c>
      <c r="R28" s="39" t="n">
        <v>3</v>
      </c>
      <c r="S28" s="39" t="n">
        <v>600</v>
      </c>
      <c r="T28" s="35" t="n">
        <v>46082</v>
      </c>
      <c r="U28" s="33" t="inlineStr">
        <is>
          <t>Medium</t>
        </is>
      </c>
      <c r="V28" s="33" t="inlineStr">
        <is>
          <t>Dynamic Source Discovery</t>
        </is>
      </c>
      <c r="X28" s="33" t="n"/>
      <c r="Y28" s="33" t="inlineStr">
        <is>
          <t>Product &amp; Platform</t>
        </is>
      </c>
    </row>
    <row r="29">
      <c r="A29" s="35" t="n">
        <v>46113</v>
      </c>
      <c r="B29" s="37" t="n">
        <v>46113</v>
      </c>
      <c r="C29" s="33" t="inlineStr">
        <is>
          <t>Cyber Attack</t>
        </is>
      </c>
      <c r="D29" s="33" t="inlineStr">
        <is>
          <t>Ford</t>
        </is>
      </c>
      <c r="E29" s="39" t="n">
        <v>1</v>
      </c>
      <c r="F29" s="33" t="inlineStr">
        <is>
          <t>Delay in Alert Issuance and WarRoom Creation – Murata Cyber Attack</t>
        </is>
      </c>
      <c r="G29" s="33" t="inlineStr">
        <is>
          <t>Complaint</t>
        </is>
      </c>
      <c r="H29" s="33" t="inlineStr">
        <is>
          <t>Delayed Event</t>
        </is>
      </c>
      <c r="I29" s="33" t="inlineStr">
        <is>
          <t>People</t>
        </is>
      </c>
      <c r="J29" s="33" t="inlineStr">
        <is>
          <t>Prioritization</t>
        </is>
      </c>
      <c r="K29" s="33" t="inlineStr">
        <is>
          <t>Improvement</t>
        </is>
      </c>
      <c r="L29" s="33" t="inlineStr">
        <is>
          <t>Fixed</t>
        </is>
      </c>
      <c r="M29" s="33" t="inlineStr">
        <is>
          <t>Source coverage expansion</t>
        </is>
      </c>
      <c r="N29" s="33" t="inlineStr">
        <is>
          <t>Yes</t>
        </is>
      </c>
      <c r="O29" s="33" t="inlineStr">
        <is>
          <t>25-day delay flagged by customer; blocked source + misclassification. Retraining completed.</t>
        </is>
      </c>
      <c r="P29" s="33" t="inlineStr">
        <is>
          <t>25 days</t>
        </is>
      </c>
      <c r="Q29" s="33" t="inlineStr">
        <is>
          <t>Yes</t>
        </is>
      </c>
      <c r="R29" s="39" t="n">
        <v>4</v>
      </c>
      <c r="S29" s="39" t="n">
        <v>600</v>
      </c>
      <c r="T29" s="35" t="n">
        <v>46113</v>
      </c>
      <c r="U29" s="33" t="inlineStr">
        <is>
          <t>Medium</t>
        </is>
      </c>
      <c r="V29" s="33" t="inlineStr">
        <is>
          <t>Dynamic Source Discovery</t>
        </is>
      </c>
      <c r="X29" s="33" t="n"/>
      <c r="Y29" s="33" t="inlineStr">
        <is>
          <t>EventWatch Ops - Nitin Rindhe</t>
        </is>
      </c>
    </row>
    <row r="30">
      <c r="A30" s="35" t="n">
        <v>46113</v>
      </c>
      <c r="B30" s="37" t="n">
        <v>46114</v>
      </c>
      <c r="C30" s="33" t="inlineStr">
        <is>
          <t>Factory Fire</t>
        </is>
      </c>
      <c r="D30" s="33" t="inlineStr">
        <is>
          <t>Ford</t>
        </is>
      </c>
      <c r="E30" s="39" t="n">
        <v>1</v>
      </c>
      <c r="F30" s="33" t="inlineStr">
        <is>
          <t>FORD MOTOR– Missing Automotive Tag in Event Watch Alert</t>
        </is>
      </c>
      <c r="G30" s="33" t="inlineStr">
        <is>
          <t>Complaint</t>
        </is>
      </c>
      <c r="H30" s="33" t="inlineStr">
        <is>
          <t>Incorrect Industry selection</t>
        </is>
      </c>
      <c r="I30" s="33" t="inlineStr">
        <is>
          <t>Product</t>
        </is>
      </c>
      <c r="J30" s="33" t="inlineStr">
        <is>
          <t>Industry selection</t>
        </is>
      </c>
      <c r="K30" s="33" t="inlineStr">
        <is>
          <t>Improvement</t>
        </is>
      </c>
      <c r="L30" s="33" t="inlineStr">
        <is>
          <t>Clarification Provided</t>
        </is>
      </c>
      <c r="M30" s="33" t="inlineStr">
        <is>
          <t>Auto-tagging</t>
        </is>
      </c>
      <c r="N30" s="33" t="inlineStr">
        <is>
          <t>Yes</t>
        </is>
      </c>
      <c r="O30" s="33" t="inlineStr">
        <is>
          <t>Missing Automotive tag; long-term enhancement roadmap communicated.</t>
        </is>
      </c>
      <c r="P30" s="33" t="n"/>
      <c r="Q30" s="33" t="inlineStr">
        <is>
          <t>No</t>
        </is>
      </c>
      <c r="R30" s="39" t="n">
        <v>4</v>
      </c>
      <c r="S30" s="39" t="n"/>
      <c r="T30" s="35" t="n">
        <v>46113</v>
      </c>
      <c r="U30" s="33" t="inlineStr">
        <is>
          <t>Medium</t>
        </is>
      </c>
      <c r="V30" s="33" t="inlineStr">
        <is>
          <t>Automated Industry Tagging</t>
        </is>
      </c>
      <c r="X30" s="33" t="n"/>
      <c r="Y30" s="33" t="inlineStr">
        <is>
          <t>Product &amp; Platform</t>
        </is>
      </c>
    </row>
    <row r="31">
      <c r="A31" s="35" t="n">
        <v>46113</v>
      </c>
      <c r="B31" s="37" t="n">
        <v>46118</v>
      </c>
      <c r="C31" s="33" t="inlineStr">
        <is>
          <t>Cyber Attack</t>
        </is>
      </c>
      <c r="D31" s="33" t="inlineStr">
        <is>
          <t>Harman</t>
        </is>
      </c>
      <c r="E31" s="39" t="n">
        <v>1</v>
      </c>
      <c r="F31" s="33" t="inlineStr">
        <is>
          <t>Murata Manufacturing Cyber Attack – Impact Confirmation Not Sent for 4 Tier 2 Sites (Harman)</t>
        </is>
      </c>
      <c r="G31" s="33" t="inlineStr">
        <is>
          <t>Complaint</t>
        </is>
      </c>
      <c r="H31" s="33" t="inlineStr">
        <is>
          <t>Event not triggered / not notified</t>
        </is>
      </c>
      <c r="I31" s="33" t="inlineStr">
        <is>
          <t>Product</t>
        </is>
      </c>
      <c r="J31" s="33" t="inlineStr">
        <is>
          <t>Mapping</t>
        </is>
      </c>
      <c r="K31" s="33" t="inlineStr">
        <is>
          <t>Improvement</t>
        </is>
      </c>
      <c r="L31" s="33" t="inlineStr">
        <is>
          <t>Pending</t>
        </is>
      </c>
      <c r="M31" s="33" t="inlineStr">
        <is>
          <t>Reconciliation between the set of sites meeting impact criteria and the set actually sent an impact-confirmation request, with an alert on any shortfall</t>
        </is>
      </c>
      <c r="N31" s="33" t="inlineStr">
        <is>
          <t>Yes</t>
        </is>
      </c>
      <c r="O31" s="33" t="inlineStr">
        <is>
          <t>From Jira CAN-3298 (Open). For Harman on the Murata Manufacturing cyber attack, 45 Murata sites were potentially impacted but impact-confirmation requests went to only 41. The four omitted Tier 2 sites met customer settings and impact-region criteria. Company notification settings were on for everything except 'Site Contacts Shared by Suppliers in our SCV (mapping)'.</t>
        </is>
      </c>
      <c r="P31" s="33" t="n"/>
      <c r="Q31" s="33" t="inlineStr">
        <is>
          <t>Yes</t>
        </is>
      </c>
      <c r="R31" s="39" t="n">
        <v>4</v>
      </c>
      <c r="S31" s="39" t="n"/>
      <c r="T31" s="35" t="inlineStr">
        <is>
          <t>Apr 2026</t>
        </is>
      </c>
      <c r="U31" s="33" t="inlineStr">
        <is>
          <t>Medium</t>
        </is>
      </c>
      <c r="V31" s="33" t="inlineStr">
        <is>
          <t>Notification Visibility Monitoring</t>
        </is>
      </c>
      <c r="W31" s="33" t="inlineStr">
        <is>
          <t>CAN-3298</t>
        </is>
      </c>
      <c r="X31" s="33" t="n"/>
      <c r="Y31" s="33" t="inlineStr">
        <is>
          <t>Product &amp; Platform</t>
        </is>
      </c>
    </row>
    <row r="32">
      <c r="A32" s="35" t="n">
        <v>46113</v>
      </c>
      <c r="B32" s="37" t="n">
        <v>46121</v>
      </c>
      <c r="C32" s="33" t="inlineStr">
        <is>
          <t>Geopolitical</t>
        </is>
      </c>
      <c r="D32" s="33" t="inlineStr">
        <is>
          <t>Ford</t>
        </is>
      </c>
      <c r="E32" s="39" t="n">
        <v>1</v>
      </c>
      <c r="F32" s="33" t="inlineStr">
        <is>
          <t>Truckers and Farmers Block Highways Across Mexico in Nationwide Strike</t>
        </is>
      </c>
      <c r="G32" s="33" t="inlineStr">
        <is>
          <t>Complaint</t>
        </is>
      </c>
      <c r="H32" s="33" t="inlineStr">
        <is>
          <t>Missed Event</t>
        </is>
      </c>
      <c r="I32" s="33" t="inlineStr">
        <is>
          <t>People</t>
        </is>
      </c>
      <c r="J32" s="33" t="inlineStr">
        <is>
          <t>Event Identification</t>
        </is>
      </c>
      <c r="K32" s="33" t="inlineStr">
        <is>
          <t>Improvement</t>
        </is>
      </c>
      <c r="L32" s="33" t="inlineStr">
        <is>
          <t>Fixed</t>
        </is>
      </c>
      <c r="M32" s="33" t="inlineStr">
        <is>
          <t>Geo-detection enhancement</t>
        </is>
      </c>
      <c r="N32" s="33" t="inlineStr">
        <is>
          <t>Yes</t>
        </is>
      </c>
      <c r="O32" s="33" t="inlineStr">
        <is>
          <t>AI correctly classified, but analyst assessed as localized/temporary. NC logged; post-incident review done.</t>
        </is>
      </c>
      <c r="P32" s="33" t="n"/>
      <c r="Q32" s="33" t="inlineStr">
        <is>
          <t>Yes</t>
        </is>
      </c>
      <c r="R32" s="39" t="n">
        <v>4</v>
      </c>
      <c r="S32" s="39" t="n"/>
      <c r="T32" s="35" t="n">
        <v>46113</v>
      </c>
      <c r="U32" s="33" t="inlineStr">
        <is>
          <t>Medium</t>
        </is>
      </c>
      <c r="V32" s="33" t="inlineStr">
        <is>
          <t>AI-Assisted Geofencing</t>
        </is>
      </c>
      <c r="X32" s="33" t="n"/>
      <c r="Y32" s="33" t="inlineStr">
        <is>
          <t>EventWatch Ops - Nitin Rindhe</t>
        </is>
      </c>
    </row>
    <row r="33">
      <c r="A33" s="35" t="n">
        <v>46113</v>
      </c>
      <c r="B33" s="37" t="n">
        <v>46121</v>
      </c>
      <c r="C33" s="33" t="inlineStr">
        <is>
          <t>Factory Fire</t>
        </is>
      </c>
      <c r="D33" s="33" t="inlineStr">
        <is>
          <t>Ford</t>
        </is>
      </c>
      <c r="E33" s="39" t="n">
        <v>1</v>
      </c>
      <c r="F33" s="33" t="inlineStr">
        <is>
          <t>Fire at the Linamar Corporation Facility in Fruitport, Michigan, USA</t>
        </is>
      </c>
      <c r="G33" s="33" t="inlineStr">
        <is>
          <t>Complaint</t>
        </is>
      </c>
      <c r="H33" s="33" t="inlineStr">
        <is>
          <t>Missed Event</t>
        </is>
      </c>
      <c r="I33" s="33" t="inlineStr">
        <is>
          <t>People</t>
        </is>
      </c>
      <c r="J33" s="33" t="inlineStr">
        <is>
          <t>Event Identification</t>
        </is>
      </c>
      <c r="K33" s="33" t="inlineStr">
        <is>
          <t>Improvement</t>
        </is>
      </c>
      <c r="L33" s="33" t="inlineStr">
        <is>
          <t>Fixed</t>
        </is>
      </c>
      <c r="M33" s="33" t="inlineStr">
        <is>
          <t>Signal extraction for company/facility + location confidence + incident cues</t>
        </is>
      </c>
      <c r="N33" s="33" t="inlineStr">
        <is>
          <t>Yes</t>
        </is>
      </c>
      <c r="O33" s="33" t="inlineStr">
        <is>
          <t>AI correctly classified, but human review missed company-facility validation. NC logged.</t>
        </is>
      </c>
      <c r="P33" s="33" t="n"/>
      <c r="Q33" s="33" t="inlineStr">
        <is>
          <t>Yes</t>
        </is>
      </c>
      <c r="R33" s="39" t="n">
        <v>4</v>
      </c>
      <c r="S33" s="39" t="n"/>
      <c r="T33" s="35" t="n">
        <v>46113</v>
      </c>
      <c r="U33" s="33" t="inlineStr">
        <is>
          <t>Medium</t>
        </is>
      </c>
      <c r="V33" s="33" t="inlineStr">
        <is>
          <t>Entity &amp; Supplier Resolution</t>
        </is>
      </c>
      <c r="X33" s="33" t="n"/>
      <c r="Y33" s="33" t="inlineStr">
        <is>
          <t>EventWatch Ops - Nitin Rindhe</t>
        </is>
      </c>
    </row>
    <row r="34">
      <c r="A34" s="35" t="n">
        <v>46113</v>
      </c>
      <c r="B34" s="37" t="n">
        <v>46126</v>
      </c>
      <c r="C34" s="33" t="inlineStr">
        <is>
          <t>Bankruptcy</t>
        </is>
      </c>
      <c r="D34" s="33" t="inlineStr">
        <is>
          <t>Eaton</t>
        </is>
      </c>
      <c r="E34" s="39" t="n">
        <v>1</v>
      </c>
      <c r="F34" s="33" t="inlineStr">
        <is>
          <t>EATON – Missed event RCA request (Bankruptcy event)</t>
        </is>
      </c>
      <c r="G34" s="33" t="inlineStr">
        <is>
          <t>Complaint</t>
        </is>
      </c>
      <c r="H34" s="33" t="inlineStr">
        <is>
          <t>Missed Event</t>
        </is>
      </c>
      <c r="I34" s="33" t="inlineStr">
        <is>
          <t>Product</t>
        </is>
      </c>
      <c r="J34" s="33" t="inlineStr">
        <is>
          <t>Event Identification</t>
        </is>
      </c>
      <c r="K34" s="33" t="inlineStr">
        <is>
          <t>Improvement</t>
        </is>
      </c>
      <c r="L34" s="33" t="inlineStr">
        <is>
          <t>Fixed</t>
        </is>
      </c>
      <c r="M34" s="33" t="inlineStr">
        <is>
          <t>Source coverage expansion</t>
        </is>
      </c>
      <c r="N34" s="33" t="inlineStr">
        <is>
          <t>Yes</t>
        </is>
      </c>
      <c r="O34" s="33" t="inlineStr">
        <is>
          <t>Bankruptcy miss due to vendor source gap; sources added by vendor.</t>
        </is>
      </c>
      <c r="P34" s="33" t="n"/>
      <c r="Q34" s="33" t="inlineStr">
        <is>
          <t>Yes</t>
        </is>
      </c>
      <c r="R34" s="39" t="n">
        <v>4</v>
      </c>
      <c r="S34" s="39" t="n"/>
      <c r="T34" s="35" t="n">
        <v>46113</v>
      </c>
      <c r="U34" s="33" t="inlineStr">
        <is>
          <t>Medium</t>
        </is>
      </c>
      <c r="V34" s="33" t="inlineStr">
        <is>
          <t>Dynamic Source Discovery</t>
        </is>
      </c>
      <c r="X34" s="33" t="n"/>
      <c r="Y34" s="33" t="inlineStr">
        <is>
          <t>Product &amp; Platform</t>
        </is>
      </c>
    </row>
    <row r="35">
      <c r="A35" s="35" t="n">
        <v>46113</v>
      </c>
      <c r="B35" s="37" t="n">
        <v>46126</v>
      </c>
      <c r="C35" s="33" t="inlineStr">
        <is>
          <t>Geopolitical</t>
        </is>
      </c>
      <c r="D35" s="33" t="inlineStr">
        <is>
          <t>Eaton</t>
        </is>
      </c>
      <c r="E35" s="39" t="n">
        <v>1</v>
      </c>
      <c r="F35" s="33" t="inlineStr">
        <is>
          <t>EATON – Missed event RCA request (Border closing event)</t>
        </is>
      </c>
      <c r="G35" s="33" t="inlineStr">
        <is>
          <t>Complaint</t>
        </is>
      </c>
      <c r="H35" s="33" t="inlineStr">
        <is>
          <t>Missed Event</t>
        </is>
      </c>
      <c r="I35" s="33" t="inlineStr">
        <is>
          <t>Product</t>
        </is>
      </c>
      <c r="J35" s="33" t="inlineStr">
        <is>
          <t>Event Identification</t>
        </is>
      </c>
      <c r="K35" s="33" t="inlineStr">
        <is>
          <t>Improvement</t>
        </is>
      </c>
      <c r="L35" s="33" t="inlineStr">
        <is>
          <t>Fixed</t>
        </is>
      </c>
      <c r="M35" s="33" t="inlineStr">
        <is>
          <t>Keyword expansion</t>
        </is>
      </c>
      <c r="N35" s="33" t="inlineStr">
        <is>
          <t>Yes</t>
        </is>
      </c>
      <c r="O35" s="33" t="inlineStr">
        <is>
          <t>Border closing miss due to foreign-language keyword gap; keywords added.</t>
        </is>
      </c>
      <c r="P35" s="33" t="n"/>
      <c r="Q35" s="33" t="inlineStr">
        <is>
          <t>Yes</t>
        </is>
      </c>
      <c r="R35" s="39" t="n">
        <v>4</v>
      </c>
      <c r="S35" s="39" t="n"/>
      <c r="T35" s="35" t="n">
        <v>46113</v>
      </c>
      <c r="U35" s="33" t="inlineStr">
        <is>
          <t>Medium</t>
        </is>
      </c>
      <c r="V35" s="33" t="inlineStr">
        <is>
          <t>Multilingual Keyword Expansion</t>
        </is>
      </c>
      <c r="X35" s="33" t="n"/>
      <c r="Y35" s="33" t="inlineStr">
        <is>
          <t>Product &amp; Platform</t>
        </is>
      </c>
    </row>
    <row r="36">
      <c r="A36" s="35" t="n">
        <v>46113</v>
      </c>
      <c r="B36" s="37" t="n">
        <v>46128</v>
      </c>
      <c r="C36" s="33" t="inlineStr">
        <is>
          <t>Regulatory Change</t>
        </is>
      </c>
      <c r="D36" s="33" t="inlineStr">
        <is>
          <t>Caterpillar</t>
        </is>
      </c>
      <c r="E36" s="39" t="n">
        <v>1</v>
      </c>
      <c r="F36" s="33" t="inlineStr">
        <is>
          <t>Customer Query: Missing EventWatch Coverage for Hengli Hydraulic Incident</t>
        </is>
      </c>
      <c r="G36" s="33" t="inlineStr">
        <is>
          <t>Complaint</t>
        </is>
      </c>
      <c r="H36" s="33" t="inlineStr">
        <is>
          <t>Missed Event</t>
        </is>
      </c>
      <c r="I36" s="33" t="inlineStr">
        <is>
          <t>Product</t>
        </is>
      </c>
      <c r="J36" s="33" t="inlineStr">
        <is>
          <t>Event Identification</t>
        </is>
      </c>
      <c r="K36" s="33" t="inlineStr">
        <is>
          <t>Improvement</t>
        </is>
      </c>
      <c r="L36" s="33" t="inlineStr">
        <is>
          <t>Fixed</t>
        </is>
      </c>
      <c r="M36" s="33" t="inlineStr">
        <is>
          <t>Keyword expansion</t>
        </is>
      </c>
      <c r="N36" s="33" t="inlineStr">
        <is>
          <t>Yes</t>
        </is>
      </c>
      <c r="O36" s="33" t="inlineStr">
        <is>
          <t>3/4 articles not captured by vendor; 1 Chinese article missed due to keyword gap. Enhancement planned.</t>
        </is>
      </c>
      <c r="P36" s="33" t="n"/>
      <c r="Q36" s="33" t="inlineStr">
        <is>
          <t>Yes</t>
        </is>
      </c>
      <c r="R36" s="39" t="n">
        <v>4</v>
      </c>
      <c r="S36" s="39" t="n"/>
      <c r="T36" s="35" t="n">
        <v>46113</v>
      </c>
      <c r="U36" s="33" t="inlineStr">
        <is>
          <t>Medium</t>
        </is>
      </c>
      <c r="V36" s="33" t="inlineStr">
        <is>
          <t>Multilingual Keyword Expansion</t>
        </is>
      </c>
      <c r="X36" s="33" t="n"/>
      <c r="Y36" s="33" t="inlineStr">
        <is>
          <t>Product &amp; Platform</t>
        </is>
      </c>
    </row>
    <row r="37">
      <c r="A37" s="35" t="n">
        <v>46113</v>
      </c>
      <c r="B37" s="37" t="n">
        <v>46134</v>
      </c>
      <c r="C37" s="33" t="inlineStr">
        <is>
          <t>Earthquake</t>
        </is>
      </c>
      <c r="D37" s="33" t="inlineStr">
        <is>
          <t>Ford</t>
        </is>
      </c>
      <c r="E37" s="39" t="n">
        <v>1</v>
      </c>
      <c r="F37" s="33" t="inlineStr">
        <is>
          <t>Missing Alerts - 5.0 Magnitude Earthquake in San Carlos, Mexico - INC5833769</t>
        </is>
      </c>
      <c r="G37" s="34" t="inlineStr">
        <is>
          <t>Inquiry</t>
        </is>
      </c>
      <c r="H37" s="33" t="inlineStr">
        <is>
          <t>Coverage Verification Request</t>
        </is>
      </c>
      <c r="I37" s="33" t="inlineStr">
        <is>
          <t>Process</t>
        </is>
      </c>
      <c r="J37" s="33" t="inlineStr">
        <is>
          <t>Process Clarification</t>
        </is>
      </c>
      <c r="K37" s="33" t="inlineStr">
        <is>
          <t>Improvement</t>
        </is>
      </c>
      <c r="L37" s="33" t="inlineStr">
        <is>
          <t>Clarification Provided</t>
        </is>
      </c>
      <c r="M37" s="33" t="inlineStr">
        <is>
          <t>Automated disruption-signal checklist before NI closure for borderline EQs</t>
        </is>
      </c>
      <c r="N37" s="33" t="inlineStr">
        <is>
          <t>No</t>
        </is>
      </c>
      <c r="O37" s="33" t="inlineStr">
        <is>
          <t>Feeds captured but no confirmed disruptions found; magnitude alone not sufficient per thresholds.</t>
        </is>
      </c>
      <c r="P37" s="33" t="n"/>
      <c r="Q37" s="33" t="inlineStr">
        <is>
          <t>No</t>
        </is>
      </c>
      <c r="R37" s="39" t="n">
        <v>4</v>
      </c>
      <c r="S37" s="39" t="n"/>
      <c r="T37" s="35" t="n">
        <v>46113</v>
      </c>
      <c r="U37" s="33" t="inlineStr">
        <is>
          <t>Medium</t>
        </is>
      </c>
      <c r="V37" s="33" t="inlineStr">
        <is>
          <t>Other Control Automation</t>
        </is>
      </c>
      <c r="X37" s="33" t="n"/>
      <c r="Y37" s="33" t="inlineStr">
        <is>
          <t>EventWatch Ops - Nitin Rindhe</t>
        </is>
      </c>
    </row>
    <row r="38">
      <c r="A38" s="35" t="n">
        <v>46113</v>
      </c>
      <c r="B38" s="37" t="n">
        <v>46141</v>
      </c>
      <c r="C38" s="33" t="inlineStr">
        <is>
          <t>Earthquake</t>
        </is>
      </c>
      <c r="D38" s="33" t="inlineStr">
        <is>
          <t>Hitachi</t>
        </is>
      </c>
      <c r="E38" s="39" t="n">
        <v>1</v>
      </c>
      <c r="F38" s="33" t="inlineStr">
        <is>
          <t>HITACHI: Missing WarRoom Event for Japan Earthquake</t>
        </is>
      </c>
      <c r="G38" s="33" t="inlineStr">
        <is>
          <t>Complaint</t>
        </is>
      </c>
      <c r="H38" s="33" t="inlineStr">
        <is>
          <t>Geographic Coverage Clarification</t>
        </is>
      </c>
      <c r="I38" s="33" t="inlineStr">
        <is>
          <t>Process</t>
        </is>
      </c>
      <c r="J38" s="33" t="inlineStr">
        <is>
          <t>Process Clarification</t>
        </is>
      </c>
      <c r="K38" s="33" t="inlineStr">
        <is>
          <t>Improvement</t>
        </is>
      </c>
      <c r="L38" s="33" t="inlineStr">
        <is>
          <t>Clarification Provided</t>
        </is>
      </c>
      <c r="M38" s="33" t="inlineStr">
        <is>
          <t>Geo-detection enhancement</t>
        </is>
      </c>
      <c r="N38" s="33" t="inlineStr">
        <is>
          <t>No</t>
        </is>
      </c>
      <c r="O38" s="33" t="inlineStr">
        <is>
          <t>Polygon methodology explained per Thresholds &amp; Guidelines; radius standardized by magnitude/depth.</t>
        </is>
      </c>
      <c r="P38" s="33" t="n"/>
      <c r="Q38" s="33" t="inlineStr">
        <is>
          <t>No</t>
        </is>
      </c>
      <c r="R38" s="39" t="n">
        <v>4</v>
      </c>
      <c r="S38" s="39" t="n"/>
      <c r="T38" s="35" t="n">
        <v>46113</v>
      </c>
      <c r="U38" s="33" t="inlineStr">
        <is>
          <t>Medium</t>
        </is>
      </c>
      <c r="V38" s="33" t="inlineStr">
        <is>
          <t>AI-Assisted Geofencing</t>
        </is>
      </c>
      <c r="X38" s="33" t="n"/>
      <c r="Y38" s="33" t="inlineStr">
        <is>
          <t>EventWatch Ops - Nitin Rindhe</t>
        </is>
      </c>
    </row>
    <row r="39">
      <c r="A39" s="35" t="n">
        <v>46113</v>
      </c>
      <c r="B39" s="37" t="n">
        <v>46142</v>
      </c>
      <c r="C39" s="33" t="inlineStr">
        <is>
          <t>Bankruptcy</t>
        </is>
      </c>
      <c r="D39" s="33" t="inlineStr">
        <is>
          <t>Ford</t>
        </is>
      </c>
      <c r="E39" s="39" t="n">
        <v>1</v>
      </c>
      <c r="F39" s="33" t="inlineStr">
        <is>
          <t>Missed Event Alert – Deltal Otomotiv Insolvency Filing (Ford Otosan Impact)</t>
        </is>
      </c>
      <c r="G39" s="33" t="inlineStr">
        <is>
          <t>Complaint</t>
        </is>
      </c>
      <c r="H39" s="33" t="inlineStr">
        <is>
          <t>Missed Event</t>
        </is>
      </c>
      <c r="I39" s="33" t="inlineStr">
        <is>
          <t>Product</t>
        </is>
      </c>
      <c r="J39" s="33" t="inlineStr">
        <is>
          <t>Event Identification</t>
        </is>
      </c>
      <c r="K39" s="33" t="inlineStr">
        <is>
          <t>Improvement</t>
        </is>
      </c>
      <c r="L39" s="33" t="inlineStr">
        <is>
          <t>Fixed</t>
        </is>
      </c>
      <c r="M39" s="33" t="inlineStr">
        <is>
          <t>Keyword expansion</t>
        </is>
      </c>
      <c r="N39" s="33" t="inlineStr">
        <is>
          <t>Yes</t>
        </is>
      </c>
      <c r="O39" s="33" t="inlineStr">
        <is>
          <t>Turkish keyword miss + source outside vendor network; keyword update + vendor request initiated.</t>
        </is>
      </c>
      <c r="P39" s="33" t="n"/>
      <c r="Q39" s="33" t="inlineStr">
        <is>
          <t>Yes</t>
        </is>
      </c>
      <c r="R39" s="39" t="n">
        <v>4</v>
      </c>
      <c r="S39" s="39" t="n"/>
      <c r="T39" s="35" t="n">
        <v>46113</v>
      </c>
      <c r="U39" s="33" t="inlineStr">
        <is>
          <t>Medium</t>
        </is>
      </c>
      <c r="V39" s="33" t="inlineStr">
        <is>
          <t>Multilingual Keyword Expansion</t>
        </is>
      </c>
      <c r="X39" s="33" t="n"/>
      <c r="Y39" s="33" t="inlineStr">
        <is>
          <t>Product &amp; Platform</t>
        </is>
      </c>
    </row>
    <row r="40">
      <c r="A40" s="35" t="n">
        <v>46113</v>
      </c>
      <c r="B40" s="37" t="n">
        <v>46142</v>
      </c>
      <c r="C40" s="33" t="inlineStr">
        <is>
          <t>Bankruptcy</t>
        </is>
      </c>
      <c r="D40" s="33" t="inlineStr">
        <is>
          <t>Ford</t>
        </is>
      </c>
      <c r="E40" s="39" t="n">
        <v>1</v>
      </c>
      <c r="F40" s="33" t="inlineStr">
        <is>
          <t>Urgent Review Required – Missed Insolvency Event | AluTec GmbH (FORD Escalation)</t>
        </is>
      </c>
      <c r="G40" s="33" t="inlineStr">
        <is>
          <t>Complaint</t>
        </is>
      </c>
      <c r="H40" s="33" t="inlineStr">
        <is>
          <t>Missed Event</t>
        </is>
      </c>
      <c r="I40" s="33" t="inlineStr">
        <is>
          <t>Product</t>
        </is>
      </c>
      <c r="J40" s="33" t="inlineStr">
        <is>
          <t>Event Identification</t>
        </is>
      </c>
      <c r="K40" s="33" t="inlineStr">
        <is>
          <t>Improvement</t>
        </is>
      </c>
      <c r="L40" s="33" t="inlineStr">
        <is>
          <t>Fixed</t>
        </is>
      </c>
      <c r="M40" s="33" t="inlineStr">
        <is>
          <t>Source coverage expansion</t>
        </is>
      </c>
      <c r="N40" s="33" t="inlineStr">
        <is>
          <t>Yes</t>
        </is>
      </c>
      <c r="O40" s="33" t="inlineStr">
        <is>
          <t>Insolvency missed due to unmapped supplier + niche-source limits; bulletin published after escalation. ~28 days delay.</t>
        </is>
      </c>
      <c r="P40" s="33" t="inlineStr">
        <is>
          <t>~28 days (Apr 1 proceedings → Apr 29 publish)</t>
        </is>
      </c>
      <c r="Q40" s="33" t="inlineStr">
        <is>
          <t>Yes</t>
        </is>
      </c>
      <c r="R40" s="39" t="n">
        <v>4</v>
      </c>
      <c r="S40" s="39" t="n">
        <v>672</v>
      </c>
      <c r="T40" s="35" t="n">
        <v>46113</v>
      </c>
      <c r="U40" s="33" t="inlineStr">
        <is>
          <t>Medium</t>
        </is>
      </c>
      <c r="V40" s="33" t="inlineStr">
        <is>
          <t>Dynamic Source Discovery</t>
        </is>
      </c>
      <c r="X40" s="33" t="n"/>
      <c r="Y40" s="33" t="inlineStr">
        <is>
          <t>Product &amp; Platform</t>
        </is>
      </c>
    </row>
    <row r="41">
      <c r="A41" s="35" t="n">
        <v>46113</v>
      </c>
      <c r="B41" s="37" t="n">
        <v>46142</v>
      </c>
      <c r="C41" s="33" t="inlineStr">
        <is>
          <t>Extreme Weather</t>
        </is>
      </c>
      <c r="D41" s="33" t="inlineStr">
        <is>
          <t>Collins Aerospace</t>
        </is>
      </c>
      <c r="E41" s="39" t="n">
        <v>1</v>
      </c>
      <c r="F41" s="33" t="inlineStr">
        <is>
          <t>Delay in WarRoom Creation – Tornado Event (Mineral Wells, Texas): Ticket#11211</t>
        </is>
      </c>
      <c r="G41" s="33" t="inlineStr">
        <is>
          <t>Complaint</t>
        </is>
      </c>
      <c r="H41" s="33" t="inlineStr">
        <is>
          <t>Delayed Event</t>
        </is>
      </c>
      <c r="I41" s="33" t="inlineStr">
        <is>
          <t>Process</t>
        </is>
      </c>
      <c r="J41" s="33" t="inlineStr">
        <is>
          <t>Captured Late</t>
        </is>
      </c>
      <c r="K41" s="33" t="inlineStr">
        <is>
          <t>Improvement</t>
        </is>
      </c>
      <c r="L41" s="33" t="inlineStr">
        <is>
          <t>Fixed</t>
        </is>
      </c>
      <c r="M41" s="33" t="inlineStr">
        <is>
          <t>Escalation automation</t>
        </is>
      </c>
      <c r="N41" s="33" t="inlineStr">
        <is>
          <t>Yes</t>
        </is>
      </c>
      <c r="O41" s="33" t="inlineStr">
        <is>
          <t>WarRoom created ~18 hours after tornado; investigation acknowledged.</t>
        </is>
      </c>
      <c r="P41" s="33" t="inlineStr">
        <is>
          <t>18 hours</t>
        </is>
      </c>
      <c r="Q41" s="33" t="inlineStr">
        <is>
          <t>Yes</t>
        </is>
      </c>
      <c r="R41" s="39" t="n">
        <v>4</v>
      </c>
      <c r="S41" s="39" t="n">
        <v>18</v>
      </c>
      <c r="T41" s="35" t="n">
        <v>46113</v>
      </c>
      <c r="U41" s="33" t="inlineStr">
        <is>
          <t>Medium</t>
        </is>
      </c>
      <c r="V41" s="33" t="inlineStr">
        <is>
          <t>WarRoom &amp; Decision Validation</t>
        </is>
      </c>
      <c r="X41" s="33" t="n"/>
      <c r="Y41" s="33" t="inlineStr">
        <is>
          <t>EventWatch Ops - Nitin Rindhe</t>
        </is>
      </c>
    </row>
    <row r="42">
      <c r="A42" s="35" t="n">
        <v>46143</v>
      </c>
      <c r="B42" s="37" t="n">
        <v>46143</v>
      </c>
      <c r="C42" s="33" t="inlineStr">
        <is>
          <t>Extreme Weather</t>
        </is>
      </c>
      <c r="D42" s="33" t="inlineStr">
        <is>
          <t>Collins Aerospace</t>
        </is>
      </c>
      <c r="E42" s="39" t="n">
        <v>1</v>
      </c>
      <c r="F42" s="33" t="inlineStr">
        <is>
          <t>Tornado (Mineral Wells, Texas)</t>
        </is>
      </c>
      <c r="G42" s="33" t="inlineStr">
        <is>
          <t>Complaint</t>
        </is>
      </c>
      <c r="H42" s="33" t="inlineStr">
        <is>
          <t>Delayed WarRoom</t>
        </is>
      </c>
      <c r="I42" s="33" t="inlineStr">
        <is>
          <t>People</t>
        </is>
      </c>
      <c r="J42" s="33" t="inlineStr">
        <is>
          <t>Review</t>
        </is>
      </c>
      <c r="K42" s="33" t="inlineStr">
        <is>
          <t>Improvement</t>
        </is>
      </c>
      <c r="L42" s="33" t="inlineStr">
        <is>
          <t>Fixed</t>
        </is>
      </c>
      <c r="M42" s="33" t="inlineStr">
        <is>
          <t>Escalation automation</t>
        </is>
      </c>
      <c r="N42" s="33" t="inlineStr">
        <is>
          <t>Yes</t>
        </is>
      </c>
      <c r="O42" s="33" t="inlineStr">
        <is>
          <t>Tornado occurred Apr 28, WarRoom created Apr 29 (~18 hr delay). System detected but team deprioritized</t>
        </is>
      </c>
      <c r="P42" s="33" t="inlineStr">
        <is>
          <t>~18 hours</t>
        </is>
      </c>
      <c r="Q42" s="33" t="inlineStr">
        <is>
          <t>Yes</t>
        </is>
      </c>
      <c r="R42" s="39" t="n">
        <v>5</v>
      </c>
      <c r="S42" s="39" t="n">
        <v>18</v>
      </c>
      <c r="T42" s="35" t="n">
        <v>46143</v>
      </c>
      <c r="U42" s="33" t="inlineStr">
        <is>
          <t>Medium</t>
        </is>
      </c>
      <c r="V42" s="33" t="inlineStr">
        <is>
          <t>WarRoom &amp; Decision Validation</t>
        </is>
      </c>
      <c r="X42" s="33" t="n"/>
      <c r="Y42" s="33" t="inlineStr">
        <is>
          <t>EventWatch Ops - Nitin Rindhe</t>
        </is>
      </c>
    </row>
    <row r="43">
      <c r="A43" s="35" t="n">
        <v>46143</v>
      </c>
      <c r="B43" s="37" t="n">
        <v>46143</v>
      </c>
      <c r="C43" s="33" t="inlineStr">
        <is>
          <t>Bankruptcy</t>
        </is>
      </c>
      <c r="D43" s="33" t="inlineStr">
        <is>
          <t>Ford</t>
        </is>
      </c>
      <c r="E43" s="39" t="n">
        <v>1</v>
      </c>
      <c r="F43" s="33" t="inlineStr">
        <is>
          <t>AluTec GmbH Insolvency (Fürth, Germany)</t>
        </is>
      </c>
      <c r="G43" s="33" t="inlineStr">
        <is>
          <t>Complaint</t>
        </is>
      </c>
      <c r="H43" s="33" t="inlineStr">
        <is>
          <t>Missed Event</t>
        </is>
      </c>
      <c r="I43" s="33" t="inlineStr">
        <is>
          <t>Product</t>
        </is>
      </c>
      <c r="J43" s="33" t="inlineStr">
        <is>
          <t>Event Identification</t>
        </is>
      </c>
      <c r="K43" s="33" t="inlineStr">
        <is>
          <t>Improvement</t>
        </is>
      </c>
      <c r="L43" s="33" t="inlineStr">
        <is>
          <t>Fixed</t>
        </is>
      </c>
      <c r="M43" s="33" t="inlineStr">
        <is>
          <t>Source coverage expansion</t>
        </is>
      </c>
      <c r="N43" s="33" t="inlineStr">
        <is>
          <t>Yes</t>
        </is>
      </c>
      <c r="O43" s="33" t="inlineStr">
        <is>
          <t>Critical missed alert flagged; insolvency opened Apr 1. Source onboarding initiated. ~30 days delay.</t>
        </is>
      </c>
      <c r="P43" s="33" t="inlineStr">
        <is>
          <t>~30 days (Apr 1 → May 1)</t>
        </is>
      </c>
      <c r="Q43" s="33" t="inlineStr">
        <is>
          <t>Yes</t>
        </is>
      </c>
      <c r="R43" s="39" t="n">
        <v>5</v>
      </c>
      <c r="S43" s="39" t="n">
        <v>720</v>
      </c>
      <c r="T43" s="35" t="n">
        <v>46143</v>
      </c>
      <c r="U43" s="33" t="inlineStr">
        <is>
          <t>Medium</t>
        </is>
      </c>
      <c r="V43" s="33" t="inlineStr">
        <is>
          <t>Dynamic Source Discovery</t>
        </is>
      </c>
      <c r="X43" s="33" t="n"/>
      <c r="Y43" s="33" t="inlineStr">
        <is>
          <t>Product &amp; Platform</t>
        </is>
      </c>
    </row>
    <row r="44">
      <c r="A44" s="35" t="n">
        <v>46143</v>
      </c>
      <c r="B44" s="37" t="n">
        <v>46143</v>
      </c>
      <c r="C44" s="33" t="inlineStr">
        <is>
          <t>Regulatory Change</t>
        </is>
      </c>
      <c r="D44" s="33" t="inlineStr">
        <is>
          <t>Fedrigoni Group</t>
        </is>
      </c>
      <c r="E44" s="39" t="n">
        <v>1</v>
      </c>
      <c r="F44" s="33" t="inlineStr">
        <is>
          <t>Six paper makers price-fixing fines (South Korea)</t>
        </is>
      </c>
      <c r="G44" s="33" t="inlineStr">
        <is>
          <t>Complaint</t>
        </is>
      </c>
      <c r="H44" s="33" t="inlineStr">
        <is>
          <t>Missed WarRoom</t>
        </is>
      </c>
      <c r="I44" s="33" t="inlineStr">
        <is>
          <t>Product</t>
        </is>
      </c>
      <c r="J44" s="33" t="inlineStr">
        <is>
          <t>Keyword Update</t>
        </is>
      </c>
      <c r="K44" s="33" t="inlineStr">
        <is>
          <t>Improvement</t>
        </is>
      </c>
      <c r="L44" s="33" t="inlineStr">
        <is>
          <t>Fixed</t>
        </is>
      </c>
      <c r="M44" s="33" t="inlineStr">
        <is>
          <t>Dynamic Source Discovery</t>
        </is>
      </c>
      <c r="N44" s="33" t="inlineStr">
        <is>
          <t>Yes</t>
        </is>
      </c>
      <c r="O44" s="33" t="inlineStr">
        <is>
          <t>WarRoom not found for paper firms; keyword gap confirmed. WarRoom created Apr 30; keywords updated.</t>
        </is>
      </c>
      <c r="P44" s="33" t="n"/>
      <c r="Q44" s="33" t="inlineStr">
        <is>
          <t>Yes</t>
        </is>
      </c>
      <c r="R44" s="39" t="n">
        <v>5</v>
      </c>
      <c r="S44" s="39" t="n"/>
      <c r="T44" s="35" t="n">
        <v>46143</v>
      </c>
      <c r="U44" s="33" t="inlineStr">
        <is>
          <t>Medium</t>
        </is>
      </c>
      <c r="V44" s="33" t="inlineStr">
        <is>
          <t>Dynamic Source Discovery</t>
        </is>
      </c>
      <c r="X44" s="33" t="n"/>
      <c r="Y44" s="33" t="inlineStr">
        <is>
          <t>Product &amp; Platform</t>
        </is>
      </c>
    </row>
    <row r="45">
      <c r="A45" s="35" t="n">
        <v>46143</v>
      </c>
      <c r="B45" s="37" t="n">
        <v>46147</v>
      </c>
      <c r="C45" s="33" t="inlineStr">
        <is>
          <t>Bankruptcy</t>
        </is>
      </c>
      <c r="D45" s="33" t="inlineStr">
        <is>
          <t>Ford</t>
        </is>
      </c>
      <c r="E45" s="39" t="n">
        <v>1</v>
      </c>
      <c r="F45" s="33" t="inlineStr">
        <is>
          <t>Trinseo "Misses Interest Payments…" (SIC not triggered)</t>
        </is>
      </c>
      <c r="G45" s="33" t="inlineStr">
        <is>
          <t>Complaint</t>
        </is>
      </c>
      <c r="H45" s="33" t="inlineStr">
        <is>
          <t>Incorrect Action</t>
        </is>
      </c>
      <c r="I45" s="33" t="inlineStr">
        <is>
          <t>Product</t>
        </is>
      </c>
      <c r="J45" s="33" t="inlineStr">
        <is>
          <t>Policy/Logic</t>
        </is>
      </c>
      <c r="K45" s="33" t="inlineStr">
        <is>
          <t>Improvement</t>
        </is>
      </c>
      <c r="L45" s="33" t="inlineStr">
        <is>
          <t>Clarification Provided</t>
        </is>
      </c>
      <c r="M45" s="33" t="inlineStr">
        <is>
          <t>SIC trigger logic review for financial risk events</t>
        </is>
      </c>
      <c r="N45" s="33" t="inlineStr">
        <is>
          <t>No</t>
        </is>
      </c>
      <c r="O45" s="33" t="inlineStr">
        <is>
          <t>Customer asked if SIC can be enabled for financial risk events; policy clarification provided.</t>
        </is>
      </c>
      <c r="P45" s="33" t="n"/>
      <c r="Q45" s="33" t="inlineStr">
        <is>
          <t>No</t>
        </is>
      </c>
      <c r="R45" s="39" t="n">
        <v>5</v>
      </c>
      <c r="S45" s="39" t="n"/>
      <c r="T45" s="35" t="n">
        <v>46143</v>
      </c>
      <c r="U45" s="33" t="inlineStr">
        <is>
          <t>Medium</t>
        </is>
      </c>
      <c r="V45" s="33" t="inlineStr">
        <is>
          <t>Other Control Automation</t>
        </is>
      </c>
      <c r="X45" s="33" t="n"/>
      <c r="Y45" s="33" t="inlineStr">
        <is>
          <t>Product &amp; Platform</t>
        </is>
      </c>
    </row>
    <row r="46">
      <c r="A46" s="35" t="n">
        <v>46143</v>
      </c>
      <c r="B46" s="37" t="n">
        <v>46149</v>
      </c>
      <c r="C46" s="33" t="inlineStr">
        <is>
          <t>Regulatory Change</t>
        </is>
      </c>
      <c r="D46" s="33" t="inlineStr">
        <is>
          <t>GM</t>
        </is>
      </c>
      <c r="E46" s="39" t="n">
        <v>1</v>
      </c>
      <c r="F46" s="33" t="inlineStr">
        <is>
          <t>OFAC alert: "Sanctions Risks of Iranian Demands for Strait of Hormuz Passage"</t>
        </is>
      </c>
      <c r="G46" s="33" t="inlineStr">
        <is>
          <t>Complaint</t>
        </is>
      </c>
      <c r="H46" s="33" t="inlineStr">
        <is>
          <t>Missed Event</t>
        </is>
      </c>
      <c r="I46" s="33" t="inlineStr">
        <is>
          <t>People</t>
        </is>
      </c>
      <c r="J46" s="33" t="inlineStr">
        <is>
          <t>Review</t>
        </is>
      </c>
      <c r="K46" s="33" t="inlineStr">
        <is>
          <t>Improvement</t>
        </is>
      </c>
      <c r="L46" s="33" t="inlineStr">
        <is>
          <t>Fixed</t>
        </is>
      </c>
      <c r="M46" s="33" t="inlineStr">
        <is>
          <t>Escalation automation</t>
        </is>
      </c>
      <c r="N46" s="33" t="inlineStr">
        <is>
          <t>Yes</t>
        </is>
      </c>
      <c r="O46" s="33" t="inlineStr">
        <is>
          <t>Feeds captured but classified as not impactful; NI review missed. Re-evaluated and published</t>
        </is>
      </c>
      <c r="P46" s="33" t="n"/>
      <c r="Q46" s="33" t="inlineStr">
        <is>
          <t>Yes</t>
        </is>
      </c>
      <c r="R46" s="39" t="n">
        <v>5</v>
      </c>
      <c r="S46" s="39" t="n"/>
      <c r="T46" s="35" t="n">
        <v>46143</v>
      </c>
      <c r="U46" s="33" t="inlineStr">
        <is>
          <t>Medium</t>
        </is>
      </c>
      <c r="V46" s="33" t="inlineStr">
        <is>
          <t>WarRoom &amp; Decision Validation</t>
        </is>
      </c>
      <c r="X46" s="33" t="n"/>
      <c r="Y46" s="33" t="inlineStr">
        <is>
          <t>EventWatch Ops - Nitin Rindhe</t>
        </is>
      </c>
    </row>
    <row r="47">
      <c r="A47" s="35" t="n">
        <v>46143</v>
      </c>
      <c r="B47" s="37" t="n">
        <v>46149</v>
      </c>
      <c r="C47" s="33" t="inlineStr">
        <is>
          <t>Regulatory Change</t>
        </is>
      </c>
      <c r="D47" s="33" t="inlineStr">
        <is>
          <t>Ford</t>
        </is>
      </c>
      <c r="E47" s="39" t="n">
        <v>1</v>
      </c>
      <c r="F47" s="33" t="inlineStr">
        <is>
          <t>Yangzhou Yangjie EU sanctions listing</t>
        </is>
      </c>
      <c r="G47" s="33" t="inlineStr">
        <is>
          <t>Complaint</t>
        </is>
      </c>
      <c r="H47" s="33" t="inlineStr">
        <is>
          <t>Missed / Delayed Event</t>
        </is>
      </c>
      <c r="I47" s="33" t="inlineStr">
        <is>
          <t>Product</t>
        </is>
      </c>
      <c r="J47" s="33" t="inlineStr">
        <is>
          <t>Keyword Update</t>
        </is>
      </c>
      <c r="K47" s="33" t="inlineStr">
        <is>
          <t>Improvement</t>
        </is>
      </c>
      <c r="L47" s="33" t="inlineStr">
        <is>
          <t>Fixed</t>
        </is>
      </c>
      <c r="M47" s="33" t="inlineStr">
        <is>
          <t>Dynamic Source Discovery</t>
        </is>
      </c>
      <c r="N47" s="33" t="inlineStr">
        <is>
          <t>Yes</t>
        </is>
      </c>
      <c r="O47" s="33" t="inlineStr">
        <is>
          <t>Sanctions compliance demanded; keyword gap confirmed. WarRoom created after customer email.</t>
        </is>
      </c>
      <c r="P47" s="33" t="n"/>
      <c r="Q47" s="33" t="inlineStr">
        <is>
          <t>Yes</t>
        </is>
      </c>
      <c r="R47" s="39" t="n">
        <v>5</v>
      </c>
      <c r="S47" s="39" t="n"/>
      <c r="T47" s="35" t="n">
        <v>46143</v>
      </c>
      <c r="U47" s="33" t="inlineStr">
        <is>
          <t>Medium</t>
        </is>
      </c>
      <c r="V47" s="33" t="inlineStr">
        <is>
          <t>Dynamic Source Discovery</t>
        </is>
      </c>
      <c r="X47" s="33" t="n"/>
      <c r="Y47" s="33" t="inlineStr">
        <is>
          <t>Product &amp; Platform</t>
        </is>
      </c>
    </row>
    <row r="48">
      <c r="A48" s="35" t="n">
        <v>46143</v>
      </c>
      <c r="B48" s="37" t="n">
        <v>46154</v>
      </c>
      <c r="C48" s="33" t="inlineStr">
        <is>
          <t>Cyber Attack</t>
        </is>
      </c>
      <c r="D48" s="33" t="inlineStr">
        <is>
          <t>Eaton</t>
        </is>
      </c>
      <c r="E48" s="39" t="n">
        <v>1</v>
      </c>
      <c r="F48" s="33" t="inlineStr">
        <is>
          <t>Axios npm package compromise (Mar 31)</t>
        </is>
      </c>
      <c r="G48" s="33" t="inlineStr">
        <is>
          <t>Complaint</t>
        </is>
      </c>
      <c r="H48" s="33" t="inlineStr">
        <is>
          <t>Coverage Verification Request</t>
        </is>
      </c>
      <c r="I48" s="33" t="inlineStr">
        <is>
          <t>Process</t>
        </is>
      </c>
      <c r="J48" s="33" t="inlineStr">
        <is>
          <t>Process Clarification</t>
        </is>
      </c>
      <c r="K48" s="33" t="inlineStr">
        <is>
          <t>Improvement</t>
        </is>
      </c>
      <c r="L48" s="33" t="inlineStr">
        <is>
          <t>Clarification Provided</t>
        </is>
      </c>
      <c r="M48" s="33" t="inlineStr">
        <is>
          <t>Relevancy logic review</t>
        </is>
      </c>
      <c r="N48" s="33" t="inlineStr">
        <is>
          <t>Yes</t>
        </is>
      </c>
      <c r="O48" s="33" t="inlineStr">
        <is>
          <t>Customer asked RCA for Axios npm compromise; classified not relevant based on mapping + no operational disruption.</t>
        </is>
      </c>
      <c r="P48" s="33" t="n"/>
      <c r="Q48" s="33" t="inlineStr">
        <is>
          <t>No</t>
        </is>
      </c>
      <c r="R48" s="39" t="n">
        <v>5</v>
      </c>
      <c r="S48" s="39" t="n"/>
      <c r="T48" s="35" t="n">
        <v>46143</v>
      </c>
      <c r="U48" s="33" t="inlineStr">
        <is>
          <t>Medium</t>
        </is>
      </c>
      <c r="V48" s="33" t="inlineStr">
        <is>
          <t>Other Control Automation</t>
        </is>
      </c>
      <c r="X48" s="33" t="n"/>
      <c r="Y48" s="33" t="inlineStr">
        <is>
          <t>EventWatch Ops - Nitin Rindhe</t>
        </is>
      </c>
    </row>
    <row r="49">
      <c r="A49" s="35" t="n">
        <v>46143</v>
      </c>
      <c r="B49" s="37" t="n">
        <v>46154</v>
      </c>
      <c r="C49" s="33" t="inlineStr">
        <is>
          <t>Cyber Attack</t>
        </is>
      </c>
      <c r="D49" s="33" t="inlineStr">
        <is>
          <t>NVIDIA</t>
        </is>
      </c>
      <c r="E49" s="39" t="n">
        <v>1</v>
      </c>
      <c r="F49" s="33" t="inlineStr">
        <is>
          <t>Foxconn cyber incident (outage → ransomware confirmation)</t>
        </is>
      </c>
      <c r="G49" s="33" t="inlineStr">
        <is>
          <t>Complaint</t>
        </is>
      </c>
      <c r="H49" s="33" t="inlineStr">
        <is>
          <t>Missed + Delayed Reporting</t>
        </is>
      </c>
      <c r="I49" s="33" t="inlineStr">
        <is>
          <t>People</t>
        </is>
      </c>
      <c r="J49" s="33" t="inlineStr">
        <is>
          <t>Review</t>
        </is>
      </c>
      <c r="K49" s="33" t="inlineStr">
        <is>
          <t>Improvement</t>
        </is>
      </c>
      <c r="L49" s="33" t="inlineStr">
        <is>
          <t>Fixed</t>
        </is>
      </c>
      <c r="M49" s="33" t="inlineStr">
        <is>
          <t>Escalation automation</t>
        </is>
      </c>
      <c r="N49" s="33" t="inlineStr">
        <is>
          <t>Yes</t>
        </is>
      </c>
      <c r="O49" s="33" t="inlineStr">
        <is>
          <t>Outage should have been reported May 6 but missed; cyber reporting delayed ~6 days. Data Science review ongoing.</t>
        </is>
      </c>
      <c r="P49" s="33" t="inlineStr">
        <is>
          <t>~6 days (May 6 outage → May 12 report)</t>
        </is>
      </c>
      <c r="Q49" s="33" t="inlineStr">
        <is>
          <t>Yes</t>
        </is>
      </c>
      <c r="R49" s="39" t="n">
        <v>5</v>
      </c>
      <c r="S49" s="39" t="n">
        <v>144</v>
      </c>
      <c r="T49" s="35" t="n">
        <v>46143</v>
      </c>
      <c r="U49" s="33" t="inlineStr">
        <is>
          <t>High</t>
        </is>
      </c>
      <c r="V49" s="33" t="inlineStr">
        <is>
          <t>WarRoom &amp; Decision Validation</t>
        </is>
      </c>
      <c r="X49" s="33" t="n"/>
      <c r="Y49" s="33" t="inlineStr">
        <is>
          <t>EventWatch Ops - Nitin Rindhe</t>
        </is>
      </c>
    </row>
    <row r="50">
      <c r="A50" s="35" t="n">
        <v>46143</v>
      </c>
      <c r="B50" s="37" t="n">
        <v>46155</v>
      </c>
      <c r="C50" s="33" t="inlineStr">
        <is>
          <t>Supply Shortage</t>
        </is>
      </c>
      <c r="D50" s="33" t="inlineStr">
        <is>
          <t>GM</t>
        </is>
      </c>
      <c r="E50" s="39" t="n">
        <v>1</v>
      </c>
      <c r="F50" s="33" t="inlineStr">
        <is>
          <t>Oakland County Water Main Break</t>
        </is>
      </c>
      <c r="G50" s="33" t="inlineStr">
        <is>
          <t>Complaint</t>
        </is>
      </c>
      <c r="H50" s="33" t="inlineStr">
        <is>
          <t>Delayed Event</t>
        </is>
      </c>
      <c r="I50" s="33" t="inlineStr">
        <is>
          <t>People</t>
        </is>
      </c>
      <c r="J50" s="33" t="inlineStr">
        <is>
          <t>Review</t>
        </is>
      </c>
      <c r="K50" s="33" t="inlineStr">
        <is>
          <t>Improvement</t>
        </is>
      </c>
      <c r="L50" s="33" t="inlineStr">
        <is>
          <t>Fixed</t>
        </is>
      </c>
      <c r="M50" s="33" t="inlineStr">
        <is>
          <t>Escalation automation</t>
        </is>
      </c>
      <c r="N50" s="33" t="inlineStr">
        <is>
          <t>Yes</t>
        </is>
      </c>
      <c r="O50" s="33" t="inlineStr">
        <is>
          <t>Water main break began May 10; WarRoom not until May 12 (~48 hr delay). Escalation judgment lapse; NC raised + coaching.</t>
        </is>
      </c>
      <c r="P50" s="33" t="inlineStr">
        <is>
          <t>~48 hours</t>
        </is>
      </c>
      <c r="Q50" s="33" t="inlineStr">
        <is>
          <t>Yes</t>
        </is>
      </c>
      <c r="R50" s="39" t="n">
        <v>5</v>
      </c>
      <c r="S50" s="39" t="n">
        <v>48</v>
      </c>
      <c r="T50" s="35" t="n">
        <v>46143</v>
      </c>
      <c r="U50" s="33" t="inlineStr">
        <is>
          <t>High</t>
        </is>
      </c>
      <c r="V50" s="33" t="inlineStr">
        <is>
          <t>WarRoom &amp; Decision Validation</t>
        </is>
      </c>
      <c r="X50" s="33" t="n"/>
      <c r="Y50" s="33" t="inlineStr">
        <is>
          <t>EventWatch Ops - Nitin Rindhe</t>
        </is>
      </c>
    </row>
    <row r="51">
      <c r="A51" s="35" t="n">
        <v>46143</v>
      </c>
      <c r="B51" s="37" t="n">
        <v>46157</v>
      </c>
      <c r="C51" s="33" t="inlineStr">
        <is>
          <t>Labor Disruption</t>
        </is>
      </c>
      <c r="D51" s="33" t="inlineStr">
        <is>
          <t>Ford</t>
        </is>
      </c>
      <c r="E51" s="39" t="n">
        <v>1</v>
      </c>
      <c r="F51" s="33" t="inlineStr">
        <is>
          <t>Metal sector strike (Pontevedra/Vigo, Galicia)</t>
        </is>
      </c>
      <c r="G51" s="33" t="inlineStr">
        <is>
          <t>Complaint</t>
        </is>
      </c>
      <c r="H51" s="33" t="inlineStr">
        <is>
          <t>Missed Event</t>
        </is>
      </c>
      <c r="I51" s="33" t="inlineStr">
        <is>
          <t>Product</t>
        </is>
      </c>
      <c r="J51" s="33" t="inlineStr">
        <is>
          <t>Source Coverage</t>
        </is>
      </c>
      <c r="K51" s="33" t="inlineStr">
        <is>
          <t>Improvement</t>
        </is>
      </c>
      <c r="L51" s="33" t="inlineStr">
        <is>
          <t>Fixed</t>
        </is>
      </c>
      <c r="M51" s="33" t="inlineStr">
        <is>
          <t>Dynamic Source Discovery</t>
        </is>
      </c>
      <c r="N51" s="33" t="inlineStr">
        <is>
          <t>Yes</t>
        </is>
      </c>
      <c r="O51" s="33" t="inlineStr">
        <is>
          <t>Strike caused total industrial paralysis; sources not monitored. Vendor source request raised.</t>
        </is>
      </c>
      <c r="P51" s="33" t="n"/>
      <c r="Q51" s="33" t="inlineStr">
        <is>
          <t>Yes</t>
        </is>
      </c>
      <c r="R51" s="39" t="n">
        <v>5</v>
      </c>
      <c r="S51" s="39" t="n"/>
      <c r="T51" s="35" t="n">
        <v>46143</v>
      </c>
      <c r="U51" s="33" t="inlineStr">
        <is>
          <t>Medium</t>
        </is>
      </c>
      <c r="V51" s="33" t="inlineStr">
        <is>
          <t>Dynamic Source Discovery</t>
        </is>
      </c>
      <c r="X51" s="33" t="n"/>
      <c r="Y51" s="33" t="inlineStr">
        <is>
          <t>Product &amp; Platform</t>
        </is>
      </c>
    </row>
    <row r="52">
      <c r="A52" s="35" t="n">
        <v>46143</v>
      </c>
      <c r="B52" s="37" t="n">
        <v>46157</v>
      </c>
      <c r="C52" s="33" t="inlineStr">
        <is>
          <t>Cyber Attack</t>
        </is>
      </c>
      <c r="D52" s="33" t="inlineStr">
        <is>
          <t>Bombardier</t>
        </is>
      </c>
      <c r="E52" s="39" t="n">
        <v>1</v>
      </c>
      <c r="F52" s="33" t="inlineStr">
        <is>
          <t>STELIA North America ransomware attack</t>
        </is>
      </c>
      <c r="G52" s="33" t="inlineStr">
        <is>
          <t>Complaint</t>
        </is>
      </c>
      <c r="H52" s="33" t="inlineStr">
        <is>
          <t>Missed WarRoom / No notification</t>
        </is>
      </c>
      <c r="I52" s="33" t="inlineStr">
        <is>
          <t>Product</t>
        </is>
      </c>
      <c r="J52" s="33" t="inlineStr">
        <is>
          <t>Process Clarification</t>
        </is>
      </c>
      <c r="K52" s="33" t="inlineStr">
        <is>
          <t>Improvement</t>
        </is>
      </c>
      <c r="L52" s="33" t="inlineStr">
        <is>
          <t>Clarification Provided</t>
        </is>
      </c>
      <c r="M52" s="33" t="inlineStr">
        <is>
          <t>Mapping validation</t>
        </is>
      </c>
      <c r="N52" s="33" t="inlineStr">
        <is>
          <t>Yes</t>
        </is>
      </c>
      <c r="O52" s="33" t="inlineStr">
        <is>
          <t>STELIA is listed supplier but no WarRoom/notification created. Investigation and portal checks requested.</t>
        </is>
      </c>
      <c r="P52" s="33" t="n"/>
      <c r="Q52" s="33" t="inlineStr">
        <is>
          <t>Yes</t>
        </is>
      </c>
      <c r="R52" s="39" t="n">
        <v>5</v>
      </c>
      <c r="S52" s="39" t="n"/>
      <c r="T52" s="35" t="n">
        <v>46143</v>
      </c>
      <c r="U52" s="33" t="inlineStr">
        <is>
          <t>Medium</t>
        </is>
      </c>
      <c r="V52" s="33" t="inlineStr">
        <is>
          <t>Entity &amp; Supplier Resolution</t>
        </is>
      </c>
      <c r="X52" s="33" t="n"/>
      <c r="Y52" s="33" t="inlineStr">
        <is>
          <t>Product &amp; Platform</t>
        </is>
      </c>
    </row>
    <row r="53">
      <c r="A53" s="35" t="n">
        <v>46143</v>
      </c>
      <c r="B53" s="37" t="n">
        <v>46162</v>
      </c>
      <c r="C53" s="33" t="inlineStr">
        <is>
          <t>Supply Shortage</t>
        </is>
      </c>
      <c r="D53" s="33" t="inlineStr">
        <is>
          <t>Eaton</t>
        </is>
      </c>
      <c r="E53" s="39" t="n">
        <v>1</v>
      </c>
      <c r="F53" s="33" t="inlineStr">
        <is>
          <t>"Eggs/Chicken/FMCG" alerts vs. cyber/software supply-chain events</t>
        </is>
      </c>
      <c r="G53" s="33" t="inlineStr">
        <is>
          <t>Complaint</t>
        </is>
      </c>
      <c r="H53" s="33" t="inlineStr">
        <is>
          <t>Wrong Relevancy</t>
        </is>
      </c>
      <c r="I53" s="33" t="inlineStr">
        <is>
          <t>Product</t>
        </is>
      </c>
      <c r="J53" s="33" t="inlineStr">
        <is>
          <t>Relevancy</t>
        </is>
      </c>
      <c r="K53" s="33" t="inlineStr">
        <is>
          <t>Improvement</t>
        </is>
      </c>
      <c r="L53" s="33" t="inlineStr">
        <is>
          <t>Clarification Provided</t>
        </is>
      </c>
      <c r="M53" s="33" t="inlineStr">
        <is>
          <t>Digital vs physical risk threshold consistency review</t>
        </is>
      </c>
      <c r="N53" s="33" t="inlineStr">
        <is>
          <t>Yes</t>
        </is>
      </c>
      <c r="O53" s="33" t="inlineStr">
        <is>
          <t>Customer argued physical commodity alerts irrelevant while software supply-chain risk should be prioritized. Relevancy review initiated.</t>
        </is>
      </c>
      <c r="P53" s="33" t="n"/>
      <c r="Q53" s="33" t="inlineStr">
        <is>
          <t>No</t>
        </is>
      </c>
      <c r="R53" s="39" t="n">
        <v>5</v>
      </c>
      <c r="S53" s="39" t="n"/>
      <c r="T53" s="35" t="n">
        <v>46143</v>
      </c>
      <c r="U53" s="33" t="inlineStr">
        <is>
          <t>Medium</t>
        </is>
      </c>
      <c r="V53" s="33" t="inlineStr">
        <is>
          <t>Other Control Automation</t>
        </is>
      </c>
      <c r="X53" s="33" t="n"/>
      <c r="Y53" s="33" t="inlineStr">
        <is>
          <t>Product &amp; Platform</t>
        </is>
      </c>
    </row>
    <row r="54">
      <c r="A54" s="35" t="n">
        <v>46143</v>
      </c>
      <c r="B54" s="37" t="n">
        <v>46162</v>
      </c>
      <c r="C54" s="33" t="inlineStr">
        <is>
          <t>Protest/Riot</t>
        </is>
      </c>
      <c r="D54" s="33" t="inlineStr">
        <is>
          <t>Ford</t>
        </is>
      </c>
      <c r="E54" s="39" t="n">
        <v>1</v>
      </c>
      <c r="F54" s="33" t="inlineStr">
        <is>
          <t>Highway 57 blockade (Querétaro–San Luis Potosí)</t>
        </is>
      </c>
      <c r="G54" s="33" t="inlineStr">
        <is>
          <t>Complaint</t>
        </is>
      </c>
      <c r="H54" s="33" t="inlineStr">
        <is>
          <t>Missed Event</t>
        </is>
      </c>
      <c r="I54" s="33" t="inlineStr">
        <is>
          <t>Product</t>
        </is>
      </c>
      <c r="J54" s="33" t="inlineStr">
        <is>
          <t>Event Identification</t>
        </is>
      </c>
      <c r="K54" s="33" t="inlineStr">
        <is>
          <t>Improvement</t>
        </is>
      </c>
      <c r="L54" s="33" t="inlineStr">
        <is>
          <t>RCA Shared</t>
        </is>
      </c>
      <c r="M54" s="33" t="inlineStr">
        <is>
          <t>Geo-detection enhancement</t>
        </is>
      </c>
      <c r="N54" s="33" t="inlineStr">
        <is>
          <t>Yes</t>
        </is>
      </c>
      <c r="O54" s="33" t="inlineStr">
        <is>
          <t>RCA shared with customer; source coverage + keyword gap identified. Blockade lasted 27+ hours; impacted suppliers in Santa Rosa Jáuregui.</t>
        </is>
      </c>
      <c r="P54" s="33" t="n"/>
      <c r="Q54" s="33" t="inlineStr">
        <is>
          <t>Yes</t>
        </is>
      </c>
      <c r="R54" s="39" t="n">
        <v>5</v>
      </c>
      <c r="S54" s="39" t="n"/>
      <c r="T54" s="35" t="n">
        <v>46143</v>
      </c>
      <c r="U54" s="33" t="inlineStr">
        <is>
          <t>Medium</t>
        </is>
      </c>
      <c r="V54" s="33" t="inlineStr">
        <is>
          <t>AI-Assisted Geofencing</t>
        </is>
      </c>
      <c r="X54" s="33" t="n"/>
      <c r="Y54" s="33" t="inlineStr">
        <is>
          <t>Product &amp; Platform</t>
        </is>
      </c>
    </row>
    <row r="55">
      <c r="A55" s="35" t="n">
        <v>46143</v>
      </c>
      <c r="B55" s="37" t="n">
        <v>46162</v>
      </c>
      <c r="C55" s="33" t="inlineStr">
        <is>
          <t>Merger &amp; Acquisition</t>
        </is>
      </c>
      <c r="D55" s="33" t="inlineStr">
        <is>
          <t>NVR</t>
        </is>
      </c>
      <c r="E55" s="39" t="n">
        <v>1</v>
      </c>
      <c r="F55" s="33" t="inlineStr">
        <is>
          <t>SRS Distribution completes acquisition of Mingledorff's</t>
        </is>
      </c>
      <c r="G55" s="33" t="inlineStr">
        <is>
          <t>Complaint</t>
        </is>
      </c>
      <c r="H55" s="33" t="inlineStr">
        <is>
          <t>Delayed / Missing WarRoom</t>
        </is>
      </c>
      <c r="I55" s="33" t="inlineStr">
        <is>
          <t>People</t>
        </is>
      </c>
      <c r="J55" s="33" t="inlineStr">
        <is>
          <t>Prioritization</t>
        </is>
      </c>
      <c r="K55" s="33" t="inlineStr">
        <is>
          <t>Improvement</t>
        </is>
      </c>
      <c r="L55" s="33" t="inlineStr">
        <is>
          <t>Fixed</t>
        </is>
      </c>
      <c r="M55" s="33" t="inlineStr">
        <is>
          <t>Mapping validation</t>
        </is>
      </c>
      <c r="N55" s="33" t="inlineStr">
        <is>
          <t>Yes</t>
        </is>
      </c>
      <c r="O55" s="33" t="inlineStr">
        <is>
          <t>Supplier mapped but WarRoom delayed ~9 days; internal notes mention erosion of trust. RCA requested.</t>
        </is>
      </c>
      <c r="P55" s="33" t="inlineStr">
        <is>
          <t>~9 days (May 11 → May 20)</t>
        </is>
      </c>
      <c r="Q55" s="33" t="inlineStr">
        <is>
          <t>Yes</t>
        </is>
      </c>
      <c r="R55" s="39" t="n">
        <v>5</v>
      </c>
      <c r="S55" s="39" t="n">
        <v>216</v>
      </c>
      <c r="T55" s="35" t="n">
        <v>46143</v>
      </c>
      <c r="U55" s="33" t="inlineStr">
        <is>
          <t>Medium</t>
        </is>
      </c>
      <c r="V55" s="33" t="inlineStr">
        <is>
          <t>Entity &amp; Supplier Resolution</t>
        </is>
      </c>
      <c r="X55" s="33" t="n"/>
      <c r="Y55" s="33" t="inlineStr">
        <is>
          <t>EventWatch Ops - Nitin Rindhe</t>
        </is>
      </c>
    </row>
    <row r="56">
      <c r="A56" s="35" t="n">
        <v>46143</v>
      </c>
      <c r="B56" s="37" t="n">
        <v>46163</v>
      </c>
      <c r="C56" s="33" t="inlineStr">
        <is>
          <t>Wildfire</t>
        </is>
      </c>
      <c r="D56" s="33" t="inlineStr">
        <is>
          <t>Collins Aerospace</t>
        </is>
      </c>
      <c r="E56" s="39" t="n">
        <v>1</v>
      </c>
      <c r="F56" s="33" t="inlineStr">
        <is>
          <t>Sandy Fire (Simi Valley, CA)</t>
        </is>
      </c>
      <c r="G56" s="33" t="inlineStr">
        <is>
          <t>Complaint</t>
        </is>
      </c>
      <c r="H56" s="33" t="inlineStr">
        <is>
          <t>Delayed WarRoom</t>
        </is>
      </c>
      <c r="I56" s="33" t="inlineStr">
        <is>
          <t>People</t>
        </is>
      </c>
      <c r="J56" s="33" t="inlineStr">
        <is>
          <t>Prioritization</t>
        </is>
      </c>
      <c r="K56" s="33" t="inlineStr">
        <is>
          <t>Improvement</t>
        </is>
      </c>
      <c r="L56" s="33" t="inlineStr">
        <is>
          <t>Clarification Provided</t>
        </is>
      </c>
      <c r="M56" s="33" t="inlineStr">
        <is>
          <t>Escalation automation</t>
        </is>
      </c>
      <c r="N56" s="33" t="inlineStr">
        <is>
          <t>Yes</t>
        </is>
      </c>
      <c r="O56" s="33" t="inlineStr">
        <is>
          <t>Fire started May 18 11am; WarRoom created May 19 9:30am (~22.5 hr delay). Investigation pending.</t>
        </is>
      </c>
      <c r="P56" s="33" t="inlineStr">
        <is>
          <t>~22.5 hours</t>
        </is>
      </c>
      <c r="Q56" s="33" t="inlineStr">
        <is>
          <t>Yes</t>
        </is>
      </c>
      <c r="R56" s="39" t="n">
        <v>5</v>
      </c>
      <c r="S56" s="39" t="n">
        <v>22.5</v>
      </c>
      <c r="T56" s="35" t="n">
        <v>46143</v>
      </c>
      <c r="U56" s="33" t="inlineStr">
        <is>
          <t>Medium</t>
        </is>
      </c>
      <c r="V56" s="33" t="inlineStr">
        <is>
          <t>WarRoom &amp; Decision Validation</t>
        </is>
      </c>
      <c r="X56" s="33" t="n"/>
      <c r="Y56" s="33" t="inlineStr">
        <is>
          <t>EventWatch Ops - Nitin Rindhe</t>
        </is>
      </c>
    </row>
    <row r="57">
      <c r="A57" s="35" t="n">
        <v>46143</v>
      </c>
      <c r="B57" s="37" t="n">
        <v>46163</v>
      </c>
      <c r="C57" s="33" t="inlineStr">
        <is>
          <t>Wildfire</t>
        </is>
      </c>
      <c r="D57" s="33" t="inlineStr">
        <is>
          <t>Collins Aerospace</t>
        </is>
      </c>
      <c r="E57" s="39" t="n">
        <v>1</v>
      </c>
      <c r="F57" s="33" t="inlineStr">
        <is>
          <t>Bain Fire (Jurupa Valley/Riverside, CA)</t>
        </is>
      </c>
      <c r="G57" s="33" t="inlineStr">
        <is>
          <t>Complaint</t>
        </is>
      </c>
      <c r="H57" s="33" t="inlineStr">
        <is>
          <t>Delayed WarRoom</t>
        </is>
      </c>
      <c r="I57" s="33" t="inlineStr">
        <is>
          <t>People</t>
        </is>
      </c>
      <c r="J57" s="33" t="inlineStr">
        <is>
          <t>Prioritization</t>
        </is>
      </c>
      <c r="K57" s="33" t="inlineStr">
        <is>
          <t>Improvement</t>
        </is>
      </c>
      <c r="L57" s="33" t="inlineStr">
        <is>
          <t>Clarification Provided</t>
        </is>
      </c>
      <c r="M57" s="33" t="inlineStr">
        <is>
          <t>Escalation automation</t>
        </is>
      </c>
      <c r="N57" s="33" t="inlineStr">
        <is>
          <t>Yes</t>
        </is>
      </c>
      <c r="O57" s="33" t="inlineStr">
        <is>
          <t>Fire started May 19 11am; WarRoom created next day ~8am (~21 hr delay). Investigation pending.</t>
        </is>
      </c>
      <c r="P57" s="33" t="inlineStr">
        <is>
          <t>~21 hours</t>
        </is>
      </c>
      <c r="Q57" s="33" t="inlineStr">
        <is>
          <t>Yes</t>
        </is>
      </c>
      <c r="R57" s="39" t="n">
        <v>5</v>
      </c>
      <c r="S57" s="39" t="n">
        <v>21</v>
      </c>
      <c r="T57" s="35" t="n">
        <v>46143</v>
      </c>
      <c r="U57" s="33" t="inlineStr">
        <is>
          <t>Medium</t>
        </is>
      </c>
      <c r="V57" s="33" t="inlineStr">
        <is>
          <t>WarRoom &amp; Decision Validation</t>
        </is>
      </c>
      <c r="X57" s="33" t="n"/>
      <c r="Y57" s="33" t="inlineStr">
        <is>
          <t>EventWatch Ops - Nitin Rindhe</t>
        </is>
      </c>
    </row>
    <row r="58">
      <c r="A58" s="35" t="n">
        <v>46143</v>
      </c>
      <c r="B58" s="37" t="n">
        <v>46163</v>
      </c>
      <c r="C58" s="33" t="inlineStr">
        <is>
          <t>Financial Distress</t>
        </is>
      </c>
      <c r="D58" s="33" t="inlineStr">
        <is>
          <t>Eaton</t>
        </is>
      </c>
      <c r="E58" s="39" t="n">
        <v>1</v>
      </c>
      <c r="F58" s="33" t="inlineStr">
        <is>
          <t>Otto Bihler Maschinenfabrik in restructuring</t>
        </is>
      </c>
      <c r="G58" s="33" t="inlineStr">
        <is>
          <t>Complaint</t>
        </is>
      </c>
      <c r="H58" s="33" t="inlineStr">
        <is>
          <t>Missed Relevant Event</t>
        </is>
      </c>
      <c r="I58" s="33" t="inlineStr">
        <is>
          <t>Product</t>
        </is>
      </c>
      <c r="J58" s="33" t="inlineStr">
        <is>
          <t>Keyword Update</t>
        </is>
      </c>
      <c r="K58" s="33" t="inlineStr">
        <is>
          <t>Improvement</t>
        </is>
      </c>
      <c r="L58" s="33" t="inlineStr">
        <is>
          <t>Fixed</t>
        </is>
      </c>
      <c r="M58" s="33" t="inlineStr">
        <is>
          <t>Dynamic Source Discovery</t>
        </is>
      </c>
      <c r="N58" s="33" t="inlineStr">
        <is>
          <t>Yes</t>
        </is>
      </c>
      <c r="O58" s="33" t="inlineStr">
        <is>
          <t>Otto Bihler restructuring relevant but not alerted; irrelevant sector alerts received. Feed ingestion investigation raised.</t>
        </is>
      </c>
      <c r="P58" s="33" t="n"/>
      <c r="Q58" s="33" t="inlineStr">
        <is>
          <t>Yes</t>
        </is>
      </c>
      <c r="R58" s="39" t="n">
        <v>5</v>
      </c>
      <c r="S58" s="39" t="n"/>
      <c r="T58" s="35" t="n">
        <v>46143</v>
      </c>
      <c r="U58" s="33" t="inlineStr">
        <is>
          <t>Medium</t>
        </is>
      </c>
      <c r="V58" s="33" t="inlineStr">
        <is>
          <t>Dynamic Source Discovery</t>
        </is>
      </c>
      <c r="X58" s="33" t="n"/>
      <c r="Y58" s="33" t="inlineStr">
        <is>
          <t>Product &amp; Platform</t>
        </is>
      </c>
    </row>
    <row r="59" customFormat="1" s="29">
      <c r="A59" s="36" t="n">
        <v>46143</v>
      </c>
      <c r="B59" s="38" t="n">
        <v>46164</v>
      </c>
      <c r="C59" s="34" t="inlineStr">
        <is>
          <t>Wildfire</t>
        </is>
      </c>
      <c r="D59" s="34" t="inlineStr">
        <is>
          <t>Ford</t>
        </is>
      </c>
      <c r="E59" s="40" t="n">
        <v>1</v>
      </c>
      <c r="F59" s="34" t="inlineStr">
        <is>
          <t>Supplier Impact Mapping Clarification – Sandy Fire (Simi Valley, California, USA)</t>
        </is>
      </c>
      <c r="G59" s="34" t="inlineStr">
        <is>
          <t>Inquiry</t>
        </is>
      </c>
      <c r="H59" s="34" t="inlineStr">
        <is>
          <t>Supplier Impact Mapping Clarification</t>
        </is>
      </c>
      <c r="I59" s="34" t="inlineStr">
        <is>
          <t>Process</t>
        </is>
      </c>
      <c r="J59" s="34" t="inlineStr">
        <is>
          <t>Mapping</t>
        </is>
      </c>
      <c r="K59" s="34" t="inlineStr">
        <is>
          <t>Improvement</t>
        </is>
      </c>
      <c r="L59" s="34" t="inlineStr">
        <is>
          <t>Clarification Provided</t>
        </is>
      </c>
      <c r="M59" s="34" t="inlineStr">
        <is>
          <t>Geofencing validation enhancement</t>
        </is>
      </c>
      <c r="N59" s="34" t="inlineStr">
        <is>
          <t>Yes</t>
        </is>
      </c>
      <c r="O59"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9" s="34" t="inlineStr">
        <is>
          <t>~22.5 hours</t>
        </is>
      </c>
      <c r="Q59" s="34" t="inlineStr">
        <is>
          <t>No</t>
        </is>
      </c>
      <c r="R59" s="40" t="n">
        <v>5</v>
      </c>
      <c r="S59" s="40" t="n">
        <v>22.5</v>
      </c>
      <c r="T59" s="36" t="n">
        <v>46143</v>
      </c>
      <c r="U59" s="34" t="inlineStr">
        <is>
          <t>Low</t>
        </is>
      </c>
      <c r="V59" s="34" t="inlineStr">
        <is>
          <t>AI-Assisted Geofencing</t>
        </is>
      </c>
      <c r="X59" s="33" t="n"/>
      <c r="Y59" s="33" t="inlineStr">
        <is>
          <t>EventWatch Ops - Nitin Rindhe</t>
        </is>
      </c>
    </row>
    <row r="60">
      <c r="A60" s="35" t="n">
        <v>46174</v>
      </c>
      <c r="B60" s="37" t="n">
        <v>46176</v>
      </c>
      <c r="C60" s="33" t="inlineStr">
        <is>
          <t>Bankruptcy</t>
        </is>
      </c>
      <c r="D60" s="33" t="inlineStr">
        <is>
          <t>Ford</t>
        </is>
      </c>
      <c r="E60" s="39" t="n">
        <v>1</v>
      </c>
      <c r="F60" s="33" t="inlineStr">
        <is>
          <t>CROMTRYCK s.r.o. Insolvency (Czech Republic)</t>
        </is>
      </c>
      <c r="G60" s="33" t="inlineStr">
        <is>
          <t>Complaint</t>
        </is>
      </c>
      <c r="H60" s="33" t="inlineStr">
        <is>
          <t>Missed Event</t>
        </is>
      </c>
      <c r="I60" s="33" t="inlineStr">
        <is>
          <t>Product</t>
        </is>
      </c>
      <c r="J60" s="33" t="inlineStr">
        <is>
          <t>Source Coverage</t>
        </is>
      </c>
      <c r="K60" s="33" t="inlineStr">
        <is>
          <t>Improvement</t>
        </is>
      </c>
      <c r="L60" s="33" t="inlineStr">
        <is>
          <t>Fixed</t>
        </is>
      </c>
      <c r="M60" s="33" t="inlineStr">
        <is>
          <t>Dynamic Source Discovery</t>
        </is>
      </c>
      <c r="N60" s="33" t="inlineStr">
        <is>
          <t>Yes</t>
        </is>
      </c>
      <c r="O60" s="33" t="inlineStr">
        <is>
          <t>Missed insolvency event due to regional insolvency source coverage limitations and restricted/paywalled source visibility. Vendor source expansion requested.</t>
        </is>
      </c>
      <c r="P60" s="33" t="n"/>
      <c r="Q60" s="33" t="inlineStr">
        <is>
          <t>Yes</t>
        </is>
      </c>
      <c r="R60" s="39" t="n">
        <v>6</v>
      </c>
      <c r="S60" s="39" t="n"/>
      <c r="T60" s="35" t="n">
        <v>46174</v>
      </c>
      <c r="U60" s="33" t="inlineStr">
        <is>
          <t>Medium</t>
        </is>
      </c>
      <c r="V60" s="33" t="inlineStr">
        <is>
          <t>Dynamic Source Discovery</t>
        </is>
      </c>
      <c r="X60" s="33" t="n"/>
      <c r="Y60" s="33" t="inlineStr">
        <is>
          <t>Product &amp; Platform</t>
        </is>
      </c>
    </row>
    <row r="61">
      <c r="A61" s="35" t="n">
        <v>46174</v>
      </c>
      <c r="B61" s="37" t="n">
        <v>46177</v>
      </c>
      <c r="C61" s="33" t="inlineStr">
        <is>
          <t>Protest/Riot</t>
        </is>
      </c>
      <c r="D61" s="34" t="inlineStr">
        <is>
          <t>Ford</t>
        </is>
      </c>
      <c r="E61" s="39" t="n">
        <v>1</v>
      </c>
      <c r="F61" s="33" t="inlineStr">
        <is>
          <t>ANTAC Transport Blockades in Mexico</t>
        </is>
      </c>
      <c r="G61" s="33" t="inlineStr">
        <is>
          <t>Complaint</t>
        </is>
      </c>
      <c r="H61" s="33" t="inlineStr">
        <is>
          <t>Missed Event</t>
        </is>
      </c>
      <c r="I61" s="33" t="inlineStr">
        <is>
          <t>Product</t>
        </is>
      </c>
      <c r="J61" s="33" t="inlineStr">
        <is>
          <t>Keyword Update</t>
        </is>
      </c>
      <c r="K61" s="33" t="inlineStr">
        <is>
          <t>Improvement</t>
        </is>
      </c>
      <c r="L61" s="33" t="inlineStr">
        <is>
          <t>RCA Shared</t>
        </is>
      </c>
      <c r="M61" s="33" t="inlineStr">
        <is>
          <t>Dynamic Source Discovery</t>
        </is>
      </c>
      <c r="N61" s="33" t="inlineStr">
        <is>
          <t>Yes</t>
        </is>
      </c>
      <c r="O61" s="33" t="inlineStr">
        <is>
          <t>RCA completed; keyword gap identified and corrective actions implemented. Spanish-language detection logic did not recognize transportation disruption and protest terminology. Relevant keywords were added.</t>
        </is>
      </c>
      <c r="P61" s="33" t="n"/>
      <c r="Q61" s="33" t="inlineStr">
        <is>
          <t>Yes</t>
        </is>
      </c>
      <c r="R61" s="39" t="n">
        <v>6</v>
      </c>
      <c r="S61" s="39" t="n"/>
      <c r="T61" s="35" t="n">
        <v>46174</v>
      </c>
      <c r="U61" s="33" t="inlineStr">
        <is>
          <t>Medium</t>
        </is>
      </c>
      <c r="V61" s="33" t="inlineStr">
        <is>
          <t>Dynamic Source Discovery</t>
        </is>
      </c>
      <c r="X61" s="33" t="n"/>
      <c r="Y61" s="33" t="inlineStr">
        <is>
          <t>Product &amp; Platform</t>
        </is>
      </c>
    </row>
    <row r="62">
      <c r="A62" s="35" t="n">
        <v>46174</v>
      </c>
      <c r="B62" s="37" t="n">
        <v>46178</v>
      </c>
      <c r="C62" s="33" t="inlineStr">
        <is>
          <t>Factory Disruption</t>
        </is>
      </c>
      <c r="D62" s="33" t="inlineStr">
        <is>
          <t>Eaton</t>
        </is>
      </c>
      <c r="E62" s="39" t="n">
        <v>1</v>
      </c>
      <c r="F62" s="33" t="inlineStr">
        <is>
          <t>Burnstein von Seelen Precision Casting Operational Disruption</t>
        </is>
      </c>
      <c r="G62" s="33" t="inlineStr">
        <is>
          <t>Complaint</t>
        </is>
      </c>
      <c r="H62" s="33" t="inlineStr">
        <is>
          <t>Missed Event</t>
        </is>
      </c>
      <c r="I62" s="33" t="inlineStr">
        <is>
          <t>People</t>
        </is>
      </c>
      <c r="J62" s="33" t="inlineStr">
        <is>
          <t>Review</t>
        </is>
      </c>
      <c r="K62" s="33" t="inlineStr">
        <is>
          <t>Improvement</t>
        </is>
      </c>
      <c r="L62" s="33" t="inlineStr">
        <is>
          <t>RCA Shared</t>
        </is>
      </c>
      <c r="M62" s="33" t="inlineStr">
        <is>
          <t>Supplier-aware escalation model + Not Impactful override validation</t>
        </is>
      </c>
      <c r="N62" s="33" t="inlineStr">
        <is>
          <t>Yes</t>
        </is>
      </c>
      <c r="O62" s="33" t="inlineStr">
        <is>
          <t>RCA shared; analyst classified event as Not Impactful. Event was successfully received and reviewed but incorrectly classified and therefore not escalated.</t>
        </is>
      </c>
      <c r="P62" s="33" t="n"/>
      <c r="Q62" s="33" t="inlineStr">
        <is>
          <t>Yes</t>
        </is>
      </c>
      <c r="R62" s="39" t="n">
        <v>6</v>
      </c>
      <c r="S62" s="39" t="n"/>
      <c r="T62" s="35" t="n">
        <v>46174</v>
      </c>
      <c r="U62" s="33" t="inlineStr">
        <is>
          <t>Medium</t>
        </is>
      </c>
      <c r="V62" s="33" t="inlineStr">
        <is>
          <t>WarRoom &amp; Decision Validation</t>
        </is>
      </c>
      <c r="W62" s="33" t="inlineStr">
        <is>
          <t>EAO-1</t>
        </is>
      </c>
      <c r="X62" s="33" t="inlineStr">
        <is>
          <t>Articles on the Burnstein von Seelen disruption did reach the portal, but the analyst classified the event Not Impactful and did not escalate it, so it never reached WarRoom consideration. Corrective: analyst coaching on law-enforcement, regulatory and workforce disruptions, plus an internal non-conformance raised against the reporting workflow. Preventive: extra review controls before a Not Impactful call on a monitored supplier, stronger supplier-context visibility during review, expanded audits of analyst overrides, and AI-assisted relevance work with Product/Data Science.</t>
        </is>
      </c>
      <c r="Y62" s="33" t="inlineStr">
        <is>
          <t>EventWatch Ops - Nitin Rindhe</t>
        </is>
      </c>
    </row>
    <row r="63">
      <c r="A63" s="35" t="n">
        <v>46174</v>
      </c>
      <c r="B63" s="37" t="n">
        <v>46183</v>
      </c>
      <c r="C63" s="33" t="inlineStr">
        <is>
          <t>Merger &amp; Acquisition</t>
        </is>
      </c>
      <c r="D63" s="33" t="inlineStr">
        <is>
          <t>Ford</t>
        </is>
      </c>
      <c r="E63" s="39" t="n">
        <v>1</v>
      </c>
      <c r="F63" s="33" t="inlineStr">
        <is>
          <t>Credit Suisse / UBS Acquisition Alert Missing from EventWatch News Dashboard (Ford)</t>
        </is>
      </c>
      <c r="G63" s="33" t="inlineStr">
        <is>
          <t>Complaint</t>
        </is>
      </c>
      <c r="H63" s="33" t="inlineStr">
        <is>
          <t>News dashboard visibility gap</t>
        </is>
      </c>
      <c r="I63" s="33" t="inlineStr">
        <is>
          <t>Product</t>
        </is>
      </c>
      <c r="J63" s="33" t="inlineStr">
        <is>
          <t>Visibility</t>
        </is>
      </c>
      <c r="K63" s="33" t="inlineStr">
        <is>
          <t>Improvement</t>
        </is>
      </c>
      <c r="L63" s="33" t="inlineStr">
        <is>
          <t>Fixed</t>
        </is>
      </c>
      <c r="M63" s="33" t="inlineStr">
        <is>
          <t>Parity checking between Global Search and the EventWatch News Dashboard so a published alert cannot be findable in one and absent from the other</t>
        </is>
      </c>
      <c r="N63" s="33" t="inlineStr">
        <is>
          <t>No</t>
        </is>
      </c>
      <c r="O63" s="33" t="inlineStr">
        <is>
          <t>From Jira CAN-3377 (Resolved). The 'Credit Suisse to be Acquired by UBS Group' alert and all 14 of its updates were absent from Ford's EventWatch News Dashboard, and keyword searches there returned No Data Available. The same alert was returned normally by Global Search, so the content existed and only the dashboard view was affected.</t>
        </is>
      </c>
      <c r="P63" s="33" t="n"/>
      <c r="Q63" s="33" t="inlineStr">
        <is>
          <t>No</t>
        </is>
      </c>
      <c r="R63" s="39" t="n">
        <v>6</v>
      </c>
      <c r="S63" s="39" t="n"/>
      <c r="T63" s="35" t="inlineStr">
        <is>
          <t>Jun 2026</t>
        </is>
      </c>
      <c r="U63" s="33" t="inlineStr">
        <is>
          <t>Medium</t>
        </is>
      </c>
      <c r="V63" s="33" t="inlineStr">
        <is>
          <t>Notification Visibility Monitoring</t>
        </is>
      </c>
      <c r="W63" s="33" t="inlineStr">
        <is>
          <t>CAN-3377</t>
        </is>
      </c>
      <c r="X63" s="33" t="n"/>
      <c r="Y63" s="33" t="inlineStr">
        <is>
          <t>Product &amp; Platform</t>
        </is>
      </c>
    </row>
    <row r="64">
      <c r="A64" s="35" t="n">
        <v>46174</v>
      </c>
      <c r="B64" s="37" t="n">
        <v>46188</v>
      </c>
      <c r="C64" s="33" t="inlineStr">
        <is>
          <t>Chemical Spill</t>
        </is>
      </c>
      <c r="D64" s="33" t="inlineStr">
        <is>
          <t>Eaton</t>
        </is>
      </c>
      <c r="E64" s="39" t="n">
        <v>1</v>
      </c>
      <c r="F64" s="33" t="inlineStr">
        <is>
          <t>CO₂ Leak at Schaeffler India Plant, Pune</t>
        </is>
      </c>
      <c r="G64" s="33" t="inlineStr">
        <is>
          <t>Complaint</t>
        </is>
      </c>
      <c r="H64" s="33" t="inlineStr">
        <is>
          <t>Missed Event</t>
        </is>
      </c>
      <c r="I64" s="33" t="inlineStr">
        <is>
          <t>Product</t>
        </is>
      </c>
      <c r="J64" s="33" t="inlineStr">
        <is>
          <t>Event Identification</t>
        </is>
      </c>
      <c r="K64" s="33" t="inlineStr">
        <is>
          <t>Improvement</t>
        </is>
      </c>
      <c r="L64" s="33" t="inlineStr">
        <is>
          <t>RCA Shared</t>
        </is>
      </c>
      <c r="M64" s="33" t="inlineStr">
        <is>
          <t>Hazardous gas leak detection + mapped supplier escalation model</t>
        </is>
      </c>
      <c r="N64" s="33" t="inlineStr">
        <is>
          <t>Yes</t>
        </is>
      </c>
      <c r="O64" s="33" t="inlineStr">
        <is>
          <t>RCA document prepared and shared with customer. Customer reported missing EventWatch coverage related to a CO₂ leak involving fatalities at a mapped supplier facility.</t>
        </is>
      </c>
      <c r="P64" s="33" t="n"/>
      <c r="Q64" s="33" t="inlineStr">
        <is>
          <t>Yes</t>
        </is>
      </c>
      <c r="R64" s="39" t="n">
        <v>6</v>
      </c>
      <c r="S64" s="39" t="n"/>
      <c r="T64" s="35" t="n">
        <v>46174</v>
      </c>
      <c r="U64" s="33" t="inlineStr">
        <is>
          <t>Medium</t>
        </is>
      </c>
      <c r="V64" s="33" t="inlineStr">
        <is>
          <t>WarRoom &amp; Decision Validation</t>
        </is>
      </c>
      <c r="W64" s="33" t="inlineStr">
        <is>
          <t>EAO-4</t>
        </is>
      </c>
      <c r="X64" s="33" t="inlineStr">
        <is>
          <t>RCA approved and sent to the customer on 15-Jun-2026 as a PDF attached to EAO-4; the document text is not in the ticket.</t>
        </is>
      </c>
      <c r="Y64" s="33" t="inlineStr">
        <is>
          <t>Product &amp; Platform</t>
        </is>
      </c>
    </row>
    <row r="65">
      <c r="A65" s="35" t="n">
        <v>46174</v>
      </c>
      <c r="B65" s="37" t="n">
        <v>46188</v>
      </c>
      <c r="C65" s="33" t="inlineStr">
        <is>
          <t>Supply Shortage</t>
        </is>
      </c>
      <c r="D65" s="33" t="inlineStr">
        <is>
          <t>Belden Inc</t>
        </is>
      </c>
      <c r="E65" s="39" t="n">
        <v>1</v>
      </c>
      <c r="F65" s="33" t="inlineStr">
        <is>
          <t>MLCC Supply Chain Alert Related to AI Demand Growth</t>
        </is>
      </c>
      <c r="G65" s="33" t="inlineStr">
        <is>
          <t>Inquiry</t>
        </is>
      </c>
      <c r="H65" s="33" t="inlineStr">
        <is>
          <t>Coverage Verification Request</t>
        </is>
      </c>
      <c r="I65" s="33" t="inlineStr">
        <is>
          <t>Process</t>
        </is>
      </c>
      <c r="J65" s="33" t="inlineStr">
        <is>
          <t>Process Clarification</t>
        </is>
      </c>
      <c r="K65" s="33" t="inlineStr">
        <is>
          <t>Improvement</t>
        </is>
      </c>
      <c r="L65" s="33" t="inlineStr">
        <is>
          <t>Clarification Provided</t>
        </is>
      </c>
      <c r="M65" s="33" t="inlineStr">
        <is>
          <t>Forecast vs Event differentiation</t>
        </is>
      </c>
      <c r="N65" s="33" t="inlineStr">
        <is>
          <t>No</t>
        </is>
      </c>
      <c r="O65" s="33" t="inlineStr">
        <is>
          <t>Article was an investment and market outlook discussing future MLCC demand and did not meet EventWatch reporting thresholds.</t>
        </is>
      </c>
      <c r="P65" s="33" t="n"/>
      <c r="Q65" s="33" t="inlineStr">
        <is>
          <t>No</t>
        </is>
      </c>
      <c r="R65" s="39" t="n">
        <v>6</v>
      </c>
      <c r="S65" s="39" t="n"/>
      <c r="T65" s="35" t="n">
        <v>46174</v>
      </c>
      <c r="U65" s="33" t="inlineStr">
        <is>
          <t>Medium</t>
        </is>
      </c>
      <c r="V65" s="33" t="inlineStr">
        <is>
          <t>Other Control Automation</t>
        </is>
      </c>
      <c r="W65" s="33" t="inlineStr">
        <is>
          <t>EAO-8</t>
        </is>
      </c>
      <c r="X65" s="33" t="n"/>
      <c r="Y65" s="33" t="inlineStr">
        <is>
          <t>EventWatch Ops - Nitin Rindhe</t>
        </is>
      </c>
    </row>
    <row r="66">
      <c r="A66" s="35" t="n">
        <v>46174</v>
      </c>
      <c r="B66" s="37" t="n">
        <v>46196</v>
      </c>
      <c r="C66" s="33" t="inlineStr">
        <is>
          <t>Merger &amp; Acquisition</t>
        </is>
      </c>
      <c r="D66" s="33" t="inlineStr">
        <is>
          <t>Caterpillar</t>
        </is>
      </c>
      <c r="E66" s="39" t="n">
        <v>1</v>
      </c>
      <c r="F66" s="33" t="inlineStr">
        <is>
          <t>Dana Incorporated to Merge with Eaton's Mobility Business</t>
        </is>
      </c>
      <c r="G66" s="33" t="inlineStr">
        <is>
          <t>Complaint</t>
        </is>
      </c>
      <c r="H66" s="33" t="inlineStr">
        <is>
          <t>Impacted Supplier Missing</t>
        </is>
      </c>
      <c r="I66" s="33" t="inlineStr">
        <is>
          <t>People</t>
        </is>
      </c>
      <c r="J66" s="33" t="inlineStr">
        <is>
          <t>Mapping</t>
        </is>
      </c>
      <c r="K66" s="33" t="inlineStr">
        <is>
          <t>Improvement</t>
        </is>
      </c>
      <c r="L66" s="33" t="inlineStr">
        <is>
          <t>RCA Shared</t>
        </is>
      </c>
      <c r="M66" s="33" t="inlineStr">
        <is>
          <t>Supplier relationship validation + impacted entity completeness checks</t>
        </is>
      </c>
      <c r="N66" s="33" t="inlineStr">
        <is>
          <t>Yes</t>
        </is>
      </c>
      <c r="O66" s="33" t="inlineStr">
        <is>
          <t>Customer-facing RCA requested and RCA document prepared. Dana Holding Corporation was not included in impacted supplier selection during initial WarRoom creation and was subsequently added.</t>
        </is>
      </c>
      <c r="P66" s="33" t="n"/>
      <c r="Q66" s="33" t="inlineStr">
        <is>
          <t>No</t>
        </is>
      </c>
      <c r="R66" s="39" t="n">
        <v>6</v>
      </c>
      <c r="S66" s="39" t="n"/>
      <c r="T66" s="35" t="n">
        <v>46174</v>
      </c>
      <c r="U66" s="33" t="inlineStr">
        <is>
          <t>Medium</t>
        </is>
      </c>
      <c r="V66" s="33" t="inlineStr">
        <is>
          <t>Entity &amp; Supplier Resolution</t>
        </is>
      </c>
      <c r="W66" s="33" t="inlineStr">
        <is>
          <t>EAO-6</t>
        </is>
      </c>
      <c r="X66" s="33" t="inlineStr">
        <is>
          <t>The primary transaction participants were identified correctly, but Dana Holdings was omitted during the initial review of related corporate entities and supplier relationships; a WarRoom update was issued to add it. Preventive: mandatory secondary review for impacted-supplier assessments involving mergers, acquisitions, restructurings and other multi-entity transactions. RCA shared 13-Jul-2026.</t>
        </is>
      </c>
      <c r="Y66" s="33" t="inlineStr">
        <is>
          <t>EventWatch Ops - Nitin Rindhe</t>
        </is>
      </c>
    </row>
    <row r="67">
      <c r="A67" s="35" t="n">
        <v>46174</v>
      </c>
      <c r="B67" s="37" t="n">
        <v>46196</v>
      </c>
      <c r="C67" s="33" t="inlineStr">
        <is>
          <t>Geopolitical</t>
        </is>
      </c>
      <c r="D67" s="33" t="inlineStr">
        <is>
          <t>Western Digital</t>
        </is>
      </c>
      <c r="E67" s="39" t="n">
        <v>1</v>
      </c>
      <c r="F67" s="33" t="inlineStr">
        <is>
          <t>Inquiry on Route Disruption – Sepone Bridge, Laos</t>
        </is>
      </c>
      <c r="G67" s="33" t="inlineStr">
        <is>
          <t>Inquiry</t>
        </is>
      </c>
      <c r="H67" s="33" t="inlineStr">
        <is>
          <t>Customer Requested Verification</t>
        </is>
      </c>
      <c r="I67" s="33" t="inlineStr">
        <is>
          <t>Process</t>
        </is>
      </c>
      <c r="J67" s="33" t="inlineStr">
        <is>
          <t>Process Clarification</t>
        </is>
      </c>
      <c r="K67" s="33" t="inlineStr">
        <is>
          <t>Improvement</t>
        </is>
      </c>
      <c r="L67" s="33" t="inlineStr">
        <is>
          <t>Clarification Provided</t>
        </is>
      </c>
      <c r="M67" s="33" t="inlineStr">
        <is>
          <t>Route-risk monitoring enhancement</t>
        </is>
      </c>
      <c r="N67" s="33" t="inlineStr">
        <is>
          <t>No</t>
        </is>
      </c>
      <c r="O67" s="33" t="inlineStr">
        <is>
          <t>Review of English and local-language sources did not identify any verified disruption, closure, or logistic impact.</t>
        </is>
      </c>
      <c r="P67" s="33" t="n"/>
      <c r="Q67" s="33" t="inlineStr">
        <is>
          <t>No</t>
        </is>
      </c>
      <c r="R67" s="39" t="n">
        <v>6</v>
      </c>
      <c r="S67" s="39" t="n"/>
      <c r="T67" s="35" t="n">
        <v>46174</v>
      </c>
      <c r="U67" s="33" t="inlineStr">
        <is>
          <t>Medium</t>
        </is>
      </c>
      <c r="V67" s="33" t="inlineStr">
        <is>
          <t>Other Control Automation</t>
        </is>
      </c>
      <c r="W67" s="33" t="inlineStr">
        <is>
          <t>EAO-7</t>
        </is>
      </c>
      <c r="X67" s="33" t="n"/>
      <c r="Y67" s="33" t="inlineStr">
        <is>
          <t>EventWatch Ops - Nitin Rindhe</t>
        </is>
      </c>
    </row>
    <row r="68">
      <c r="A68" s="35" t="n">
        <v>46174</v>
      </c>
      <c r="B68" s="37" t="n">
        <v>46197</v>
      </c>
      <c r="C68" s="33" t="inlineStr">
        <is>
          <t>Cyber Attack</t>
        </is>
      </c>
      <c r="D68" s="33" t="inlineStr">
        <is>
          <t>Western Digital</t>
        </is>
      </c>
      <c r="E68" s="39" t="n">
        <v>1</v>
      </c>
      <c r="F68" s="33" t="inlineStr">
        <is>
          <t>Nidec Chaun Choung Technology Suffers Ransomware Attack</t>
        </is>
      </c>
      <c r="G68" s="33" t="inlineStr">
        <is>
          <t>Complaint</t>
        </is>
      </c>
      <c r="H68" s="33" t="inlineStr">
        <is>
          <t>Missed Event</t>
        </is>
      </c>
      <c r="I68" s="33" t="inlineStr">
        <is>
          <t>People</t>
        </is>
      </c>
      <c r="J68" s="33" t="inlineStr">
        <is>
          <t>Review</t>
        </is>
      </c>
      <c r="K68" s="33" t="inlineStr">
        <is>
          <t>Improvement</t>
        </is>
      </c>
      <c r="L68" s="33" t="inlineStr">
        <is>
          <t>RCA Shared</t>
        </is>
      </c>
      <c r="M68" s="33" t="inlineStr">
        <is>
          <t>Supplier-aware cyber incident escalation model</t>
        </is>
      </c>
      <c r="N68" s="33" t="inlineStr">
        <is>
          <t>Yes</t>
        </is>
      </c>
      <c r="O68" s="33" t="inlineStr">
        <is>
          <t>RCA prepared; analyst impact-assessment failure identified. Event was captured successfully but incorrectly assessed as Not Impactful during analyst review and therefore not escalated.</t>
        </is>
      </c>
      <c r="P68" s="33" t="n"/>
      <c r="Q68" s="33" t="inlineStr">
        <is>
          <t>Yes</t>
        </is>
      </c>
      <c r="R68" s="39" t="n">
        <v>6</v>
      </c>
      <c r="S68" s="39" t="n"/>
      <c r="T68" s="35" t="n">
        <v>46174</v>
      </c>
      <c r="U68" s="33" t="inlineStr">
        <is>
          <t>Medium</t>
        </is>
      </c>
      <c r="V68" s="33" t="inlineStr">
        <is>
          <t>WarRoom &amp; Decision Validation</t>
        </is>
      </c>
      <c r="W68" s="33" t="inlineStr">
        <is>
          <t>EAO-10</t>
        </is>
      </c>
      <c r="X68" s="33" t="inlineStr">
        <is>
          <t>RCA reviewed and sent to the customer as a PDF attached to EAO-10 (29-Jun-2026); the document text is not in the ticket.</t>
        </is>
      </c>
      <c r="Y68" s="33" t="inlineStr">
        <is>
          <t>EventWatch Ops - Nitin Rindhe</t>
        </is>
      </c>
    </row>
    <row r="69">
      <c r="A69" s="35" t="n">
        <v>46174</v>
      </c>
      <c r="B69" s="37" t="n">
        <v>46198</v>
      </c>
      <c r="C69" s="33" t="inlineStr">
        <is>
          <t>Factory Fire</t>
        </is>
      </c>
      <c r="D69" s="33" t="inlineStr">
        <is>
          <t>Caterpillar</t>
        </is>
      </c>
      <c r="E69" s="39" t="n">
        <v>1</v>
      </c>
      <c r="F69" s="33" t="inlineStr">
        <is>
          <t>Fire at the Isselguss GmbH Facility in Isselburg, Germany</t>
        </is>
      </c>
      <c r="G69" s="33" t="inlineStr">
        <is>
          <t>Complaint</t>
        </is>
      </c>
      <c r="H69" s="33" t="inlineStr">
        <is>
          <t>Missed Event</t>
        </is>
      </c>
      <c r="I69" s="33" t="inlineStr">
        <is>
          <t>Product</t>
        </is>
      </c>
      <c r="J69" s="33" t="inlineStr">
        <is>
          <t>Event Identification</t>
        </is>
      </c>
      <c r="K69" s="33" t="inlineStr">
        <is>
          <t>Improvement</t>
        </is>
      </c>
      <c r="L69" s="33" t="inlineStr">
        <is>
          <t>RCA Shared</t>
        </is>
      </c>
      <c r="M69" s="33" t="inlineStr">
        <is>
          <t>Entity-location-aware clustering + cluster separation validation</t>
        </is>
      </c>
      <c r="N69" s="33" t="inlineStr">
        <is>
          <t>Yes</t>
        </is>
      </c>
      <c r="O69" s="33" t="inlineStr">
        <is>
          <t>RCA PDF prepared and approved for customer sharing. Event was captured by feeds but incorrectly clustered with another unrelated factory fire in Germany, preventing separate WarRoom creation.</t>
        </is>
      </c>
      <c r="P69" s="33" t="n"/>
      <c r="Q69" s="33" t="inlineStr">
        <is>
          <t>Yes</t>
        </is>
      </c>
      <c r="R69" s="39" t="n">
        <v>6</v>
      </c>
      <c r="S69" s="39" t="n"/>
      <c r="T69" s="35" t="n">
        <v>46174</v>
      </c>
      <c r="U69" s="33" t="inlineStr">
        <is>
          <t>Medium</t>
        </is>
      </c>
      <c r="V69" s="33" t="inlineStr">
        <is>
          <t>Entity &amp; Supplier Resolution</t>
        </is>
      </c>
      <c r="W69" s="33" t="inlineStr">
        <is>
          <t>EAO-9</t>
        </is>
      </c>
      <c r="X69" s="33" t="inlineStr">
        <is>
          <t>RCA approved and sent to the customer on 25-Jun-2026 as a PDF attached to EAO-9; the document text is not in the ticket. The WarRoom itself was published before the RCA was issued.</t>
        </is>
      </c>
      <c r="Y69" s="33" t="inlineStr">
        <is>
          <t>Product &amp; Platform</t>
        </is>
      </c>
    </row>
    <row r="70">
      <c r="A70" s="35" t="n">
        <v>46174</v>
      </c>
      <c r="B70" s="37" t="n">
        <v>46199</v>
      </c>
      <c r="C70" s="33" t="inlineStr">
        <is>
          <t>Extreme Weather</t>
        </is>
      </c>
      <c r="D70" s="33" t="inlineStr">
        <is>
          <t>Woodward</t>
        </is>
      </c>
      <c r="E70" s="39" t="n">
        <v>1</v>
      </c>
      <c r="F70" s="33" t="inlineStr">
        <is>
          <t>Severe Storms Trigger Disruptions Across the Midwest USA – Geographic Misclassification</t>
        </is>
      </c>
      <c r="G70" s="33" t="inlineStr">
        <is>
          <t>Complaint</t>
        </is>
      </c>
      <c r="H70" s="33" t="inlineStr">
        <is>
          <t>Geographic Misclassification</t>
        </is>
      </c>
      <c r="I70" s="33" t="inlineStr">
        <is>
          <t>People</t>
        </is>
      </c>
      <c r="J70" s="33" t="inlineStr">
        <is>
          <t>Review</t>
        </is>
      </c>
      <c r="K70" s="33" t="inlineStr">
        <is>
          <t>Improvement</t>
        </is>
      </c>
      <c r="L70" s="33" t="inlineStr">
        <is>
          <t>Fixed</t>
        </is>
      </c>
      <c r="M70" s="33" t="inlineStr">
        <is>
          <t>Cluster integrity validation + geographic consistency checks</t>
        </is>
      </c>
      <c r="N70" s="33" t="inlineStr">
        <is>
          <t>Yes</t>
        </is>
      </c>
      <c r="O70" s="33" t="inlineStr">
        <is>
          <t>California sites were incorrectly included because two different events were merged into the same WarRoom.</t>
        </is>
      </c>
      <c r="P70" s="33" t="n"/>
      <c r="Q70" s="33" t="inlineStr">
        <is>
          <t>No</t>
        </is>
      </c>
      <c r="R70" s="39" t="n">
        <v>6</v>
      </c>
      <c r="S70" s="39" t="n"/>
      <c r="T70" s="35" t="n">
        <v>46174</v>
      </c>
      <c r="U70" s="33" t="inlineStr">
        <is>
          <t>Medium</t>
        </is>
      </c>
      <c r="V70" s="33" t="inlineStr">
        <is>
          <t>AI-Assisted Geofencing</t>
        </is>
      </c>
      <c r="W70" s="33" t="inlineStr">
        <is>
          <t>EAO-5</t>
        </is>
      </c>
      <c r="X70" s="33" t="n"/>
      <c r="Y70" s="33" t="inlineStr">
        <is>
          <t>EventWatch Ops - Nitin Rindhe</t>
        </is>
      </c>
    </row>
    <row r="71">
      <c r="A71" s="35" t="n">
        <v>46174</v>
      </c>
      <c r="B71" s="37" t="n">
        <v>46203</v>
      </c>
      <c r="C71" s="33" t="inlineStr">
        <is>
          <t>Factory Fire</t>
        </is>
      </c>
      <c r="D71" s="33" t="inlineStr">
        <is>
          <t>Caterpillar</t>
        </is>
      </c>
      <c r="E71" s="39" t="n">
        <v>1</v>
      </c>
      <c r="F71" s="33" t="inlineStr">
        <is>
          <t>Isselguss / Isselburg Foundry Naming Clarification</t>
        </is>
      </c>
      <c r="G71" s="33" t="inlineStr">
        <is>
          <t>Inquiry</t>
        </is>
      </c>
      <c r="H71" s="33" t="inlineStr">
        <is>
          <t>Customer Terminology Preference</t>
        </is>
      </c>
      <c r="I71" s="33" t="inlineStr">
        <is>
          <t>Process</t>
        </is>
      </c>
      <c r="J71" s="33" t="inlineStr">
        <is>
          <t>Process Clarification</t>
        </is>
      </c>
      <c r="K71" s="33" t="inlineStr">
        <is>
          <t>Improvement</t>
        </is>
      </c>
      <c r="L71" s="33" t="inlineStr">
        <is>
          <t>Clarification Provided</t>
        </is>
      </c>
      <c r="M71" s="33" t="inlineStr">
        <is>
          <t>Company alias management</t>
        </is>
      </c>
      <c r="N71" s="33" t="inlineStr">
        <is>
          <t>No</t>
        </is>
      </c>
      <c r="O71" s="33" t="inlineStr">
        <is>
          <t>Isselguss and Isselburg Foundry refer to the same facility. Title updated to align with customer terminology preference and not due to a reporting error.</t>
        </is>
      </c>
      <c r="P71" s="33" t="n"/>
      <c r="Q71" s="33" t="inlineStr">
        <is>
          <t>No</t>
        </is>
      </c>
      <c r="R71" s="39" t="n">
        <v>6</v>
      </c>
      <c r="S71" s="39" t="n"/>
      <c r="T71" s="35" t="n">
        <v>46174</v>
      </c>
      <c r="U71" s="33" t="inlineStr">
        <is>
          <t>Medium</t>
        </is>
      </c>
      <c r="V71" s="33" t="inlineStr">
        <is>
          <t>Entity &amp; Supplier Resolution</t>
        </is>
      </c>
      <c r="W71" s="33" t="inlineStr">
        <is>
          <t>EAO-11</t>
        </is>
      </c>
      <c r="X71" s="33" t="n"/>
      <c r="Y71" s="33" t="inlineStr">
        <is>
          <t>EventWatch Ops - Nitin Rindhe</t>
        </is>
      </c>
    </row>
    <row r="72">
      <c r="A72" s="35" t="n">
        <v>46204</v>
      </c>
      <c r="B72" s="37" t="n">
        <v>46204</v>
      </c>
      <c r="C72" s="28" t="inlineStr">
        <is>
          <t>Labor Disruption</t>
        </is>
      </c>
      <c r="D72" s="33" t="inlineStr">
        <is>
          <t>Ford</t>
        </is>
      </c>
      <c r="E72" s="39" t="n">
        <v>1</v>
      </c>
      <c r="F72" s="33" t="inlineStr">
        <is>
          <t>BorgWarner Indefinite Strike – Vigo Metropolitan Area, Spain</t>
        </is>
      </c>
      <c r="G72" s="33" t="inlineStr">
        <is>
          <t>Complaint</t>
        </is>
      </c>
      <c r="H72" s="33" t="inlineStr">
        <is>
          <t>Missed Event</t>
        </is>
      </c>
      <c r="I72" s="33" t="inlineStr">
        <is>
          <t>Product</t>
        </is>
      </c>
      <c r="J72" s="33" t="inlineStr">
        <is>
          <t>Event Identification</t>
        </is>
      </c>
      <c r="K72" s="33" t="inlineStr">
        <is>
          <t>Improvement</t>
        </is>
      </c>
      <c r="L72" s="33" t="inlineStr">
        <is>
          <t>Clarification Provided</t>
        </is>
      </c>
      <c r="M72" s="33" t="inlineStr">
        <is>
          <t>Vendor-to-portal feed validation + cluster state integrity monitoring</t>
        </is>
      </c>
      <c r="N72" s="33" t="inlineStr">
        <is>
          <t>Yes</t>
        </is>
      </c>
      <c r="O72" s="33" t="inlineStr">
        <is>
          <t>Customer reported missed EventWatch notification for an indefinite strike at BorgWarner facilities in Zamáns, O Porriño, and Nigrán. CS investigation confirmed two previous strike notifications were successfully delivered to Ford, but no notification was generated for the July 1 event. Internal investigation notes indicate the articles were captured by the vendor and Spanish language algorithm but did not appear in the analyst portal. Engineering review referenced an inconsistent cluster state condition during the affected period.</t>
        </is>
      </c>
      <c r="P72" s="33" t="inlineStr">
        <is>
          <t>Yes</t>
        </is>
      </c>
      <c r="Q72" s="33" t="inlineStr">
        <is>
          <t>Yes</t>
        </is>
      </c>
      <c r="R72" s="39" t="n">
        <v>7</v>
      </c>
      <c r="S72" s="39" t="n"/>
      <c r="T72" s="35" t="n">
        <v>46204</v>
      </c>
      <c r="U72" s="33" t="inlineStr">
        <is>
          <t>Medium</t>
        </is>
      </c>
      <c r="V72" s="33" t="inlineStr">
        <is>
          <t>Dynamic Source Discovery</t>
        </is>
      </c>
      <c r="W72" s="33" t="inlineStr">
        <is>
          <t>EAO-12</t>
        </is>
      </c>
      <c r="X72" s="33" t="inlineStr">
        <is>
          <t>Feeds covering the BorgWarner Vigo indefinite strike were in the public domain from 26-Jun-2026 but were not captured on the portal until 1 July; Engineering was asked to investigate why the 26-27 June sources were missed. RCA approved and shared 09-Jul-2026.</t>
        </is>
      </c>
      <c r="Y72" s="33" t="inlineStr">
        <is>
          <t>Product &amp; Platform</t>
        </is>
      </c>
    </row>
    <row r="73">
      <c r="A73" s="35" t="n">
        <v>46204</v>
      </c>
      <c r="B73" s="37" t="n">
        <v>46209</v>
      </c>
      <c r="C73" s="33" t="inlineStr">
        <is>
          <t>Factory Fire</t>
        </is>
      </c>
      <c r="D73" s="33" t="inlineStr">
        <is>
          <t>Ford</t>
        </is>
      </c>
      <c r="E73" s="39" t="n">
        <v>1</v>
      </c>
      <c r="F73" s="33" t="inlineStr">
        <is>
          <t>Fire at FXI Foam Manufacturing Plant in Cuautitlan, Mexico</t>
        </is>
      </c>
      <c r="G73" s="33" t="inlineStr">
        <is>
          <t>Complaint</t>
        </is>
      </c>
      <c r="H73" s="33" t="inlineStr">
        <is>
          <t>Missed Event</t>
        </is>
      </c>
      <c r="I73" s="33" t="inlineStr">
        <is>
          <t>People</t>
        </is>
      </c>
      <c r="J73" s="33" t="inlineStr">
        <is>
          <t>Event Identification</t>
        </is>
      </c>
      <c r="K73" s="33" t="inlineStr">
        <is>
          <t>Improvement</t>
        </is>
      </c>
      <c r="L73" s="33" t="inlineStr">
        <is>
          <t>Clarification Provided</t>
        </is>
      </c>
      <c r="M73" s="33" t="inlineStr">
        <is>
          <t>Supplier-aware factory fire escalation model + Not Impactful override validation</t>
        </is>
      </c>
      <c r="N73" s="33" t="inlineStr">
        <is>
          <t>Yes</t>
        </is>
      </c>
      <c r="O73" s="33" t="inlineStr">
        <is>
          <t>Customer reported fire at FXI (Tier 2 supplier) causing Force Majeure at Sage Automotive Interiors. No matching EventWatch notification/WarRoom found during investigation.</t>
        </is>
      </c>
      <c r="P73" s="33" t="n"/>
      <c r="Q73" s="33" t="inlineStr">
        <is>
          <t>Yes</t>
        </is>
      </c>
      <c r="R73" s="39" t="n">
        <v>7</v>
      </c>
      <c r="S73" s="39" t="n"/>
      <c r="T73" s="35" t="n">
        <v>46204</v>
      </c>
      <c r="U73" s="33" t="inlineStr">
        <is>
          <t>Medium</t>
        </is>
      </c>
      <c r="V73" s="33" t="inlineStr">
        <is>
          <t>WarRoom &amp; Decision Validation</t>
        </is>
      </c>
      <c r="W73" s="33" t="inlineStr">
        <is>
          <t>EAO-13</t>
        </is>
      </c>
      <c r="X73" s="33" t="n"/>
      <c r="Y73" s="33" t="inlineStr">
        <is>
          <t>EventWatch Ops - Nitin Rindhe</t>
        </is>
      </c>
    </row>
    <row r="74">
      <c r="A74" s="35" t="n">
        <v>46204</v>
      </c>
      <c r="B74" s="37" t="n">
        <v>46211</v>
      </c>
      <c r="C74" s="33" t="inlineStr">
        <is>
          <t>Factory Fire</t>
        </is>
      </c>
      <c r="D74" s="33" t="inlineStr">
        <is>
          <t>Ford</t>
        </is>
      </c>
      <c r="E74" s="39" t="n">
        <v>1</v>
      </c>
      <c r="F74" s="33" t="inlineStr">
        <is>
          <t>New World International Co. Factory Fire, Thailand</t>
        </is>
      </c>
      <c r="G74" s="33" t="inlineStr">
        <is>
          <t>Complaint</t>
        </is>
      </c>
      <c r="H74" s="33" t="inlineStr">
        <is>
          <t>Missed Event</t>
        </is>
      </c>
      <c r="I74" s="33" t="inlineStr">
        <is>
          <t>People</t>
        </is>
      </c>
      <c r="J74" s="33" t="inlineStr">
        <is>
          <t>Review</t>
        </is>
      </c>
      <c r="K74" s="33" t="inlineStr">
        <is>
          <t>Improvement</t>
        </is>
      </c>
      <c r="L74" s="33" t="inlineStr">
        <is>
          <t>Clarification Provided</t>
        </is>
      </c>
      <c r="M74" s="33" t="inlineStr">
        <is>
          <t>Supplier-aware factory fire escalation model + Not Impactful override validation</t>
        </is>
      </c>
      <c r="N74" s="33" t="inlineStr">
        <is>
          <t>Yes</t>
        </is>
      </c>
      <c r="O74" s="33" t="inlineStr">
        <is>
          <t>Feeds were received and event was reportedly marked Not Impactful despite destruction of production/storage facility. Investigation ongoing.</t>
        </is>
      </c>
      <c r="P74" s="33" t="n"/>
      <c r="Q74" s="33" t="inlineStr">
        <is>
          <t>Yes</t>
        </is>
      </c>
      <c r="R74" s="39" t="n">
        <v>7</v>
      </c>
      <c r="S74" s="39" t="n"/>
      <c r="T74" s="35" t="n">
        <v>46204</v>
      </c>
      <c r="U74" s="33" t="inlineStr">
        <is>
          <t>Medium</t>
        </is>
      </c>
      <c r="V74" s="33" t="inlineStr">
        <is>
          <t>WarRoom &amp; Decision Validation</t>
        </is>
      </c>
      <c r="W74" s="33" t="inlineStr">
        <is>
          <t>EAO-14</t>
        </is>
      </c>
      <c r="X74" s="33" t="inlineStr">
        <is>
          <t>RCA approved and sent to the customer on 13-Jul-2026 as a PDF attached to EAO-14; the document text is not in the ticket.</t>
        </is>
      </c>
      <c r="Y74" s="33" t="inlineStr">
        <is>
          <t>EventWatch Ops - Nitin Rindhe</t>
        </is>
      </c>
    </row>
    <row r="75">
      <c r="A75" s="35" t="n">
        <v>46204</v>
      </c>
      <c r="B75" s="37" t="n">
        <v>46211</v>
      </c>
      <c r="C75" s="33" t="inlineStr">
        <is>
          <t>Supply Shortage</t>
        </is>
      </c>
      <c r="D75" s="33" t="inlineStr">
        <is>
          <t>META</t>
        </is>
      </c>
      <c r="E75" s="39" t="n">
        <v>1</v>
      </c>
      <c r="F75" s="33" t="inlineStr">
        <is>
          <t>Samsung DRAM Price Increase Alert – WarRoom Not Created</t>
        </is>
      </c>
      <c r="G75" s="33" t="inlineStr">
        <is>
          <t>Inquiry</t>
        </is>
      </c>
      <c r="H75" s="33" t="inlineStr">
        <is>
          <t>Missed WarRoom</t>
        </is>
      </c>
      <c r="I75" s="33" t="inlineStr">
        <is>
          <t>Process</t>
        </is>
      </c>
      <c r="J75" s="33" t="inlineStr">
        <is>
          <t>WarRoom Creation</t>
        </is>
      </c>
      <c r="K75" s="33" t="inlineStr">
        <is>
          <t>Improvement</t>
        </is>
      </c>
      <c r="L75" s="33" t="inlineStr">
        <is>
          <t>Clarification Provided</t>
        </is>
      </c>
      <c r="M75" s="33" t="inlineStr">
        <is>
          <t>Site Selection Suggestion based on unnormalized supplier names</t>
        </is>
      </c>
      <c r="N75" s="33" t="inlineStr">
        <is>
          <t>Yes</t>
        </is>
      </c>
      <c r="O75" s="33" t="inlineStr">
        <is>
          <t>EventWatch alert published but corresponding WarRoom not created despite supplier normalization. Investigation ongoing.</t>
        </is>
      </c>
      <c r="P75" s="33" t="inlineStr">
        <is>
          <t>No</t>
        </is>
      </c>
      <c r="Q75" s="33" t="inlineStr">
        <is>
          <t>Yes</t>
        </is>
      </c>
      <c r="R75" s="39" t="n">
        <v>7</v>
      </c>
      <c r="S75" s="39" t="n"/>
      <c r="T75" s="35" t="n">
        <v>46204</v>
      </c>
      <c r="U75" s="33" t="inlineStr">
        <is>
          <t>Low</t>
        </is>
      </c>
      <c r="V75" s="33" t="inlineStr">
        <is>
          <t>Entity &amp; Supplier Resolution</t>
        </is>
      </c>
      <c r="W75" s="33" t="inlineStr">
        <is>
          <t>EAO-15</t>
        </is>
      </c>
      <c r="X75" s="33" t="inlineStr">
        <is>
          <t>The event met the Price Fluctuation reporting threshold and did qualify for a WarRoom; the failure came later, in customer-specific supplier normalization. The Samsung Electronics sites are normalized under Samsung for the affected customer, and that normalization was not applied during the impacted-site assessment, so the sites were never associated with the event and no customer WarRoom was created. This was not a parent-child modelling issue. Normalization is maintained outside the EventWatch editorial workflow, so the response is strengthened validation controls plus AI-assisted WarRoom generation rather than a guarantee. RCA shared 15-Jul-2026.</t>
        </is>
      </c>
      <c r="Y75" s="33" t="inlineStr">
        <is>
          <t>EventWatch Ops - Nitin Rindhe</t>
        </is>
      </c>
    </row>
    <row r="76">
      <c r="A76" s="35" t="n">
        <v>46204</v>
      </c>
      <c r="B76" s="37" t="n">
        <v>46213</v>
      </c>
      <c r="C76" s="33" t="inlineStr">
        <is>
          <t>WarRoom Operations</t>
        </is>
      </c>
      <c r="D76" s="33" t="inlineStr">
        <is>
          <t>Eaton</t>
        </is>
      </c>
      <c r="E76" s="39" t="n">
        <v>1</v>
      </c>
      <c r="F76" s="33" t="inlineStr">
        <is>
          <t>Super Typhoon Bavi WarRoom Timing Clarification (Taiwan)</t>
        </is>
      </c>
      <c r="G76" s="33" t="inlineStr">
        <is>
          <t>Inquiry</t>
        </is>
      </c>
      <c r="H76" s="33" t="inlineStr">
        <is>
          <t>WarRoom Timing/Trigger Criteria Clarification</t>
        </is>
      </c>
      <c r="I76" s="33" t="inlineStr">
        <is>
          <t>Process</t>
        </is>
      </c>
      <c r="J76" s="33" t="inlineStr">
        <is>
          <t>Process Clarification</t>
        </is>
      </c>
      <c r="K76" s="33" t="inlineStr">
        <is>
          <t>Improvement</t>
        </is>
      </c>
      <c r="L76" s="33" t="inlineStr">
        <is>
          <t>Clarification Provided</t>
        </is>
      </c>
      <c r="M76" s="33" t="inlineStr">
        <is>
          <t>WarRoom trigger-criteria explanation template for post-peak activations</t>
        </is>
      </c>
      <c r="N76" s="33" t="inlineStr">
        <is>
          <t>No</t>
        </is>
      </c>
      <c r="O76" s="33" t="inlineStr">
        <is>
          <t>Staged from Jira EAO-16 (Done). Eaton asked why the WarRoom for Super Typhoon Bavi (Taiwan) was activated on 9-Jul after the storm had already peaked, and what triggering criteria were used.</t>
        </is>
      </c>
      <c r="Q76" s="33" t="inlineStr">
        <is>
          <t>No</t>
        </is>
      </c>
      <c r="R76" s="39" t="n">
        <v>7</v>
      </c>
      <c r="T76" s="35" t="n">
        <v>46204</v>
      </c>
      <c r="U76" s="33" t="inlineStr">
        <is>
          <t>Low</t>
        </is>
      </c>
      <c r="V76" s="33" t="inlineStr">
        <is>
          <t>WarRoom &amp; Decision Validation</t>
        </is>
      </c>
      <c r="W76" s="33" t="inlineStr">
        <is>
          <t>EAO-16</t>
        </is>
      </c>
      <c r="X76" s="33" t="inlineStr">
        <is>
          <t>EventWatch captured multiple Philippines articles before the dedicated Philippines WarRoom was created, but they were assessed Not Impactful during reporting review, when available reports still described preparedness and localized impacts. Root cause: human assessment error underestimating the significance of the evolving Philippines impacts, which delayed WarRoom creation. Preventive: multi-country weather events assessed independently for each affected geography rather than inferred from the wider storm.</t>
        </is>
      </c>
      <c r="Y76" s="33" t="inlineStr">
        <is>
          <t>EventWatch Ops - Nitin Rindhe</t>
        </is>
      </c>
    </row>
    <row r="77">
      <c r="A77" s="35" t="n">
        <v>46204</v>
      </c>
      <c r="B77" s="37" t="n">
        <v>46213</v>
      </c>
      <c r="C77" s="33" t="inlineStr">
        <is>
          <t>Litigation/Legal</t>
        </is>
      </c>
      <c r="D77" s="33" t="inlineStr">
        <is>
          <t>Micron</t>
        </is>
      </c>
      <c r="E77" s="39" t="n">
        <v>1</v>
      </c>
      <c r="F77" s="33" t="inlineStr">
        <is>
          <t>Jacobs Engineering/CH2M Hill Forced Labor Lawsuit – Missed EventWatch Notification (Micron)</t>
        </is>
      </c>
      <c r="G77" s="33" t="inlineStr">
        <is>
          <t>Complaint</t>
        </is>
      </c>
      <c r="H77" s="33" t="inlineStr">
        <is>
          <t>Missed Event</t>
        </is>
      </c>
      <c r="I77" s="33" t="inlineStr">
        <is>
          <t>Product</t>
        </is>
      </c>
      <c r="J77" s="33" t="inlineStr">
        <is>
          <t>Source Coverage</t>
        </is>
      </c>
      <c r="K77" s="33" t="inlineStr">
        <is>
          <t>Improvement</t>
        </is>
      </c>
      <c r="L77" s="33" t="inlineStr">
        <is>
          <t>RCA Shared</t>
        </is>
      </c>
      <c r="M77" s="33" t="inlineStr">
        <is>
          <t>Legal/labor-litigation source coverage and entity-linking for supplier-adjacent lawsuits</t>
        </is>
      </c>
      <c r="N77" s="33" t="inlineStr">
        <is>
          <t>Yes</t>
        </is>
      </c>
      <c r="O77" s="33" t="inlineStr">
        <is>
          <t>Staged from Jira EAO-17 (Done). Micron reported a forced-labor lawsuit against Jacobs Engineering/CH2M Hill was not captured in EventWatch and requested RCA if it was in scope.</t>
        </is>
      </c>
      <c r="Q77" s="33" t="inlineStr">
        <is>
          <t>Yes</t>
        </is>
      </c>
      <c r="R77" s="39" t="n">
        <v>7</v>
      </c>
      <c r="T77" s="35" t="n">
        <v>46204</v>
      </c>
      <c r="U77" s="33" t="inlineStr">
        <is>
          <t>Medium</t>
        </is>
      </c>
      <c r="V77" s="33" t="inlineStr">
        <is>
          <t>Dynamic Source Discovery</t>
        </is>
      </c>
      <c r="W77" s="33" t="inlineStr">
        <is>
          <t>EAO-17</t>
        </is>
      </c>
      <c r="X77" s="33" t="inlineStr">
        <is>
          <t>RCA reviewed and sent to the customer on 14-Jul-2026 as a PDF attached to EAO-17; the document text is not in the ticket.</t>
        </is>
      </c>
      <c r="Y77" s="33" t="inlineStr">
        <is>
          <t>Product &amp; Platform</t>
        </is>
      </c>
    </row>
    <row r="78">
      <c r="A78" s="35" t="n">
        <v>46204</v>
      </c>
      <c r="B78" s="37" t="n">
        <v>46216</v>
      </c>
      <c r="C78" s="33" t="inlineStr">
        <is>
          <t>Supply Shortage</t>
        </is>
      </c>
      <c r="D78" s="33" t="inlineStr">
        <is>
          <t>Western Digital</t>
        </is>
      </c>
      <c r="E78" s="39" t="n">
        <v>1</v>
      </c>
      <c r="F78" s="33" t="inlineStr">
        <is>
          <t>Suspension Baseplate Supply Risk Monitoring Request (Fujita Plating/NHK/OSK)</t>
        </is>
      </c>
      <c r="G78" s="33" t="inlineStr">
        <is>
          <t>Inquiry</t>
        </is>
      </c>
      <c r="H78" s="33" t="inlineStr">
        <is>
          <t>Coverage Verification Request</t>
        </is>
      </c>
      <c r="I78" s="33" t="inlineStr">
        <is>
          <t>Process</t>
        </is>
      </c>
      <c r="J78" s="33" t="inlineStr">
        <is>
          <t>Process Clarification</t>
        </is>
      </c>
      <c r="K78" s="33" t="inlineStr">
        <is>
          <t>Improvement</t>
        </is>
      </c>
      <c r="L78" s="33" t="inlineStr">
        <is>
          <t>Clarification Provided</t>
        </is>
      </c>
      <c r="M78" s="33" t="inlineStr">
        <is>
          <t>Supplier decommitment/capacity-risk monitoring for sub-tier component makers</t>
        </is>
      </c>
      <c r="N78" s="33" t="inlineStr">
        <is>
          <t>No</t>
        </is>
      </c>
      <c r="O78" s="33" t="inlineStr">
        <is>
          <t>Staged from Jira EAO-18 (Done). Western Digital asked whether EventWatch has published or is monitoring a reported Suspension Baseplate supply risk tied to Fujita Plating/NHK/OSK decommitments; CS found no matching event in the backend.</t>
        </is>
      </c>
      <c r="Q78" s="33" t="inlineStr">
        <is>
          <t>No</t>
        </is>
      </c>
      <c r="R78" s="39" t="n">
        <v>7</v>
      </c>
      <c r="T78" s="35" t="n">
        <v>46204</v>
      </c>
      <c r="U78" s="33" t="inlineStr">
        <is>
          <t>Low</t>
        </is>
      </c>
      <c r="V78" s="33" t="inlineStr">
        <is>
          <t>Other Control Automation</t>
        </is>
      </c>
      <c r="W78" s="33" t="inlineStr">
        <is>
          <t>EAO-18</t>
        </is>
      </c>
      <c r="X78" s="33" t="n"/>
      <c r="Y78" s="33" t="inlineStr">
        <is>
          <t>EventWatch Ops - Nitin Rindhe</t>
        </is>
      </c>
    </row>
    <row r="79">
      <c r="A79" s="35" t="n">
        <v>46204</v>
      </c>
      <c r="B79" s="37" t="n">
        <v>46217</v>
      </c>
      <c r="C79" s="33" t="inlineStr">
        <is>
          <t>Power Outage</t>
        </is>
      </c>
      <c r="D79" s="33" t="inlineStr">
        <is>
          <t>Ford</t>
        </is>
      </c>
      <c r="E79" s="39" t="n">
        <v>1</v>
      </c>
      <c r="F79" s="33" t="inlineStr">
        <is>
          <t>RFI – Power Grid Failure Monitoring Strategy</t>
        </is>
      </c>
      <c r="G79" s="33" t="inlineStr">
        <is>
          <t>Inquiry</t>
        </is>
      </c>
      <c r="H79" s="33" t="inlineStr">
        <is>
          <t>Monitoring Strategy RFI</t>
        </is>
      </c>
      <c r="I79" s="33" t="inlineStr">
        <is>
          <t>Process</t>
        </is>
      </c>
      <c r="J79" s="33" t="inlineStr">
        <is>
          <t>Process Clarification</t>
        </is>
      </c>
      <c r="K79" s="33" t="inlineStr">
        <is>
          <t>Improvement</t>
        </is>
      </c>
      <c r="L79" s="33" t="inlineStr">
        <is>
          <t>Clarification Provided</t>
        </is>
      </c>
      <c r="M79" s="33" t="inlineStr">
        <is>
          <t>Published monitoring-scope documentation for power-grid/infrastructure failure events</t>
        </is>
      </c>
      <c r="N79" s="33" t="inlineStr">
        <is>
          <t>No</t>
        </is>
      </c>
      <c r="O79" s="33" t="inlineStr">
        <is>
          <t>Staged from Jira EAO-19 (Done). Ford requested an explanation of Resilinc's monitoring strategy for power grid failure events after multiple incidents affected suppliers in the US and Europe.</t>
        </is>
      </c>
      <c r="Q79" s="33" t="inlineStr">
        <is>
          <t>No</t>
        </is>
      </c>
      <c r="R79" s="39" t="n">
        <v>7</v>
      </c>
      <c r="T79" s="35" t="n">
        <v>46204</v>
      </c>
      <c r="U79" s="33" t="inlineStr">
        <is>
          <t>Low</t>
        </is>
      </c>
      <c r="V79" s="33" t="inlineStr">
        <is>
          <t>Other Control Automation</t>
        </is>
      </c>
      <c r="W79" s="33" t="inlineStr">
        <is>
          <t>EAO-19</t>
        </is>
      </c>
      <c r="X79" s="33" t="inlineStr">
        <is>
          <t>Not a miss - an inquiry answered in full. EventWatch monitors power infrastructure continuously across utilities and transmission operators, government and emergency agencies, grid operators, news sources and official outage maps. Reporting is risk-based rather than every outage: mapped supplier sites in the affected region, impact on manufacturing hubs, ports, warehouses and logistics, expected outage duration, and public confirmation of operational disruption, all against regional reporting thresholds.</t>
        </is>
      </c>
      <c r="Y79" s="33" t="inlineStr">
        <is>
          <t>EventWatch Ops - Nitin Rindhe</t>
        </is>
      </c>
    </row>
    <row r="80">
      <c r="A80" s="35" t="n">
        <v>46204</v>
      </c>
      <c r="B80" s="37" t="n">
        <v>46220</v>
      </c>
      <c r="C80" s="33" t="inlineStr">
        <is>
          <t>Bankruptcy</t>
        </is>
      </c>
      <c r="D80" s="33" t="inlineStr">
        <is>
          <t>Honeywell</t>
        </is>
      </c>
      <c r="E80" s="39" t="n">
        <v>1</v>
      </c>
      <c r="F80" s="33" t="inlineStr">
        <is>
          <t>ASSMANN WSW Components GmbH Bankruptcy Filing – Missed Coverage (Honeywell Tier 1 Supplier)</t>
        </is>
      </c>
      <c r="G80" s="33" t="inlineStr">
        <is>
          <t>Complaint</t>
        </is>
      </c>
      <c r="H80" s="33" t="inlineStr">
        <is>
          <t>Missed insolvency alert</t>
        </is>
      </c>
      <c r="I80" s="33" t="inlineStr">
        <is>
          <t>Product</t>
        </is>
      </c>
      <c r="J80" s="33" t="inlineStr">
        <is>
          <t>Source Coverage</t>
        </is>
      </c>
      <c r="K80" s="33" t="inlineStr">
        <is>
          <t>Improvement</t>
        </is>
      </c>
      <c r="L80" s="33" t="inlineStr">
        <is>
          <t>Fixed</t>
        </is>
      </c>
      <c r="M80" s="33" t="inlineStr">
        <is>
          <t>Tier-1 supplier bankruptcy/insolvency filing source coverage expansion (EU registries)</t>
        </is>
      </c>
      <c r="N80" s="33" t="inlineStr">
        <is>
          <t>Yes</t>
        </is>
      </c>
      <c r="O80" s="33" t="inlineStr">
        <is>
          <t>Staged from Jira EAO-20 (Done). Honeywell reported ASSMANN WSW Components GmbH's July 6 insolvency filing (a mapped Tier-1 supplier) was never published as an EventWatch bulletin or WarRoom; RCA requested.</t>
        </is>
      </c>
      <c r="Q80" s="33" t="inlineStr">
        <is>
          <t>Yes</t>
        </is>
      </c>
      <c r="R80" s="39" t="n">
        <v>7</v>
      </c>
      <c r="T80" s="35" t="n">
        <v>46204</v>
      </c>
      <c r="U80" s="33" t="inlineStr">
        <is>
          <t>Medium</t>
        </is>
      </c>
      <c r="V80" s="33" t="inlineStr">
        <is>
          <t>Dynamic Source Discovery</t>
        </is>
      </c>
      <c r="W80" s="33" t="inlineStr">
        <is>
          <t>EAO-20</t>
        </is>
      </c>
      <c r="X80" s="33" t="inlineStr">
        <is>
          <t>German-language sources reporting the ASSMANN WSW Components insolvency were not captured by the portal; Engineering was asked to investigate the feed gap. RCA reviewed and shared with the customer 20-Jul-2026.</t>
        </is>
      </c>
      <c r="Y80" s="33" t="inlineStr">
        <is>
          <t>Product &amp; Platform</t>
        </is>
      </c>
    </row>
    <row r="81">
      <c r="A81" s="35" t="n">
        <v>46204</v>
      </c>
      <c r="B81" s="37" t="n">
        <v>46220</v>
      </c>
      <c r="C81" s="33" t="inlineStr">
        <is>
          <t>Wildfire</t>
        </is>
      </c>
      <c r="D81" s="33" t="inlineStr">
        <is>
          <t>Ford</t>
        </is>
      </c>
      <c r="E81" s="39" t="n">
        <v>1</v>
      </c>
      <c r="F81" s="33" t="inlineStr">
        <is>
          <t>Severe Air Quality Degradation – Canadian Wildfires Missed Alert (Midwest/Northeast US)</t>
        </is>
      </c>
      <c r="G81" s="33" t="inlineStr">
        <is>
          <t>Complaint</t>
        </is>
      </c>
      <c r="H81" s="33" t="inlineStr">
        <is>
          <t>Missed Event</t>
        </is>
      </c>
      <c r="I81" s="33" t="inlineStr">
        <is>
          <t>People</t>
        </is>
      </c>
      <c r="J81" s="33" t="inlineStr">
        <is>
          <t>Event Identification</t>
        </is>
      </c>
      <c r="K81" s="33" t="inlineStr">
        <is>
          <t>Improvement</t>
        </is>
      </c>
      <c r="L81" s="33" t="inlineStr">
        <is>
          <t>RCA Shared</t>
        </is>
      </c>
      <c r="M81" s="33" t="inlineStr">
        <is>
          <t>Escalation automation for environmental-hazard advisories</t>
        </is>
      </c>
      <c r="N81" s="33" t="inlineStr">
        <is>
          <t>Yes</t>
        </is>
      </c>
      <c r="O81" s="33" t="inlineStr">
        <is>
          <t>Staged from Jira EAO-21 (Done). Ford reported no EventWatch alert/WarRoom was generated for July 15-17 wildfire smoke air-quality degradation across the US Midwest/Northeast; CS confirmed no matching notification was found.</t>
        </is>
      </c>
      <c r="Q81" s="33" t="inlineStr">
        <is>
          <t>Yes</t>
        </is>
      </c>
      <c r="R81" s="39" t="n">
        <v>7</v>
      </c>
      <c r="T81" s="35" t="n">
        <v>46204</v>
      </c>
      <c r="U81" s="33" t="inlineStr">
        <is>
          <t>Medium</t>
        </is>
      </c>
      <c r="V81" s="33" t="inlineStr">
        <is>
          <t>WarRoom &amp; Decision Validation</t>
        </is>
      </c>
      <c r="W81" s="33" t="inlineStr">
        <is>
          <t>EAO-21</t>
        </is>
      </c>
      <c r="X81" s="33" t="inlineStr">
        <is>
          <t>RCA approved and sent to the customer on 21-Jul-2026 as a PDF attached to EAO-21; the document text is not in the ticket.</t>
        </is>
      </c>
      <c r="Y81" s="33" t="inlineStr">
        <is>
          <t>EventWatch Ops - Nitin Rindhe</t>
        </is>
      </c>
    </row>
    <row r="82">
      <c r="A82" s="35" t="n">
        <v>46204</v>
      </c>
      <c r="B82" s="37" t="n">
        <v>46230</v>
      </c>
      <c r="C82" s="33" t="inlineStr">
        <is>
          <t>Cyber Attack</t>
        </is>
      </c>
      <c r="D82" s="33" t="inlineStr">
        <is>
          <t>Eaton</t>
        </is>
      </c>
      <c r="E82" s="39" t="n">
        <v>1</v>
      </c>
      <c r="F82" s="33" t="inlineStr">
        <is>
          <t>Romania ANCPI Cyberattack – Missed EventWatch Notification</t>
        </is>
      </c>
      <c r="G82" s="33" t="inlineStr">
        <is>
          <t>Complaint</t>
        </is>
      </c>
      <c r="H82" s="33" t="inlineStr">
        <is>
          <t>Missed Event</t>
        </is>
      </c>
      <c r="I82" s="33" t="inlineStr">
        <is>
          <t>Product</t>
        </is>
      </c>
      <c r="J82" s="33" t="inlineStr">
        <is>
          <t>Source Coverage</t>
        </is>
      </c>
      <c r="K82" s="33" t="inlineStr">
        <is>
          <t>Improvement</t>
        </is>
      </c>
      <c r="L82" s="33" t="inlineStr">
        <is>
          <t>RCA Shared</t>
        </is>
      </c>
      <c r="M82" s="33" t="inlineStr">
        <is>
          <t>Government/public-sector cyberattack source coverage expansion (regional-language sources)</t>
        </is>
      </c>
      <c r="N82" s="33" t="inlineStr">
        <is>
          <t>Yes</t>
        </is>
      </c>
      <c r="O82" s="33" t="inlineStr">
        <is>
          <t>Staged from Jira EAO-22 (Done). Eaton reported the July 14-16 ANCPI (Romania land registry) cyberattack had no corresponding WarRoom or news on the portal; RCA requested if it was in scope.</t>
        </is>
      </c>
      <c r="Q82" s="33" t="inlineStr">
        <is>
          <t>Yes</t>
        </is>
      </c>
      <c r="R82" s="39" t="n">
        <v>7</v>
      </c>
      <c r="T82" s="35" t="n">
        <v>46204</v>
      </c>
      <c r="U82" s="33" t="inlineStr">
        <is>
          <t>Medium</t>
        </is>
      </c>
      <c r="V82" s="33" t="inlineStr">
        <is>
          <t>Dynamic Source Discovery</t>
        </is>
      </c>
      <c r="W82" s="33" t="inlineStr">
        <is>
          <t>EAO-22</t>
        </is>
      </c>
      <c r="X82" s="33" t="n"/>
      <c r="Y82" s="33" t="inlineStr">
        <is>
          <t>Product &amp; Platform</t>
        </is>
      </c>
    </row>
    <row r="83">
      <c r="A83" s="35" t="n">
        <v>46235</v>
      </c>
      <c r="B83" s="37" t="n">
        <v>46237</v>
      </c>
      <c r="C83" s="33" t="inlineStr">
        <is>
          <t>Factory Fire</t>
        </is>
      </c>
      <c r="D83" s="33" t="inlineStr">
        <is>
          <t>Ford</t>
        </is>
      </c>
      <c r="E83" s="39" t="n">
        <v>1</v>
      </c>
      <c r="F83" s="33" t="inlineStr">
        <is>
          <t>TOHOKU Chemical Japan Fire – Sub-tier Cashew Dust Supplier</t>
        </is>
      </c>
      <c r="G83" s="33" t="inlineStr">
        <is>
          <t>Complaint</t>
        </is>
      </c>
      <c r="H83" s="33" t="inlineStr">
        <is>
          <t>Missed Event</t>
        </is>
      </c>
      <c r="I83" s="33" t="inlineStr">
        <is>
          <t>Product</t>
        </is>
      </c>
      <c r="J83" s="33" t="inlineStr">
        <is>
          <t>Source Coverage</t>
        </is>
      </c>
      <c r="K83" s="33" t="inlineStr">
        <is>
          <t>Improvement</t>
        </is>
      </c>
      <c r="L83" s="33" t="inlineStr">
        <is>
          <t>RCA Shared</t>
        </is>
      </c>
      <c r="M83" s="33" t="inlineStr">
        <is>
          <t>Dynamic Source Discovery</t>
        </is>
      </c>
      <c r="N83" s="33" t="inlineStr">
        <is>
          <t>Yes</t>
        </is>
      </c>
      <c r="O83" s="33" t="inlineStr">
        <is>
          <t>EAO-24: No proactive alert was generated for the July 21 fire. Customer requested RCA, ICA, and PCA for the missed coverage. RCA shared.</t>
        </is>
      </c>
      <c r="P83" s="33" t="n"/>
      <c r="Q83" s="33" t="inlineStr">
        <is>
          <t>Yes</t>
        </is>
      </c>
      <c r="R83" s="39" t="n">
        <v>8</v>
      </c>
      <c r="S83" s="39" t="n"/>
      <c r="T83" s="35" t="n">
        <v>46235</v>
      </c>
      <c r="U83" s="33" t="inlineStr">
        <is>
          <t>Medium</t>
        </is>
      </c>
      <c r="V83" s="33" t="inlineStr">
        <is>
          <t>Dynamic Source Discovery</t>
        </is>
      </c>
      <c r="W83" s="33" t="inlineStr">
        <is>
          <t>EAO-24</t>
        </is>
      </c>
      <c r="X83" s="33" t="n"/>
      <c r="Y83" s="33" t="inlineStr">
        <is>
          <t>Product &amp; Platform</t>
        </is>
      </c>
    </row>
    <row r="84">
      <c r="A84" s="35" t="n">
        <v>46235</v>
      </c>
      <c r="B84" s="37" t="n">
        <v>46237</v>
      </c>
      <c r="C84" s="33" t="inlineStr">
        <is>
          <t>Factory Fire</t>
        </is>
      </c>
      <c r="D84" s="33" t="inlineStr">
        <is>
          <t>GM</t>
        </is>
      </c>
      <c r="E84" s="39" t="n">
        <v>1</v>
      </c>
      <c r="F84" s="33" t="inlineStr">
        <is>
          <t>Fire at UTAS-Nova Automotive Lighting Systems, Danyang, Jiangsu, China</t>
        </is>
      </c>
      <c r="G84" s="33" t="inlineStr">
        <is>
          <t>Complaint</t>
        </is>
      </c>
      <c r="H84" s="33" t="inlineStr">
        <is>
          <t>Missed Event</t>
        </is>
      </c>
      <c r="I84" s="33" t="inlineStr">
        <is>
          <t>Product</t>
        </is>
      </c>
      <c r="J84" s="33" t="inlineStr">
        <is>
          <t>Source Coverage</t>
        </is>
      </c>
      <c r="K84" s="33" t="inlineStr">
        <is>
          <t>Improvement</t>
        </is>
      </c>
      <c r="L84" s="33" t="inlineStr">
        <is>
          <t>Pending</t>
        </is>
      </c>
      <c r="M84" s="33" t="inlineStr">
        <is>
          <t>Cluster-assignment validation so an article grouped into the wrong cluster is caught before analyst review</t>
        </is>
      </c>
      <c r="N84" s="33" t="inlineStr">
        <is>
          <t>Yes</t>
        </is>
      </c>
      <c r="O84" s="33" t="inlineStr">
        <is>
          <t>Staged from Jira EAO-25 (Sent to PM). GM reported a fire at UTAS-Nova Automotive Lighting Systems, Danyang, Jiangsu, China (reported July 10) was not found in GM's org; investigation findings not yet shared, Short Term Fix Status set to Pending until CS responds.</t>
        </is>
      </c>
      <c r="Q84" s="33" t="inlineStr">
        <is>
          <t>Yes</t>
        </is>
      </c>
      <c r="R84" s="39" t="n">
        <v>8</v>
      </c>
      <c r="T84" s="35" t="n">
        <v>46235</v>
      </c>
      <c r="U84" s="33" t="inlineStr">
        <is>
          <t>Medium</t>
        </is>
      </c>
      <c r="V84" s="33" t="inlineStr">
        <is>
          <t>Dynamic Source Discovery</t>
        </is>
      </c>
      <c r="W84" s="33" t="inlineStr">
        <is>
          <t>EAO-25</t>
        </is>
      </c>
      <c r="X84"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4" s="33" t="inlineStr">
        <is>
          <t>Product &amp; Platform</t>
        </is>
      </c>
    </row>
    <row r="85">
      <c r="A85" s="35" t="n">
        <v>46235</v>
      </c>
      <c r="B85" s="37" t="n">
        <v>46237</v>
      </c>
      <c r="C85" s="33" t="inlineStr">
        <is>
          <t>Tornado</t>
        </is>
      </c>
      <c r="D85" s="33" t="inlineStr">
        <is>
          <t>GM</t>
        </is>
      </c>
      <c r="E85" s="39" t="n">
        <v>1</v>
      </c>
      <c r="F85" s="33" t="inlineStr">
        <is>
          <t>Chicago Heights, Illinois Tornado – Trialco Impact Not Identified</t>
        </is>
      </c>
      <c r="G85" s="33" t="inlineStr">
        <is>
          <t>Complaint</t>
        </is>
      </c>
      <c r="H85" s="33" t="inlineStr">
        <is>
          <t>Missed Event</t>
        </is>
      </c>
      <c r="I85" s="33" t="inlineStr">
        <is>
          <t>Product</t>
        </is>
      </c>
      <c r="J85" s="33" t="inlineStr">
        <is>
          <t>Source Coverage</t>
        </is>
      </c>
      <c r="K85" s="33" t="inlineStr">
        <is>
          <t>Improvement</t>
        </is>
      </c>
      <c r="L85" s="33" t="inlineStr">
        <is>
          <t>Pending</t>
        </is>
      </c>
      <c r="M85" s="33" t="inlineStr">
        <is>
          <t>Cluster-assignment validation so an article grouped into the wrong cluster is caught before analyst review</t>
        </is>
      </c>
      <c r="N85" s="33" t="inlineStr">
        <is>
          <t>Yes</t>
        </is>
      </c>
      <c r="O85" s="33" t="inlineStr">
        <is>
          <t>Staged from Jira EAO-25 (Sent to PM). GM reported no event was created specifically for the July 27 Chicago Heights, Illinois tornado (broader Illinois storm alerts existed) and asked whether Trialco was identified as impacted; investigation findings not yet shared, Short Term Fix Status set to Pending until CS responds.</t>
        </is>
      </c>
      <c r="Q85" s="33" t="inlineStr">
        <is>
          <t>Yes</t>
        </is>
      </c>
      <c r="R85" s="39" t="n">
        <v>8</v>
      </c>
      <c r="T85" s="35" t="n">
        <v>46235</v>
      </c>
      <c r="U85" s="33" t="inlineStr">
        <is>
          <t>Medium</t>
        </is>
      </c>
      <c r="V85" s="33" t="inlineStr">
        <is>
          <t>Dynamic Source Discovery</t>
        </is>
      </c>
      <c r="W85" s="33" t="inlineStr">
        <is>
          <t>EAO-25</t>
        </is>
      </c>
      <c r="X85"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5" s="33" t="inlineStr">
        <is>
          <t>Product &amp; Platform</t>
        </is>
      </c>
    </row>
    <row r="86">
      <c r="A86" s="35" t="n">
        <v>46235</v>
      </c>
      <c r="B86" s="37" t="n">
        <v>46238</v>
      </c>
      <c r="C86" s="33" t="inlineStr">
        <is>
          <t>Earthquake</t>
        </is>
      </c>
      <c r="D86" s="33" t="inlineStr">
        <is>
          <t>Hitachi</t>
        </is>
      </c>
      <c r="E86" s="39" t="n">
        <v>1</v>
      </c>
      <c r="F86" s="33" t="inlineStr">
        <is>
          <t>Disruption Agent Returns Only Tier 1 Suppliers for Kumamoto Earthquake Query (Hitachi)</t>
        </is>
      </c>
      <c r="G86" s="33" t="inlineStr">
        <is>
          <t>Complaint</t>
        </is>
      </c>
      <c r="H86" s="33" t="inlineStr">
        <is>
          <t>Impacted Supplier Missing</t>
        </is>
      </c>
      <c r="I86" s="33" t="inlineStr">
        <is>
          <t>Product</t>
        </is>
      </c>
      <c r="J86" s="33" t="inlineStr">
        <is>
          <t>Policy/Logic</t>
        </is>
      </c>
      <c r="K86" s="33" t="inlineStr">
        <is>
          <t>Improvement</t>
        </is>
      </c>
      <c r="L86" s="33" t="inlineStr">
        <is>
          <t>Fixed</t>
        </is>
      </c>
      <c r="M86" s="33" t="inlineStr">
        <is>
          <t>Disruption Agent response completeness checks so a prompt asking for multiple supplier tiers returns all of them in one response</t>
        </is>
      </c>
      <c r="N86" s="33" t="inlineStr">
        <is>
          <t>No</t>
        </is>
      </c>
      <c r="O86" s="33" t="inlineStr">
        <is>
          <t>From Jira CAN-3433 (Resolved). For Hitachi, a single Disruption Agent prompt asking for both Tier 1 and Tier 2 suppliers potentially impacted by the 6.8 magnitude Kumamoto earthquake returned Tier 1 only; Tier 2 required a second prompt.</t>
        </is>
      </c>
      <c r="P86" s="33" t="n"/>
      <c r="Q86" s="33" t="inlineStr">
        <is>
          <t>No</t>
        </is>
      </c>
      <c r="R86" s="39" t="n">
        <v>8</v>
      </c>
      <c r="S86" s="39" t="n"/>
      <c r="T86" s="35" t="inlineStr">
        <is>
          <t>Aug 2026</t>
        </is>
      </c>
      <c r="U86" s="33" t="inlineStr">
        <is>
          <t>Low</t>
        </is>
      </c>
      <c r="V86" s="33" t="inlineStr">
        <is>
          <t>Other Control Automation</t>
        </is>
      </c>
      <c r="W86" s="33" t="inlineStr">
        <is>
          <t>CAN-3433</t>
        </is>
      </c>
      <c r="X86" s="33" t="n"/>
      <c r="Y86" s="33" t="inlineStr">
        <is>
          <t>Product &amp; Platform</t>
        </is>
      </c>
    </row>
    <row r="87">
      <c r="A87" s="35" t="n">
        <v>46235</v>
      </c>
      <c r="B87" s="37" t="n">
        <v>46245</v>
      </c>
      <c r="C87" s="33" t="inlineStr">
        <is>
          <t>Regulatory Change</t>
        </is>
      </c>
      <c r="D87" s="33" t="inlineStr">
        <is>
          <t>Ford</t>
        </is>
      </c>
      <c r="E87" s="39" t="n">
        <v>1</v>
      </c>
      <c r="F87" s="33" t="inlineStr">
        <is>
          <t>China MOFCOM Announcement No. 30 of 2026 (Export Control Watchlist)</t>
        </is>
      </c>
      <c r="G87" s="33" t="inlineStr">
        <is>
          <t>Complaint</t>
        </is>
      </c>
      <c r="H87" s="33" t="inlineStr">
        <is>
          <t>Missed Event</t>
        </is>
      </c>
      <c r="I87" s="33" t="inlineStr">
        <is>
          <t>People</t>
        </is>
      </c>
      <c r="J87" s="33" t="inlineStr">
        <is>
          <t>Review</t>
        </is>
      </c>
      <c r="K87" s="33" t="inlineStr">
        <is>
          <t>Improvement</t>
        </is>
      </c>
      <c r="L87" s="33" t="inlineStr">
        <is>
          <t>RCA Shared</t>
        </is>
      </c>
      <c r="M87" s="33" t="inlineStr">
        <is>
          <t>Not Impactful Decision Validation</t>
        </is>
      </c>
      <c r="N87" s="33" t="inlineStr">
        <is>
          <t>Yes</t>
        </is>
      </c>
      <c r="O87" s="33" t="inlineStr">
        <is>
          <t>EAO-23: News was captured but initially classified as Not Impactful by AI. Human-in-the-loop review did not escalate the event. RCA shared based on the investigation trail.</t>
        </is>
      </c>
      <c r="P87" s="33" t="n"/>
      <c r="Q87" s="33" t="inlineStr">
        <is>
          <t>Yes</t>
        </is>
      </c>
      <c r="R87" s="39" t="n">
        <v>8</v>
      </c>
      <c r="S87" s="39" t="n"/>
      <c r="T87" s="35" t="n">
        <v>46235</v>
      </c>
      <c r="U87" s="33" t="inlineStr">
        <is>
          <t>Medium</t>
        </is>
      </c>
      <c r="V87" s="33" t="inlineStr">
        <is>
          <t>WarRoom &amp; Decision Validation</t>
        </is>
      </c>
      <c r="W87" s="33" t="inlineStr">
        <is>
          <t>EAO-23</t>
        </is>
      </c>
      <c r="X87" s="33" t="inlineStr">
        <is>
          <t>RCA approved and sent to the customer on 05-Aug-2026 as a PDF attached to EAO-23; the document text is not in the ticket.</t>
        </is>
      </c>
      <c r="Y87" s="33" t="inlineStr">
        <is>
          <t>EventWatch Ops - Nitin Rindhe</t>
        </is>
      </c>
    </row>
    <row r="88">
      <c r="A88" s="35" t="n">
        <v>46235</v>
      </c>
      <c r="B88" s="37" t="n">
        <v>46251</v>
      </c>
      <c r="C88" s="33" t="inlineStr">
        <is>
          <t>Geopolitical</t>
        </is>
      </c>
      <c r="D88" s="33" t="inlineStr">
        <is>
          <t>Ford</t>
        </is>
      </c>
      <c r="E88" s="39" t="n">
        <v>1</v>
      </c>
      <c r="F88" s="33" t="inlineStr">
        <is>
          <t>Ceuta Border Security &amp; Humanitarian Crisis</t>
        </is>
      </c>
      <c r="G88" s="33" t="inlineStr">
        <is>
          <t>Complaint</t>
        </is>
      </c>
      <c r="H88" s="33" t="inlineStr">
        <is>
          <t>Missed Event</t>
        </is>
      </c>
      <c r="I88" s="33" t="inlineStr">
        <is>
          <t>People</t>
        </is>
      </c>
      <c r="J88" s="33" t="inlineStr">
        <is>
          <t>Review</t>
        </is>
      </c>
      <c r="K88" s="33" t="inlineStr">
        <is>
          <t>Improvement</t>
        </is>
      </c>
      <c r="L88" s="33" t="inlineStr">
        <is>
          <t>RCA Shared</t>
        </is>
      </c>
      <c r="M88" s="33" t="inlineStr">
        <is>
          <t>WarRoom Trigger Automation</t>
        </is>
      </c>
      <c r="N88" s="33" t="inlineStr">
        <is>
          <t>Yes</t>
        </is>
      </c>
      <c r="O88" s="33" t="inlineStr">
        <is>
          <t>EAO-27: Customer reported a missed EventWatch alert and requested an update. RCA shared following review of the event.</t>
        </is>
      </c>
      <c r="P88" s="33" t="n"/>
      <c r="Q88" s="33" t="inlineStr">
        <is>
          <t>Yes</t>
        </is>
      </c>
      <c r="R88" s="39" t="n">
        <v>8</v>
      </c>
      <c r="S88" s="39" t="n"/>
      <c r="T88" s="35" t="n">
        <v>46235</v>
      </c>
      <c r="U88" s="33" t="inlineStr">
        <is>
          <t>Medium</t>
        </is>
      </c>
      <c r="V88" s="33" t="inlineStr">
        <is>
          <t>WarRoom &amp; Decision Validation</t>
        </is>
      </c>
      <c r="W88" s="33" t="inlineStr">
        <is>
          <t>EAO-27</t>
        </is>
      </c>
      <c r="X88" s="33" t="inlineStr">
        <is>
          <t>RCA reviewed and sent to the customer on 20-Aug-2026 as a PDF attached to EAO-27; the document text is not in the ticket. Closed 25-Aug-2026 after no customer follow-up.</t>
        </is>
      </c>
      <c r="Y88" s="33" t="inlineStr">
        <is>
          <t>EventWatch Ops - Nitin Rindhe</t>
        </is>
      </c>
    </row>
    <row r="89">
      <c r="A89" s="35" t="n">
        <v>46235</v>
      </c>
      <c r="B89" s="37" t="n">
        <v>46251</v>
      </c>
      <c r="C89" s="33" t="inlineStr">
        <is>
          <t>Transport Disruption</t>
        </is>
      </c>
      <c r="D89" s="33" t="inlineStr">
        <is>
          <t>Eaton</t>
        </is>
      </c>
      <c r="E89" s="39" t="n">
        <v>1</v>
      </c>
      <c r="F89" s="33" t="inlineStr">
        <is>
          <t>Kandla Port Cargo Congestion – Supplier Impact Notification Clarification (Eaton)</t>
        </is>
      </c>
      <c r="G89" s="33" t="inlineStr">
        <is>
          <t>Inquiry</t>
        </is>
      </c>
      <c r="H89" s="33" t="inlineStr">
        <is>
          <t>Supplier Impact Mapping Clarification</t>
        </is>
      </c>
      <c r="I89" s="33" t="inlineStr">
        <is>
          <t>Process</t>
        </is>
      </c>
      <c r="J89" s="33" t="inlineStr">
        <is>
          <t>Mapping</t>
        </is>
      </c>
      <c r="K89" s="33" t="inlineStr">
        <is>
          <t>Improvement</t>
        </is>
      </c>
      <c r="L89" s="33" t="inlineStr">
        <is>
          <t>Clarification Provided</t>
        </is>
      </c>
      <c r="M89" s="33" t="inlineStr">
        <is>
          <t>Impact-confirmation notification criteria documentation for port/logistics bulletins</t>
        </is>
      </c>
      <c r="N89" s="33" t="inlineStr">
        <is>
          <t>No</t>
        </is>
      </c>
      <c r="O89" s="33" t="inlineStr">
        <is>
          <t>Staged from Jira EAO-28 (Done). Eaton asked what criteria triggered impact-confirmation notifications to Eaton suppliers on the Kandla Port cargo congestion bulletin, since the bulletin text focused on rice exports.</t>
        </is>
      </c>
      <c r="Q89" s="33" t="inlineStr">
        <is>
          <t>No</t>
        </is>
      </c>
      <c r="R89" s="39" t="n">
        <v>8</v>
      </c>
      <c r="T89" s="35" t="n">
        <v>46235</v>
      </c>
      <c r="U89" s="33" t="inlineStr">
        <is>
          <t>Low</t>
        </is>
      </c>
      <c r="V89" s="33" t="inlineStr">
        <is>
          <t>Entity &amp; Supplier Resolution</t>
        </is>
      </c>
      <c r="W89" s="33" t="inlineStr">
        <is>
          <t>EAO-28</t>
        </is>
      </c>
      <c r="X89" s="33" t="inlineStr">
        <is>
          <t>No RCA document issued - the team shares one only where there was a miss. Clarification given instead: EventWatch published the Kandla congestion event on reports of clearance delays up to 40 days and container shortages. The source article highlighted rice exports, but nothing indicated the congestion was confined to rice cargo, so mapped supplier sites within the impact area were sent Supplier Impact Confirmation requests as proactive validation. The outreach was not a statement that those suppliers were already impacted.</t>
        </is>
      </c>
      <c r="Y89" s="33" t="inlineStr">
        <is>
          <t>EventWatch Ops - Nitin Rindhe</t>
        </is>
      </c>
    </row>
    <row r="90">
      <c r="A90" s="35" t="n">
        <v>46235</v>
      </c>
      <c r="B90" s="37" t="n">
        <v>46252</v>
      </c>
      <c r="C90" s="33" t="inlineStr">
        <is>
          <t>Factory Fire</t>
        </is>
      </c>
      <c r="D90" s="33" t="inlineStr">
        <is>
          <t>Ford</t>
        </is>
      </c>
      <c r="E90" s="39" t="n">
        <v>1</v>
      </c>
      <c r="F90" s="33" t="inlineStr">
        <is>
          <t>Sasol Polyethylene Plant Fire / Shutdown</t>
        </is>
      </c>
      <c r="G90" s="33" t="inlineStr">
        <is>
          <t>Complaint</t>
        </is>
      </c>
      <c r="H90" s="33" t="inlineStr">
        <is>
          <t>Missed Event</t>
        </is>
      </c>
      <c r="I90" s="33" t="inlineStr">
        <is>
          <t>Product</t>
        </is>
      </c>
      <c r="J90" s="33" t="inlineStr">
        <is>
          <t>Source Coverage</t>
        </is>
      </c>
      <c r="K90" s="33" t="inlineStr">
        <is>
          <t>Improvement</t>
        </is>
      </c>
      <c r="L90" s="33" t="inlineStr">
        <is>
          <t>RCA Shared</t>
        </is>
      </c>
      <c r="M90" s="33" t="inlineStr">
        <is>
          <t>Dynamic Source Discovery</t>
        </is>
      </c>
      <c r="N90" s="33" t="inlineStr">
        <is>
          <t>Yes</t>
        </is>
      </c>
      <c r="O90" s="33" t="inlineStr">
        <is>
          <t>EAO-26: Customer reported a missed EventWatch alert for the Sasol polyethylene plant fire and shutdown. Investigation and RCA were requested; RCA shared.</t>
        </is>
      </c>
      <c r="P90" s="33" t="n"/>
      <c r="Q90" s="33" t="inlineStr">
        <is>
          <t>Yes</t>
        </is>
      </c>
      <c r="R90" s="39" t="n">
        <v>8</v>
      </c>
      <c r="S90" s="39" t="n"/>
      <c r="T90" s="35" t="n">
        <v>46235</v>
      </c>
      <c r="U90" s="33" t="inlineStr">
        <is>
          <t>Medium</t>
        </is>
      </c>
      <c r="V90" s="33" t="inlineStr">
        <is>
          <t>Dynamic Source Discovery</t>
        </is>
      </c>
      <c r="W90" s="33" t="inlineStr">
        <is>
          <t>EAO-26</t>
        </is>
      </c>
      <c r="X90" s="33" t="inlineStr">
        <is>
          <t>RCA reviewed and sent to the customer on 20-Aug-2026 as a PDF attached to EAO-26; the document text is not in the ticket. Closed 25-Aug-2026 after no customer follow-up.</t>
        </is>
      </c>
      <c r="Y90" s="33" t="inlineStr">
        <is>
          <t>Product &amp; Platform</t>
        </is>
      </c>
    </row>
    <row r="91">
      <c r="A91" s="35" t="n">
        <v>46235</v>
      </c>
      <c r="B91" s="37" t="n">
        <v>46254</v>
      </c>
      <c r="C91" s="33" t="inlineStr">
        <is>
          <t>Hurricane/Typhoon</t>
        </is>
      </c>
      <c r="D91" s="33" t="inlineStr">
        <is>
          <t>Ford</t>
        </is>
      </c>
      <c r="E91" s="39" t="n">
        <v>1</v>
      </c>
      <c r="F91" s="33" t="inlineStr">
        <is>
          <t>Typhoon Dolphin Bulletins Distributed Across Two WarRooms</t>
        </is>
      </c>
      <c r="G91" s="33" t="inlineStr">
        <is>
          <t>Complaint</t>
        </is>
      </c>
      <c r="H91" s="33" t="inlineStr">
        <is>
          <t>Duplicate WarRooms</t>
        </is>
      </c>
      <c r="I91" s="33" t="inlineStr">
        <is>
          <t>Product</t>
        </is>
      </c>
      <c r="J91" s="33" t="inlineStr">
        <is>
          <t>Duplication</t>
        </is>
      </c>
      <c r="K91" s="33" t="inlineStr">
        <is>
          <t>Improvement</t>
        </is>
      </c>
      <c r="L91" s="33" t="inlineStr">
        <is>
          <t>RCA Shared</t>
        </is>
      </c>
      <c r="M91" s="33" t="inlineStr">
        <is>
          <t>Cluster Integrity Validation</t>
        </is>
      </c>
      <c r="N91" s="33" t="inlineStr">
        <is>
          <t>Yes</t>
        </is>
      </c>
      <c r="O91" s="33" t="inlineStr">
        <is>
          <t>EAO-29: Bulletins were distributed across two WarRooms, resulting in gaps in the update sequence. Customer requested RCA; RCA shared.</t>
        </is>
      </c>
      <c r="P91" s="33" t="n"/>
      <c r="Q91" s="33" t="inlineStr">
        <is>
          <t>No</t>
        </is>
      </c>
      <c r="R91" s="39" t="n">
        <v>8</v>
      </c>
      <c r="S91" s="39" t="n"/>
      <c r="T91" s="35" t="n">
        <v>46235</v>
      </c>
      <c r="U91" s="33" t="inlineStr">
        <is>
          <t>Low</t>
        </is>
      </c>
      <c r="V91" s="33" t="inlineStr">
        <is>
          <t>Cluster Integrity &amp; Duplicate Prevention</t>
        </is>
      </c>
      <c r="W91" s="33" t="inlineStr">
        <is>
          <t>EAO-29</t>
        </is>
      </c>
      <c r="X91" s="33" t="n"/>
      <c r="Y91" s="33" t="inlineStr">
        <is>
          <t>Product &amp; Platform</t>
        </is>
      </c>
    </row>
    <row r="92">
      <c r="A92" s="35" t="n">
        <v>46235</v>
      </c>
      <c r="B92" s="37" t="n">
        <v>46255</v>
      </c>
      <c r="C92" s="33" t="inlineStr">
        <is>
          <t>Transport Disruption</t>
        </is>
      </c>
      <c r="D92" s="33" t="inlineStr">
        <is>
          <t>Ford/GM</t>
        </is>
      </c>
      <c r="E92" s="39" t="n">
        <v>2</v>
      </c>
      <c r="F92" s="33" t="inlineStr">
        <is>
          <t>World Trade Bridge Closed in Laredo, Texas</t>
        </is>
      </c>
      <c r="G92" s="33" t="inlineStr">
        <is>
          <t>Complaint</t>
        </is>
      </c>
      <c r="H92" s="33" t="inlineStr">
        <is>
          <t>Missed Event</t>
        </is>
      </c>
      <c r="I92" s="33" t="inlineStr">
        <is>
          <t>Product</t>
        </is>
      </c>
      <c r="J92" s="33" t="inlineStr">
        <is>
          <t>Keyword Update</t>
        </is>
      </c>
      <c r="K92" s="33" t="inlineStr">
        <is>
          <t>Improvement</t>
        </is>
      </c>
      <c r="L92" s="33" t="inlineStr">
        <is>
          <t>Fixed</t>
        </is>
      </c>
      <c r="M92" s="33" t="inlineStr">
        <is>
          <t>Dynamic Source Discovery</t>
        </is>
      </c>
      <c r="N92" s="33" t="inlineStr">
        <is>
          <t>Yes</t>
        </is>
      </c>
      <c r="O92" s="33" t="inlineStr">
        <is>
          <t>EAO-25: Event was missed due to a keyword gap. Keyword was added and the article is now being captured.</t>
        </is>
      </c>
      <c r="P92" s="33" t="n"/>
      <c r="Q92" s="33" t="inlineStr">
        <is>
          <t>Yes</t>
        </is>
      </c>
      <c r="R92" s="39" t="n">
        <v>8</v>
      </c>
      <c r="S92" s="39" t="n"/>
      <c r="T92" s="35" t="n">
        <v>46235</v>
      </c>
      <c r="U92" s="33" t="inlineStr">
        <is>
          <t>Medium</t>
        </is>
      </c>
      <c r="V92" s="33" t="inlineStr">
        <is>
          <t>Dynamic Source Discovery</t>
        </is>
      </c>
      <c r="W92" s="33" t="inlineStr">
        <is>
          <t>EAO-25</t>
        </is>
      </c>
      <c r="X92"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2" s="33" t="inlineStr">
        <is>
          <t>Product &amp; Platform</t>
        </is>
      </c>
    </row>
    <row r="93">
      <c r="A93" s="35" t="n">
        <v>46235</v>
      </c>
      <c r="B93" s="37" t="n">
        <v>46255</v>
      </c>
      <c r="C93" s="33" t="inlineStr">
        <is>
          <t>Factory Fire</t>
        </is>
      </c>
      <c r="D93" s="33" t="inlineStr">
        <is>
          <t>Ford/GM</t>
        </is>
      </c>
      <c r="E93" s="39" t="n">
        <v>2</v>
      </c>
      <c r="F93" s="33" t="inlineStr">
        <is>
          <t>Fire at FXI de Cuautitlán, S.A. de C.V.</t>
        </is>
      </c>
      <c r="G93" s="33" t="inlineStr">
        <is>
          <t>Complaint</t>
        </is>
      </c>
      <c r="H93" s="33" t="inlineStr">
        <is>
          <t>Missed Event</t>
        </is>
      </c>
      <c r="I93" s="33" t="inlineStr">
        <is>
          <t>Product</t>
        </is>
      </c>
      <c r="J93" s="33" t="inlineStr">
        <is>
          <t>Source Coverage</t>
        </is>
      </c>
      <c r="K93" s="33" t="inlineStr">
        <is>
          <t>Improvement</t>
        </is>
      </c>
      <c r="L93" s="33" t="inlineStr">
        <is>
          <t>RCA Shared</t>
        </is>
      </c>
      <c r="M93" s="33" t="inlineStr">
        <is>
          <t>Dynamic Source Discovery</t>
        </is>
      </c>
      <c r="N93" s="33" t="inlineStr">
        <is>
          <t>Yes</t>
        </is>
      </c>
      <c r="O93" s="33" t="inlineStr">
        <is>
          <t>EAO-25: Event was not captured by the vendor due to a source coverage gap. Vendor was asked to add the sources to its network. RCA shared based on the investigation trail.</t>
        </is>
      </c>
      <c r="P93" s="33" t="n"/>
      <c r="Q93" s="33" t="inlineStr">
        <is>
          <t>Yes</t>
        </is>
      </c>
      <c r="R93" s="39" t="n">
        <v>8</v>
      </c>
      <c r="S93" s="39" t="n"/>
      <c r="T93" s="35" t="n">
        <v>46235</v>
      </c>
      <c r="U93" s="33" t="inlineStr">
        <is>
          <t>Medium</t>
        </is>
      </c>
      <c r="V93" s="33" t="inlineStr">
        <is>
          <t>Dynamic Source Discovery</t>
        </is>
      </c>
      <c r="W93" s="33" t="inlineStr">
        <is>
          <t>EAO-25</t>
        </is>
      </c>
      <c r="X93"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3" s="33" t="inlineStr">
        <is>
          <t>Product &amp; Platform</t>
        </is>
      </c>
    </row>
    <row r="94">
      <c r="A94" s="35" t="n">
        <v>46235</v>
      </c>
      <c r="B94" s="37" t="n">
        <v>46258</v>
      </c>
      <c r="C94" s="33" t="inlineStr">
        <is>
          <t>Factory Fire</t>
        </is>
      </c>
      <c r="D94" s="33" t="inlineStr">
        <is>
          <t>Ford/GM</t>
        </is>
      </c>
      <c r="E94" s="39" t="n">
        <v>2</v>
      </c>
      <c r="F94" s="33" t="inlineStr">
        <is>
          <t>Fire at Nemak Factory in Monterrey, Mexico</t>
        </is>
      </c>
      <c r="G94" s="33" t="inlineStr">
        <is>
          <t>Complaint</t>
        </is>
      </c>
      <c r="H94" s="33" t="inlineStr">
        <is>
          <t>Missed Event</t>
        </is>
      </c>
      <c r="I94" s="33" t="inlineStr">
        <is>
          <t>People</t>
        </is>
      </c>
      <c r="J94" s="33" t="inlineStr">
        <is>
          <t>Review</t>
        </is>
      </c>
      <c r="K94" s="33" t="inlineStr">
        <is>
          <t>Improvement</t>
        </is>
      </c>
      <c r="L94" s="33" t="inlineStr">
        <is>
          <t>RCA Shared</t>
        </is>
      </c>
      <c r="M94" s="33" t="inlineStr">
        <is>
          <t>Not Impactful Decision Validation</t>
        </is>
      </c>
      <c r="N94" s="33" t="inlineStr">
        <is>
          <t>Yes</t>
        </is>
      </c>
      <c r="O94" s="33" t="inlineStr">
        <is>
          <t>EAO-25: News processing captured the article and attached it to an updated factory-fire cluster. The event was later marked Not Impactful by the analyst. RCA shared based on the investigation trail.</t>
        </is>
      </c>
      <c r="P94" s="33" t="n"/>
      <c r="Q94" s="33" t="inlineStr">
        <is>
          <t>Yes</t>
        </is>
      </c>
      <c r="R94" s="39" t="n">
        <v>8</v>
      </c>
      <c r="S94" s="39" t="n"/>
      <c r="T94" s="35" t="n">
        <v>46235</v>
      </c>
      <c r="U94" s="33" t="inlineStr">
        <is>
          <t>Medium</t>
        </is>
      </c>
      <c r="V94" s="33" t="inlineStr">
        <is>
          <t>WarRoom &amp; Decision Validation</t>
        </is>
      </c>
      <c r="W94" s="33" t="inlineStr">
        <is>
          <t>EAO-25</t>
        </is>
      </c>
      <c r="X94"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4" s="33" t="inlineStr">
        <is>
          <t>EventWatch Ops - Nitin Rindhe</t>
        </is>
      </c>
    </row>
    <row r="95">
      <c r="A95" s="35" t="n">
        <v>46235</v>
      </c>
      <c r="B95" s="37" t="n">
        <v>46258</v>
      </c>
      <c r="C95" s="33" t="inlineStr">
        <is>
          <t>Cyber Attack</t>
        </is>
      </c>
      <c r="D95" s="33" t="inlineStr">
        <is>
          <t>The American National Red Cross</t>
        </is>
      </c>
      <c r="E95" s="39" t="n">
        <v>1</v>
      </c>
      <c r="F95" s="33" t="inlineStr">
        <is>
          <t>Uber Freight Investigates Reported Cyberattack After Hackers Claim Data Breach</t>
        </is>
      </c>
      <c r="G95" s="33" t="inlineStr">
        <is>
          <t>Complaint</t>
        </is>
      </c>
      <c r="H95" s="33" t="inlineStr">
        <is>
          <t>WarRoom not visible in customer profile</t>
        </is>
      </c>
      <c r="I95" s="33" t="inlineStr">
        <is>
          <t>Process</t>
        </is>
      </c>
      <c r="J95" s="33" t="inlineStr">
        <is>
          <t>Visibility</t>
        </is>
      </c>
      <c r="K95" s="33" t="inlineStr">
        <is>
          <t>Improvement</t>
        </is>
      </c>
      <c r="L95" s="33" t="inlineStr">
        <is>
          <t>RCA Shared</t>
        </is>
      </c>
      <c r="M95" s="33" t="inlineStr">
        <is>
          <t>Notification Visibility Monitoring</t>
        </is>
      </c>
      <c r="N95" s="33" t="inlineStr">
        <is>
          <t>No</t>
        </is>
      </c>
      <c r="O95" s="33" t="inlineStr">
        <is>
          <t>EAO-30: EventWatch news was published on August 13 but was not visible on the customer portal. Portal visibility investigation completed and clarification provided.</t>
        </is>
      </c>
      <c r="P95" s="33" t="n"/>
      <c r="Q95" s="33" t="inlineStr">
        <is>
          <t>Yes</t>
        </is>
      </c>
      <c r="R95" s="39" t="n">
        <v>8</v>
      </c>
      <c r="S95" s="39" t="n"/>
      <c r="T95" s="35" t="n">
        <v>46235</v>
      </c>
      <c r="U95" s="33" t="inlineStr">
        <is>
          <t>Medium</t>
        </is>
      </c>
      <c r="V95" s="33" t="inlineStr">
        <is>
          <t>Notification Visibility Monitoring</t>
        </is>
      </c>
      <c r="W95" s="33" t="inlineStr">
        <is>
          <t>TS-22695</t>
        </is>
      </c>
      <c r="X95" s="33" t="n"/>
      <c r="Y95" s="33" t="inlineStr">
        <is>
          <t>EventWatch Ops - Nitin Rindhe</t>
        </is>
      </c>
    </row>
    <row r="96">
      <c r="A96" s="35" t="n">
        <v>46235</v>
      </c>
      <c r="B96" s="37" t="n">
        <v>46265</v>
      </c>
      <c r="C96" s="33" t="inlineStr">
        <is>
          <t>Cyber Attack</t>
        </is>
      </c>
      <c r="D96" s="33" t="inlineStr">
        <is>
          <t>Schneider Electric</t>
        </is>
      </c>
      <c r="E96" s="39" t="n">
        <v>1</v>
      </c>
      <c r="F96" s="33" t="inlineStr">
        <is>
          <t>Gindre India Data Breach – EventWatch Alert/WarRoom Missing</t>
        </is>
      </c>
      <c r="G96" s="33" t="inlineStr">
        <is>
          <t>Complaint</t>
        </is>
      </c>
      <c r="H96" s="33" t="inlineStr">
        <is>
          <t>Missed Event</t>
        </is>
      </c>
      <c r="I96" s="33" t="inlineStr">
        <is>
          <t>Product</t>
        </is>
      </c>
      <c r="J96" s="33" t="inlineStr">
        <is>
          <t>Source Coverage</t>
        </is>
      </c>
      <c r="K96" s="33" t="inlineStr">
        <is>
          <t>Improvement</t>
        </is>
      </c>
      <c r="L96" s="33" t="inlineStr">
        <is>
          <t>RCA Shared</t>
        </is>
      </c>
      <c r="M96" s="33" t="inlineStr">
        <is>
          <t>Dynamic Source Discovery</t>
        </is>
      </c>
      <c r="N96" s="33" t="inlineStr">
        <is>
          <t>Yes</t>
        </is>
      </c>
      <c r="O96" s="33" t="inlineStr">
        <is>
          <t>EAO-31: No corresponding EventWatch event or WarRoom was found for the reported data breach. Source coverage review completed and RCA shared.</t>
        </is>
      </c>
      <c r="P96" s="33" t="n"/>
      <c r="Q96" s="33" t="inlineStr">
        <is>
          <t>Yes</t>
        </is>
      </c>
      <c r="R96" s="39" t="n">
        <v>8</v>
      </c>
      <c r="S96" s="39" t="n"/>
      <c r="T96" s="35" t="n">
        <v>46235</v>
      </c>
      <c r="U96" s="33" t="inlineStr">
        <is>
          <t>Medium</t>
        </is>
      </c>
      <c r="V96" s="33" t="inlineStr">
        <is>
          <t>Dynamic Source Discovery</t>
        </is>
      </c>
      <c r="W96" s="33" t="inlineStr">
        <is>
          <t>EAO-31</t>
        </is>
      </c>
      <c r="X96" s="33" t="inlineStr">
        <is>
          <t>Feeds reporting the Qilin ransomware breach at Gindre India were not captured on the EventWatch portal; Engineering investigation requested 31-Aug-2026. RCA reviewed and shared with the customer 03-Sep-2026.</t>
        </is>
      </c>
      <c r="Y96" s="33" t="inlineStr">
        <is>
          <t>Product &amp; Platform</t>
        </is>
      </c>
    </row>
    <row r="97">
      <c r="A97" s="35" t="n">
        <v>46235</v>
      </c>
      <c r="B97" s="37" t="n">
        <v>46265</v>
      </c>
      <c r="C97" s="33" t="inlineStr">
        <is>
          <t>Cyber Attack</t>
        </is>
      </c>
      <c r="D97" s="33" t="inlineStr">
        <is>
          <t>Merck</t>
        </is>
      </c>
      <c r="E97" s="39" t="n">
        <v>1</v>
      </c>
      <c r="F97" s="33" t="inlineStr">
        <is>
          <t>Baxter International Reports a Cybersecurity Incident</t>
        </is>
      </c>
      <c r="G97" s="33" t="inlineStr">
        <is>
          <t>Complaint</t>
        </is>
      </c>
      <c r="H97" s="33" t="inlineStr">
        <is>
          <t>Missed Event</t>
        </is>
      </c>
      <c r="I97" s="33" t="inlineStr">
        <is>
          <t>People</t>
        </is>
      </c>
      <c r="J97" s="33" t="inlineStr">
        <is>
          <t>Review</t>
        </is>
      </c>
      <c r="K97" s="33" t="inlineStr">
        <is>
          <t>Improvement</t>
        </is>
      </c>
      <c r="L97" s="33" t="inlineStr">
        <is>
          <t>RCA Shared</t>
        </is>
      </c>
      <c r="M97" s="33" t="inlineStr">
        <is>
          <t>Not Impactful Decision Validation</t>
        </is>
      </c>
      <c r="N97" s="33" t="inlineStr">
        <is>
          <t>Yes</t>
        </is>
      </c>
      <c r="O97" s="33" t="inlineStr">
        <is>
          <t>Customer reported the missed Baxter ransomware incident. EventWatch captured the report on August 14, but human review incorrectly marked it Not Impactful; the event was re-evaluated, a WarRoom was created, and an NC was raised.</t>
        </is>
      </c>
      <c r="P97" s="33" t="n"/>
      <c r="Q97" s="33" t="inlineStr">
        <is>
          <t>Yes</t>
        </is>
      </c>
      <c r="R97" s="39" t="n">
        <v>8</v>
      </c>
      <c r="S97" s="39" t="n"/>
      <c r="T97" s="35" t="n">
        <v>46235</v>
      </c>
      <c r="U97" s="33" t="inlineStr">
        <is>
          <t>Medium</t>
        </is>
      </c>
      <c r="V97" s="33" t="inlineStr">
        <is>
          <t>WarRoom &amp; Decision Validation</t>
        </is>
      </c>
      <c r="X97" s="33" t="n"/>
      <c r="Y97" s="33" t="inlineStr">
        <is>
          <t>EventWatch Ops - Nitin Rindhe</t>
        </is>
      </c>
    </row>
    <row r="98">
      <c r="A98" s="35" t="n">
        <v>46235</v>
      </c>
      <c r="B98" s="37" t="n">
        <v>46265</v>
      </c>
      <c r="C98" s="33" t="inlineStr">
        <is>
          <t>Cyber Attack</t>
        </is>
      </c>
      <c r="D98" s="33" t="inlineStr">
        <is>
          <t>Merck</t>
        </is>
      </c>
      <c r="E98" s="39" t="n">
        <v>1</v>
      </c>
      <c r="F98" s="33" t="inlineStr">
        <is>
          <t>McKesson Corporation Confirms Data Breach Following a Cybersecurity Incident</t>
        </is>
      </c>
      <c r="G98" s="33" t="inlineStr">
        <is>
          <t>Complaint</t>
        </is>
      </c>
      <c r="H98" s="33" t="inlineStr">
        <is>
          <t>Missed Event</t>
        </is>
      </c>
      <c r="I98" s="33" t="inlineStr">
        <is>
          <t>People</t>
        </is>
      </c>
      <c r="J98" s="33" t="inlineStr">
        <is>
          <t>Review</t>
        </is>
      </c>
      <c r="K98" s="33" t="inlineStr">
        <is>
          <t>Improvement</t>
        </is>
      </c>
      <c r="L98" s="33" t="inlineStr">
        <is>
          <t>RCA Shared</t>
        </is>
      </c>
      <c r="M98" s="33" t="inlineStr">
        <is>
          <t>Entity &amp; Duplicate Decision Validation</t>
        </is>
      </c>
      <c r="N98" s="33" t="inlineStr">
        <is>
          <t>Yes</t>
        </is>
      </c>
      <c r="O98" s="33" t="inlineStr">
        <is>
          <t>Customer reported the missed McKesson data-breach incident. EventWatch captured the report on August 28, but human review assumed it was already covered; the event was re-evaluated, a WarRoom was created, and an NC was raised.</t>
        </is>
      </c>
      <c r="P98" s="33" t="n"/>
      <c r="Q98" s="33" t="inlineStr">
        <is>
          <t>Yes</t>
        </is>
      </c>
      <c r="R98" s="39" t="n">
        <v>8</v>
      </c>
      <c r="S98" s="39" t="n"/>
      <c r="T98" s="35" t="n">
        <v>46235</v>
      </c>
      <c r="U98" s="33" t="inlineStr">
        <is>
          <t>Medium</t>
        </is>
      </c>
      <c r="V98" s="33" t="inlineStr">
        <is>
          <t>WarRoom &amp; Decision Validation</t>
        </is>
      </c>
      <c r="X98" s="33" t="n"/>
      <c r="Y98" s="33" t="inlineStr">
        <is>
          <t>EventWatch Ops - Nitin Rindhe</t>
        </is>
      </c>
    </row>
    <row r="99">
      <c r="A99" s="35" t="n">
        <v>46235</v>
      </c>
      <c r="B99" s="37" t="n">
        <v>46265</v>
      </c>
      <c r="C99" s="33" t="inlineStr">
        <is>
          <t>Counterfeit</t>
        </is>
      </c>
      <c r="D99" s="33" t="inlineStr">
        <is>
          <t>Liberty Blume</t>
        </is>
      </c>
      <c r="E99" s="39" t="n">
        <v>1</v>
      </c>
      <c r="F99" s="33" t="inlineStr">
        <is>
          <t>Ciena 400G Optics Counterfeit Risk Intelligence Request (Liberty Blume)</t>
        </is>
      </c>
      <c r="G99" s="33" t="inlineStr">
        <is>
          <t>Inquiry</t>
        </is>
      </c>
      <c r="H99" s="33" t="inlineStr">
        <is>
          <t>Intelligence/Advisory Request</t>
        </is>
      </c>
      <c r="I99" s="33" t="inlineStr">
        <is>
          <t>Process</t>
        </is>
      </c>
      <c r="J99" s="33" t="inlineStr">
        <is>
          <t>Process Clarification</t>
        </is>
      </c>
      <c r="K99" s="33" t="inlineStr">
        <is>
          <t>Improvement</t>
        </is>
      </c>
      <c r="L99" s="33" t="inlineStr">
        <is>
          <t>Pending</t>
        </is>
      </c>
      <c r="M99" s="33" t="inlineStr">
        <is>
          <t>Counterfeit/grey-market component intelligence briefing capability</t>
        </is>
      </c>
      <c r="N99" s="33" t="inlineStr">
        <is>
          <t>No</t>
        </is>
      </c>
      <c r="O99" s="33" t="inlineStr">
        <is>
          <t>Staged from Jira EAO-32 (Open). Liberty Blume requested industry intelligence on counterfeit/grey-market Ciena 400G optical transceivers beyond the supplier scanning report already provided.</t>
        </is>
      </c>
      <c r="Q99" s="33" t="inlineStr">
        <is>
          <t>No</t>
        </is>
      </c>
      <c r="R99" s="39" t="n">
        <v>8</v>
      </c>
      <c r="T99" s="35" t="n">
        <v>46235</v>
      </c>
      <c r="U99" s="33" t="inlineStr">
        <is>
          <t>Low</t>
        </is>
      </c>
      <c r="V99" s="33" t="inlineStr">
        <is>
          <t>Other Control Automation</t>
        </is>
      </c>
      <c r="W99" s="33" t="inlineStr">
        <is>
          <t>EAO-32</t>
        </is>
      </c>
      <c r="X99" s="33" t="inlineStr">
        <is>
          <t>No RCA: an intelligence request, not a service miss. Liberty Blume asked for further detail on Ciena 400G optics counterfeit risk and the topic is under active monitoring. The record stays open until that monitoring produces something to share.</t>
        </is>
      </c>
      <c r="Y99" s="33" t="inlineStr">
        <is>
          <t>EventWatch Ops - Nitin Rindhe</t>
        </is>
      </c>
    </row>
    <row r="100">
      <c r="A100" s="35" t="n">
        <v>46266</v>
      </c>
      <c r="B100" s="37" t="n">
        <v>46267</v>
      </c>
      <c r="C100" s="33" t="inlineStr">
        <is>
          <t>Geopolitical</t>
        </is>
      </c>
      <c r="D100" s="33" t="inlineStr">
        <is>
          <t>Caterpillar</t>
        </is>
      </c>
      <c r="E100" s="39" t="n">
        <v>1</v>
      </c>
      <c r="F100" s="33" t="inlineStr">
        <is>
          <t>Taiwan Strait Conflict Risk Assessment – Missed EventWatch Notification</t>
        </is>
      </c>
      <c r="G100" s="33" t="inlineStr">
        <is>
          <t>Complaint</t>
        </is>
      </c>
      <c r="H100" s="33" t="inlineStr">
        <is>
          <t>Missed Event</t>
        </is>
      </c>
      <c r="I100" s="33" t="inlineStr">
        <is>
          <t>People</t>
        </is>
      </c>
      <c r="J100" s="33" t="inlineStr">
        <is>
          <t>Review</t>
        </is>
      </c>
      <c r="K100" s="33" t="inlineStr">
        <is>
          <t>Improvement</t>
        </is>
      </c>
      <c r="L100" s="33" t="inlineStr">
        <is>
          <t>Pending</t>
        </is>
      </c>
      <c r="M100" s="33" t="inlineStr">
        <is>
          <t>Geopolitical conflict risk-assessment scenario monitoring and escalation</t>
        </is>
      </c>
      <c r="N100" s="33" t="inlineStr">
        <is>
          <t>Yes</t>
        </is>
      </c>
      <c r="O100" s="33" t="inlineStr">
        <is>
          <t>Staged from Jira EAO-33 (In Progress). Caterpillar reported no notification for “Taiwan Strait Conflict Risk Assessment and Potential Global Supply Chain Impact”; CS found no matching event in the backend.</t>
        </is>
      </c>
      <c r="Q100" s="33" t="inlineStr">
        <is>
          <t>Yes</t>
        </is>
      </c>
      <c r="R100" s="39" t="n">
        <v>9</v>
      </c>
      <c r="T100" s="35" t="n">
        <v>46266</v>
      </c>
      <c r="U100" s="33" t="inlineStr">
        <is>
          <t>Medium</t>
        </is>
      </c>
      <c r="V100" s="33" t="inlineStr">
        <is>
          <t>WarRoom &amp; Decision Validation</t>
        </is>
      </c>
      <c r="W100" s="33" t="inlineStr">
        <is>
          <t>EAO-33</t>
        </is>
      </c>
      <c r="X100" s="33" t="inlineStr">
        <is>
          <t>Human error. The analyst marked the event Not Impactful while clearing stories at pace, so it was never escalated for WarRoom consideration. The event was captured and available for review; ingestion, source coverage and mapping did not contribute.</t>
        </is>
      </c>
      <c r="Y100" s="33" t="inlineStr">
        <is>
          <t>EventWatch Ops - Nitin Rindhe</t>
        </is>
      </c>
    </row>
    <row r="101">
      <c r="A101" s="35" t="n">
        <v>46266</v>
      </c>
      <c r="B101" s="37" t="n">
        <v>46268</v>
      </c>
      <c r="C101" s="33" t="inlineStr">
        <is>
          <t>Protest/Riot</t>
        </is>
      </c>
      <c r="D101" s="33" t="inlineStr">
        <is>
          <t>Ford</t>
        </is>
      </c>
      <c r="E101" s="39" t="n">
        <v>1</v>
      </c>
      <c r="F101" s="33" t="inlineStr">
        <is>
          <t>Western Balkans Truck Driver/EU Border Blockade – August 31 Update Missed Alert (Ford)</t>
        </is>
      </c>
      <c r="G101" s="33" t="inlineStr">
        <is>
          <t>Complaint</t>
        </is>
      </c>
      <c r="H101" s="33" t="inlineStr">
        <is>
          <t>Missed Event</t>
        </is>
      </c>
      <c r="I101" s="33" t="inlineStr">
        <is>
          <t>People</t>
        </is>
      </c>
      <c r="J101" s="33" t="inlineStr">
        <is>
          <t>Review</t>
        </is>
      </c>
      <c r="K101" s="33" t="inlineStr">
        <is>
          <t>Improvement</t>
        </is>
      </c>
      <c r="L101" s="33" t="inlineStr">
        <is>
          <t>Pending</t>
        </is>
      </c>
      <c r="M101" s="33" t="inlineStr">
        <is>
          <t>Recurring/evolving-event WarRoom update monitoring and re-escalation detection</t>
        </is>
      </c>
      <c r="N101" s="33" t="inlineStr">
        <is>
          <t>Yes</t>
        </is>
      </c>
      <c r="O101" s="33" t="inlineStr">
        <is>
          <t>Staged from Jira EAO-34 (Open). 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101" s="33" t="inlineStr">
        <is>
          <t>Yes</t>
        </is>
      </c>
      <c r="R101" s="39" t="n">
        <v>9</v>
      </c>
      <c r="T101" s="35" t="n">
        <v>46266</v>
      </c>
      <c r="U101" s="33" t="inlineStr">
        <is>
          <t>Medium</t>
        </is>
      </c>
      <c r="V101" s="33" t="inlineStr">
        <is>
          <t>WarRoom &amp; Decision Validation</t>
        </is>
      </c>
      <c r="W101" s="33" t="inlineStr">
        <is>
          <t>EAO-34</t>
        </is>
      </c>
      <c r="X101" s="33" t="inlineStr">
        <is>
          <t>Human error. The analyst marked the event Not Impactful while clearing stories at pace, so it was never escalated for WarRoom consideration. The event was captured and available for review; ingestion, source coverage and mapping did not contribute.</t>
        </is>
      </c>
      <c r="Y101" s="33" t="inlineStr">
        <is>
          <t>EventWatch Ops - Nitin Rindhe</t>
        </is>
      </c>
    </row>
    <row r="102">
      <c r="A102" s="35" t="n">
        <v>46266</v>
      </c>
      <c r="B102" s="37" t="n">
        <v>46272</v>
      </c>
      <c r="C102" s="33" t="inlineStr">
        <is>
          <t>Power Outage</t>
        </is>
      </c>
      <c r="D102" s="33" t="inlineStr">
        <is>
          <t>Eaton/Ford</t>
        </is>
      </c>
      <c r="E102" s="39" t="n">
        <v>2</v>
      </c>
      <c r="F102" s="33" t="inlineStr">
        <is>
          <t>Punjab Region Risk Event – Supplier Sites Outside the Impact Area Mapped for Impact Confirmation (Eaton/Ford)</t>
        </is>
      </c>
      <c r="G102" s="33" t="inlineStr">
        <is>
          <t>Complaint</t>
        </is>
      </c>
      <c r="H102" s="33" t="inlineStr">
        <is>
          <t>Geographic Misclassification</t>
        </is>
      </c>
      <c r="I102" s="33" t="inlineStr">
        <is>
          <t>Product</t>
        </is>
      </c>
      <c r="J102" s="33" t="inlineStr">
        <is>
          <t>Mapping</t>
        </is>
      </c>
      <c r="K102" s="33" t="inlineStr">
        <is>
          <t>Improvement</t>
        </is>
      </c>
      <c r="L102" s="33" t="inlineStr">
        <is>
          <t>Pending</t>
        </is>
      </c>
      <c r="M102" s="33" t="inlineStr">
        <is>
          <t>Geographic validation of supplier site geocodes against the event impact polygon before impact-confirmation requests are issued, so sites outside the affected region cannot be attached to an event</t>
        </is>
      </c>
      <c r="N102" s="33" t="inlineStr">
        <is>
          <t>Yes</t>
        </is>
      </c>
      <c r="O102" s="33" t="inlineStr">
        <is>
          <t>One incident reported by two customers on consecutive days, merged from Jira EAO-35 (Eaton, 07-Sep, Open) and EAO-36 (Ford, 08-Sep, Open). Eaton queried why four Tier 1 suppliers including a logistics partner were mapped to a Punjab risk event when their CDIF lists only Kumar Exports in Punjab, with Bhavani Industries (Maharashtra) and MT Autocraft (Himachal Pradesh) also attached and Tier 2 mappings reaching LOROM Industrial (Taipei) and DB Schenker (Barcelona). Ford separately reported that a Punjab power-cut WarRoom sent an impact-confirmation request to SMI AMTEK CRANKSHAFT in Dharuhera, Haryana, and that SNAP shows no active direct Tier 1 suppliers in Punjab at all, generating wasted supplier outreach. The geofence polygon over the affected region was correct and supplier selection is system-driven, so the probable cause is incorrect geocoding of supplier site coordinates rather than an operator or polygon error. Ford requested RCA, immediate corrective action and preventive corrective action. Number of Customers is 2; see the customer exposure table for the per-customer split.</t>
        </is>
      </c>
      <c r="P102" s="33" t="n"/>
      <c r="Q102" s="33" t="inlineStr">
        <is>
          <t>No</t>
        </is>
      </c>
      <c r="R102" s="39" t="n">
        <v>9</v>
      </c>
      <c r="S102" s="39" t="n"/>
      <c r="T102" s="35" t="inlineStr">
        <is>
          <t>Sep 2026</t>
        </is>
      </c>
      <c r="U102" s="33" t="inlineStr">
        <is>
          <t>Medium</t>
        </is>
      </c>
      <c r="V102" s="33" t="inlineStr">
        <is>
          <t>AI-Assisted Geofencing</t>
        </is>
      </c>
      <c r="W102" s="33" t="inlineStr">
        <is>
          <t>EAO-35/EAO-36</t>
        </is>
      </c>
      <c r="X102" s="33" t="n"/>
      <c r="Y102" s="33" t="inlineStr">
        <is>
          <t>Product &amp; Platform</t>
        </is>
      </c>
    </row>
    <row r="103">
      <c r="A103" s="35" t="n">
        <v>46266</v>
      </c>
      <c r="B103" s="37" t="n">
        <v>46273</v>
      </c>
      <c r="C103" s="33" t="inlineStr">
        <is>
          <t>Extreme Weather</t>
        </is>
      </c>
      <c r="D103" s="33" t="inlineStr">
        <is>
          <t>Sandisk</t>
        </is>
      </c>
      <c r="E103" s="39" t="n">
        <v>1</v>
      </c>
      <c r="F103" s="33" t="inlineStr">
        <is>
          <t>Record Heavy Rain in Yokkaichi City, Japan – No EventWatch Notification (Sandisk)</t>
        </is>
      </c>
      <c r="G103" s="33" t="inlineStr">
        <is>
          <t>Complaint</t>
        </is>
      </c>
      <c r="H103" s="33" t="inlineStr">
        <is>
          <t>Delayed Event</t>
        </is>
      </c>
      <c r="I103" s="33" t="inlineStr">
        <is>
          <t>People</t>
        </is>
      </c>
      <c r="J103" s="33" t="inlineStr">
        <is>
          <t>Captured Late</t>
        </is>
      </c>
      <c r="K103" s="33" t="inlineStr">
        <is>
          <t>Improvement</t>
        </is>
      </c>
      <c r="L103" s="33" t="inlineStr">
        <is>
          <t>Pending</t>
        </is>
      </c>
      <c r="M103" s="33" t="inlineStr">
        <is>
          <t>Timeliness monitoring that flags a region already producing captured stories where a related event has not been published within the reporting window</t>
        </is>
      </c>
      <c r="N103" s="33" t="inlineStr">
        <is>
          <t>Yes</t>
        </is>
      </c>
      <c r="O103" s="33" t="inlineStr">
        <is>
          <t>Staged from Jira EAO-37 (Open). Sandisk was alerted internally to record heavy rain in Yokkaichi city, Japan and could find no news item or WarRoom for it, despite having loaded their own Yokkaichi sites as suppliers. The customer supplied no public source. CS verified the Sandisk org and then the database across all customer orgs and found no evidence the notification was ever generated, so the event did not enter the system at all rather than being filtered out. RCA requested.</t>
        </is>
      </c>
      <c r="P103" s="33" t="inlineStr">
        <is>
          <t>~1 day (customer query 08-Sep-2026 -&gt; EventWatch report 09-Sep-2026)</t>
        </is>
      </c>
      <c r="Q103" s="33" t="inlineStr">
        <is>
          <t>Yes</t>
        </is>
      </c>
      <c r="R103" s="39" t="n">
        <v>9</v>
      </c>
      <c r="S103" s="39" t="n"/>
      <c r="T103" s="35" t="inlineStr">
        <is>
          <t>Sep 2026</t>
        </is>
      </c>
      <c r="U103" s="33" t="inlineStr">
        <is>
          <t>Medium</t>
        </is>
      </c>
      <c r="V103" s="33" t="inlineStr">
        <is>
          <t>WarRoom &amp; Decision Validation</t>
        </is>
      </c>
      <c r="W103" s="33" t="inlineStr">
        <is>
          <t>EAO-37</t>
        </is>
      </c>
      <c r="X103" s="33" t="inlineStr">
        <is>
          <t>Not a coverage gap and not a Not Impactful call. The news was in the public domain and other Japan flooding stories were being captured on the analyst portal at the time; this one was delayed in reporting and only published on 09-Sep-2026, after the customer had raised the query on 08-Sep. Sandisk's complaint is that it never reached the notified section of their portal, which is the downstream effect of the reporting delay rather than a separate visibility defect.</t>
        </is>
      </c>
      <c r="Y103" s="33" t="inlineStr">
        <is>
          <t>EventWatch Ops - Nitin Rindhe</t>
        </is>
      </c>
    </row>
    <row r="104">
      <c r="A104" s="35" t="n">
        <v>46266</v>
      </c>
      <c r="B104" s="37" t="n">
        <v>46273</v>
      </c>
      <c r="C104" s="33" t="inlineStr">
        <is>
          <t>Merger &amp; Acquisition</t>
        </is>
      </c>
      <c r="D104" s="33" t="inlineStr">
        <is>
          <t>Eaton</t>
        </is>
      </c>
      <c r="E104" s="39" t="n">
        <v>1</v>
      </c>
      <c r="F104" s="33" t="inlineStr">
        <is>
          <t>Vertiv Acquires UtilityInnovation Group – Supplier Notification and Medium Risk Classification Queried (Eaton)</t>
        </is>
      </c>
      <c r="G104" s="33" t="inlineStr">
        <is>
          <t>Inquiry</t>
        </is>
      </c>
      <c r="H104" s="33" t="inlineStr">
        <is>
          <t>Severity / consolidation handling concern</t>
        </is>
      </c>
      <c r="I104" s="33" t="inlineStr">
        <is>
          <t>Process</t>
        </is>
      </c>
      <c r="J104" s="33" t="inlineStr">
        <is>
          <t>Policy/Logic</t>
        </is>
      </c>
      <c r="K104" s="33" t="inlineStr">
        <is>
          <t>Improvement</t>
        </is>
      </c>
      <c r="L104" s="33" t="inlineStr">
        <is>
          <t>Pending</t>
        </is>
      </c>
      <c r="M104" s="33" t="inlineStr">
        <is>
          <t>Automated enforcement of the M&amp;A notification threshold so acquiring-side suppliers are excluded from impact-confirmation requests, plus a documented basis for the risk classification</t>
        </is>
      </c>
      <c r="N104" s="33" t="inlineStr">
        <is>
          <t>No</t>
        </is>
      </c>
      <c r="O104" s="33" t="inlineStr">
        <is>
          <t>Staged from Jira EAO-38 (Open). Eaton queried WarRoom 37485945, 'Vertiv Acquires UtilityInnovation Group' (event date 08-Sep-2026, closed, severity Low). Two questions: why a Supplier Impact Confirmation Request was issued when the supplier is the acquiring party, which the latest Resilinc event-threshold guidance says does not require supplier notification; and why the event was classified Medium risk. The customer wants to know whether scenarios are being missed. A written explanation covering both was requested rather than an RCA.</t>
        </is>
      </c>
      <c r="P104" s="33" t="n"/>
      <c r="Q104" s="33" t="inlineStr">
        <is>
          <t>No</t>
        </is>
      </c>
      <c r="R104" s="39" t="n">
        <v>9</v>
      </c>
      <c r="S104" s="39" t="n"/>
      <c r="T104" s="35" t="inlineStr">
        <is>
          <t>Sep 2026</t>
        </is>
      </c>
      <c r="U104" s="33" t="inlineStr">
        <is>
          <t>Low</t>
        </is>
      </c>
      <c r="V104" s="33" t="inlineStr">
        <is>
          <t>WarRoom &amp; Decision Validation</t>
        </is>
      </c>
      <c r="W104" s="33" t="inlineStr">
        <is>
          <t>EAO-38</t>
        </is>
      </c>
      <c r="X104" s="33" t="inlineStr">
        <is>
          <t>Not a defect. The Supplier Impact Confirmation was issued in line with one of the customers mapped to that supplier, whose settings called for it, so the request was correct for that account even though Eaton reads the M&amp;A threshold as excluding an acquiring supplier. The answer to Eaton is an explanation of how supplier notification follows each mapped customer's own configuration, plus the basis for the risk grade.</t>
        </is>
      </c>
      <c r="Y104" s="33" t="inlineStr">
        <is>
          <t>EventWatch Ops - Nitin Rindhe</t>
        </is>
      </c>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3"/>
  <sheetViews>
    <sheetView showGridLines="0" workbookViewId="0">
      <pane ySplit="2" topLeftCell="E72"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19" t="n">
        <v>46296</v>
      </c>
      <c r="B59" s="22">
        <f>COUNTIFS(ComplaintTracker[Issue Type],"Complaint",ComplaintTracker[Month_Sort],ROW()-49)</f>
        <v/>
      </c>
      <c r="C59" s="22">
        <f>COUNTIFS(ComplaintTracker[Issue Type],"Inquiry",ComplaintTracker[Month_Sort],ROW()-49)</f>
        <v/>
      </c>
      <c r="D59" s="3" t="n"/>
      <c r="E59" s="3" t="n"/>
      <c r="F59" s="3" t="n"/>
      <c r="G59" s="3" t="n"/>
      <c r="H59" s="3" t="n"/>
      <c r="I59" s="3" t="n"/>
      <c r="J59" s="3" t="n"/>
      <c r="K59" s="3" t="n"/>
      <c r="L59" s="3" t="n"/>
      <c r="M59" s="3" t="n"/>
      <c r="N59" s="3" t="n"/>
      <c r="O59" s="3" t="n"/>
      <c r="P59" s="3" t="n"/>
      <c r="Q59" s="3" t="n"/>
      <c r="R59" s="3" t="n"/>
    </row>
    <row r="60" ht="18" customHeight="1">
      <c r="A60" s="19" t="n">
        <v>46327</v>
      </c>
      <c r="B60" s="22">
        <f>COUNTIFS(ComplaintTracker[Issue Type],"Complaint",ComplaintTracker[Month_Sort],ROW()-49)</f>
        <v/>
      </c>
      <c r="C60" s="22">
        <f>COUNTIFS(ComplaintTracker[Issue Type],"Inquiry",ComplaintTracker[Month_Sort],ROW()-49)</f>
        <v/>
      </c>
      <c r="D60" s="3" t="n"/>
      <c r="E60" s="3" t="n"/>
      <c r="F60" s="3" t="n"/>
      <c r="G60" s="3" t="n"/>
      <c r="H60" s="3" t="n"/>
      <c r="I60" s="3" t="n"/>
      <c r="J60" s="3" t="n"/>
      <c r="K60" s="3" t="n"/>
      <c r="L60" s="3" t="n"/>
      <c r="M60" s="3" t="n"/>
      <c r="N60" s="3" t="n"/>
      <c r="O60" s="3" t="n"/>
      <c r="P60" s="3" t="n"/>
      <c r="Q60" s="3" t="n"/>
      <c r="R60"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19" t="n">
        <v>46357</v>
      </c>
      <c r="B61" s="22">
        <f>COUNTIFS(ComplaintTracker[Issue Type],"Complaint",ComplaintTracker[Month_Sort],ROW()-49)</f>
        <v/>
      </c>
      <c r="C61" s="22">
        <f>COUNTIFS(ComplaintTracker[Issue Type],"Inquiry",ComplaintTracker[Month_Sort],ROW()-49)</f>
        <v/>
      </c>
      <c r="D61" s="3" t="n"/>
      <c r="E61" s="3" t="n"/>
      <c r="F61" s="3" t="n"/>
      <c r="G61" s="3" t="n"/>
      <c r="H61" s="3" t="n"/>
      <c r="I61" s="3" t="n"/>
      <c r="J61" s="3" t="n"/>
      <c r="K61" s="3" t="n"/>
      <c r="L61" s="3" t="n"/>
      <c r="M61" s="3" t="n"/>
      <c r="N61" s="3" t="n"/>
      <c r="O61" s="3" t="n"/>
      <c r="P61" s="3" t="n"/>
      <c r="Q61" s="3" t="n"/>
      <c r="R61"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18" customHeight="1">
      <c r="A62" s="25" t="inlineStr">
        <is>
          <t>Total</t>
        </is>
      </c>
      <c r="B62" s="26">
        <f>SUM(B50:B61)</f>
        <v/>
      </c>
      <c r="C62" s="26">
        <f>SUM(C50:C61)</f>
        <v/>
      </c>
      <c r="D62" s="3" t="n"/>
      <c r="E62" s="3" t="n"/>
      <c r="F62" s="3" t="n"/>
      <c r="G62" s="3" t="n"/>
      <c r="H62" s="3" t="n"/>
      <c r="I62" s="3" t="n"/>
      <c r="J62" s="3" t="n"/>
      <c r="K62" s="3" t="n"/>
      <c r="L62" s="3" t="n"/>
      <c r="M62" s="3" t="n"/>
      <c r="N62" s="3" t="n"/>
      <c r="O62" s="3" t="n"/>
      <c r="P62" s="3" t="n"/>
      <c r="Q62" s="3" t="n"/>
      <c r="R62" s="3" t="n"/>
    </row>
    <row r="65" ht="23.25" customHeight="1">
      <c r="A65" s="88" t="inlineStr">
        <is>
          <t>SOURCE 05 · Top customers</t>
        </is>
      </c>
      <c r="D65" s="3" t="n"/>
      <c r="E65" s="88" t="inlineStr">
        <is>
          <t>SOURCE 06 · Automation focus</t>
        </is>
      </c>
      <c r="H65" s="3" t="n"/>
      <c r="I65" s="88" t="inlineStr">
        <is>
          <t>DETAIL · Event type workload</t>
        </is>
      </c>
    </row>
    <row r="66" ht="18" customHeight="1">
      <c r="A66" s="15" t="inlineStr">
        <is>
          <t>Customer</t>
        </is>
      </c>
      <c r="B66" s="15" t="inlineStr">
        <is>
          <t>Complaints</t>
        </is>
      </c>
      <c r="C66" s="15" t="inlineStr">
        <is>
          <t>% of Complaints</t>
        </is>
      </c>
      <c r="D66" s="3" t="n"/>
      <c r="E66" s="15" t="inlineStr">
        <is>
          <t>Automation Focus</t>
        </is>
      </c>
      <c r="F66" s="15" t="inlineStr">
        <is>
          <t>Complaints</t>
        </is>
      </c>
      <c r="G66" s="15" t="inlineStr">
        <is>
          <t>% of Complaints</t>
        </is>
      </c>
      <c r="H66" s="3" t="n"/>
      <c r="I66" s="15" t="inlineStr">
        <is>
          <t>Event Type</t>
        </is>
      </c>
      <c r="J66" s="15" t="inlineStr">
        <is>
          <t>Complaints</t>
        </is>
      </c>
      <c r="K66" s="15" t="inlineStr">
        <is>
          <t>Inquiries</t>
        </is>
      </c>
      <c r="L66" s="16" t="inlineStr">
        <is>
          <t>Total</t>
        </is>
      </c>
    </row>
    <row r="67" ht="23.25" customHeight="1">
      <c r="A67" s="18" t="str" cm="1">
        <f t="array" ref="A67:A76">_xlfn.LET(_xlpm.u,_xlfn.UNIQUE(_xlfn._xlws.FILTER(ComplaintTracker[Customer],ComplaintTracker[Issue Type]="Complaint")),_xlfn.TAKE(_xlfn.SORTBY(_xlpm.u,COUNTIFS(ComplaintTracker[Issue Type],"Complaint",ComplaintTracker[Customer],_xlpm.u),-1,_xlpm.u,1),10))</f>
        <v>Ford</v>
      </c>
      <c r="B67" s="21" t="n" cm="1">
        <f t="array" ref="B67:B76">COUNTIFS(ComplaintTracker[Issue Type],"Complaint",ComplaintTracker[Customer],_xlfn.ANCHORARRAY(A67))</f>
        <v>32</v>
      </c>
      <c r="C67" s="23" t="n" cm="1">
        <f t="array" ref="C67:C76">_xlfn.ANCHORARRAY(B67)/COUNTIF(ComplaintTracker[Issue Type],"Complaint")</f>
        <v>0.35555555555555557</v>
      </c>
      <c r="D67" s="3" t="n"/>
      <c r="E67" s="18" t="inlineStr">
        <is>
          <t>WarRoom &amp; Decision Validation</t>
        </is>
      </c>
      <c r="F67" s="21">
        <f>COUNTIFS(ComplaintTracker[Issue Type],"Complaint",ComplaintTracker[Standard Automation Focus],E67)</f>
        <v/>
      </c>
      <c r="G67" s="23">
        <f>F67/COUNTIF(ComplaintTracker[Issue Type],"Complaint")</f>
        <v/>
      </c>
      <c r="H67" s="3" t="n"/>
      <c r="I67" s="18" t="str" cm="1">
        <f t="array" ref="I67:L92">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7" s="75" t="n">
        <v>10</v>
      </c>
      <c r="K67" s="75" t="n">
        <v>0</v>
      </c>
      <c r="L67" s="75" t="n">
        <v>10</v>
      </c>
    </row>
    <row r="68" ht="23.25" customHeight="1">
      <c r="A68" s="20" t="inlineStr">
        <is>
          <t>Eaton</t>
        </is>
      </c>
      <c r="B68" s="22" t="n">
        <v>12</v>
      </c>
      <c r="C68" s="24" t="n">
        <v>0.13333333333333333</v>
      </c>
      <c r="D68" s="3" t="n"/>
      <c r="E68" s="20" t="inlineStr">
        <is>
          <t>Dynamic Source Discovery</t>
        </is>
      </c>
      <c r="F68" s="22">
        <f>COUNTIFS(ComplaintTracker[Issue Type],"Complaint",ComplaintTracker[Standard Automation Focus],E68)</f>
        <v/>
      </c>
      <c r="G68" s="24">
        <f>F68/COUNTIF(ComplaintTracker[Issue Type],"Complaint")</f>
        <v/>
      </c>
      <c r="H68" s="3" t="n"/>
      <c r="I68" s="20" t="inlineStr">
        <is>
          <t>Chemical Spill</t>
        </is>
      </c>
      <c r="J68" s="76" t="n">
        <v>1</v>
      </c>
      <c r="K68" s="76" t="n">
        <v>0</v>
      </c>
      <c r="L68" s="76" t="n">
        <v>1</v>
      </c>
    </row>
    <row r="69" ht="18" customHeight="1">
      <c r="A69" s="20" t="inlineStr">
        <is>
          <t>Caterpillar</t>
        </is>
      </c>
      <c r="B69" s="22" t="n">
        <v>7</v>
      </c>
      <c r="C69" s="24" t="n">
        <v>0.07777777777777778</v>
      </c>
      <c r="D69" s="3" t="n"/>
      <c r="E69" s="20" t="inlineStr">
        <is>
          <t>Multilingual Keyword Expansion</t>
        </is>
      </c>
      <c r="F69" s="22">
        <f>COUNTIFS(ComplaintTracker[Issue Type],"Complaint",ComplaintTracker[Standard Automation Focus],E69)</f>
        <v/>
      </c>
      <c r="G69" s="24">
        <f>F69/COUNTIF(ComplaintTracker[Issue Type],"Complaint")</f>
        <v/>
      </c>
      <c r="H69" s="3" t="n"/>
      <c r="I69" s="20" t="inlineStr">
        <is>
          <t>Counterfeit</t>
        </is>
      </c>
      <c r="J69" s="76" t="n">
        <v>0</v>
      </c>
      <c r="K69" s="76" t="n">
        <v>1</v>
      </c>
      <c r="L69" s="76" t="n">
        <v>1</v>
      </c>
    </row>
    <row r="70" ht="23.25" customHeight="1">
      <c r="A70" s="20" t="inlineStr">
        <is>
          <t>Collins Aerospace</t>
        </is>
      </c>
      <c r="B70" s="22" t="n">
        <v>4</v>
      </c>
      <c r="C70" s="24" t="n">
        <v>0.044444444444444446</v>
      </c>
      <c r="D70" s="3" t="n"/>
      <c r="E70" s="20" t="inlineStr">
        <is>
          <t>Other Control Automation</t>
        </is>
      </c>
      <c r="F70" s="22">
        <f>COUNTIFS(ComplaintTracker[Issue Type],"Complaint",ComplaintTracker[Standard Automation Focus],E70)</f>
        <v/>
      </c>
      <c r="G70" s="24">
        <f>F70/COUNTIF(ComplaintTracker[Issue Type],"Complaint")</f>
        <v/>
      </c>
      <c r="H70" s="3" t="n"/>
      <c r="I70" s="20" t="inlineStr">
        <is>
          <t>Cyber Attack</t>
        </is>
      </c>
      <c r="J70" s="76" t="n">
        <v>14</v>
      </c>
      <c r="K70" s="76" t="n">
        <v>0</v>
      </c>
      <c r="L70" s="76" t="n">
        <v>14</v>
      </c>
    </row>
    <row r="71" ht="23.25" customHeight="1">
      <c r="A71" s="20" t="inlineStr">
        <is>
          <t>GM</t>
        </is>
      </c>
      <c r="B71" s="22" t="n">
        <v>4</v>
      </c>
      <c r="C71" s="24" t="n">
        <v>0.044444444444444446</v>
      </c>
      <c r="D71" s="3" t="n"/>
      <c r="E71" s="20" t="inlineStr">
        <is>
          <t>Entity &amp; Supplier Resolution</t>
        </is>
      </c>
      <c r="F71" s="22">
        <f>COUNTIFS(ComplaintTracker[Issue Type],"Complaint",ComplaintTracker[Standard Automation Focus],E71)</f>
        <v/>
      </c>
      <c r="G71" s="24">
        <f>F71/COUNTIF(ComplaintTracker[Issue Type],"Complaint")</f>
        <v/>
      </c>
      <c r="H71" s="3" t="n"/>
      <c r="I71" s="20" t="inlineStr">
        <is>
          <t>Earthquake</t>
        </is>
      </c>
      <c r="J71" s="76" t="n">
        <v>2</v>
      </c>
      <c r="K71" s="76" t="n">
        <v>1</v>
      </c>
      <c r="L71" s="76" t="n">
        <v>3</v>
      </c>
    </row>
    <row r="72" ht="18" customHeight="1">
      <c r="A72" s="20" t="inlineStr">
        <is>
          <t>Ford/GM</t>
        </is>
      </c>
      <c r="B72" s="22" t="n">
        <v>3</v>
      </c>
      <c r="C72" s="24" t="n">
        <v>0.03333333333333333</v>
      </c>
      <c r="D72" s="3" t="n"/>
      <c r="E72" s="20" t="inlineStr">
        <is>
          <t>AI-Assisted Geofencing</t>
        </is>
      </c>
      <c r="F72" s="22">
        <f>COUNTIFS(ComplaintTracker[Issue Type],"Complaint",ComplaintTracker[Standard Automation Focus],E72)</f>
        <v/>
      </c>
      <c r="G72" s="24">
        <f>F72/COUNTIF(ComplaintTracker[Issue Type],"Complaint")</f>
        <v/>
      </c>
      <c r="H72" s="3" t="n"/>
      <c r="I72" s="20" t="inlineStr">
        <is>
          <t>Extreme Weather</t>
        </is>
      </c>
      <c r="J72" s="76" t="n">
        <v>9</v>
      </c>
      <c r="K72" s="76" t="n">
        <v>0</v>
      </c>
      <c r="L72" s="76" t="n">
        <v>9</v>
      </c>
    </row>
    <row r="73" ht="23.25" customHeight="1">
      <c r="A73" s="20" t="inlineStr">
        <is>
          <t>Hitachi</t>
        </is>
      </c>
      <c r="B73" s="22" t="n">
        <v>2</v>
      </c>
      <c r="C73" s="24" t="n">
        <v>0.022222222222222223</v>
      </c>
      <c r="D73" s="3" t="n"/>
      <c r="E73" s="20" t="inlineStr">
        <is>
          <t>Cluster Integrity &amp; Duplicate Prevention</t>
        </is>
      </c>
      <c r="F73" s="22">
        <f>COUNTIFS(ComplaintTracker[Issue Type],"Complaint",ComplaintTracker[Standard Automation Focus],E73)</f>
        <v/>
      </c>
      <c r="G73" s="24">
        <f>F73/COUNTIF(ComplaintTracker[Issue Type],"Complaint")</f>
        <v/>
      </c>
      <c r="H73" s="3" t="n"/>
      <c r="I73" s="20" t="inlineStr">
        <is>
          <t>Factory Closure</t>
        </is>
      </c>
      <c r="J73" s="76" t="n">
        <v>1</v>
      </c>
      <c r="K73" s="76" t="n">
        <v>0</v>
      </c>
      <c r="L73" s="76" t="n">
        <v>1</v>
      </c>
    </row>
    <row r="74" ht="23.25" customHeight="1">
      <c r="A74" s="20" t="inlineStr">
        <is>
          <t>Merck</t>
        </is>
      </c>
      <c r="B74" s="22" t="n">
        <v>2</v>
      </c>
      <c r="C74" s="24" t="n">
        <v>0.022222222222222223</v>
      </c>
      <c r="D74" s="3" t="n"/>
      <c r="E74" s="20" t="inlineStr">
        <is>
          <t>Automated Industry Tagging</t>
        </is>
      </c>
      <c r="F74" s="22">
        <f>COUNTIFS(ComplaintTracker[Issue Type],"Complaint",ComplaintTracker[Standard Automation Focus],E74)</f>
        <v/>
      </c>
      <c r="G74" s="24">
        <f>F74/COUNTIF(ComplaintTracker[Issue Type],"Complaint")</f>
        <v/>
      </c>
      <c r="H74" s="3" t="n"/>
      <c r="I74" s="20" t="inlineStr">
        <is>
          <t>Factory Disruption</t>
        </is>
      </c>
      <c r="J74" s="76" t="n">
        <v>1</v>
      </c>
      <c r="K74" s="76" t="n">
        <v>0</v>
      </c>
      <c r="L74" s="76" t="n">
        <v>1</v>
      </c>
    </row>
    <row r="75" ht="18" customHeight="1">
      <c r="A75" s="20" t="inlineStr">
        <is>
          <t>Schneider Electric</t>
        </is>
      </c>
      <c r="B75" s="22" t="n">
        <v>2</v>
      </c>
      <c r="C75" s="24" t="n">
        <v>0.022222222222222223</v>
      </c>
      <c r="D75" s="3" t="n"/>
      <c r="E75" s="20" t="inlineStr">
        <is>
          <t>Notification Visibility Monitoring</t>
        </is>
      </c>
      <c r="F75" s="22">
        <f>COUNTIFS(ComplaintTracker[Issue Type],"Complaint",ComplaintTracker[Standard Automation Focus],E75)</f>
        <v/>
      </c>
      <c r="G75" s="24">
        <f>F75/COUNTIF(ComplaintTracker[Issue Type],"Complaint")</f>
        <v/>
      </c>
      <c r="H75" s="3" t="n"/>
      <c r="I75" s="20" t="inlineStr">
        <is>
          <t>Factory Fire</t>
        </is>
      </c>
      <c r="J75" s="76" t="n">
        <v>12</v>
      </c>
      <c r="K75" s="76" t="n">
        <v>2</v>
      </c>
      <c r="L75" s="76" t="n">
        <v>14</v>
      </c>
    </row>
    <row r="76" ht="23.25" customHeight="1">
      <c r="A76" s="20" t="inlineStr">
        <is>
          <t>UVM Health Network</t>
        </is>
      </c>
      <c r="B76" s="22" t="n">
        <v>2</v>
      </c>
      <c r="C76" s="24" t="n">
        <v>0.022222222222222223</v>
      </c>
      <c r="D76" s="3" t="n"/>
      <c r="E76" s="25" t="inlineStr">
        <is>
          <t>Total</t>
        </is>
      </c>
      <c r="F76" s="26">
        <f>SUM(F67:F75)</f>
        <v/>
      </c>
      <c r="G76" s="27">
        <f>SUM(G67:G75)</f>
        <v/>
      </c>
      <c r="H76" s="3" t="n"/>
      <c r="I76" s="20" t="inlineStr">
        <is>
          <t>Financial Distress</t>
        </is>
      </c>
      <c r="J76" s="76" t="n">
        <v>1</v>
      </c>
      <c r="K76" s="76" t="n">
        <v>0</v>
      </c>
      <c r="L76" s="76" t="n">
        <v>1</v>
      </c>
    </row>
    <row r="77" ht="23.25" customHeight="1">
      <c r="A77" s="20" t="inlineStr">
        <is>
          <t>Other customers</t>
        </is>
      </c>
      <c r="B77" s="22">
        <f>COUNTIF(ComplaintTracker[Issue Type],"Complaint")-SUM(B67:B76)</f>
        <v/>
      </c>
      <c r="C77" s="24">
        <f>B77/COUNTIF(ComplaintTracker[Issue Type],"Complaint")</f>
        <v/>
      </c>
      <c r="D77" s="3" t="n"/>
      <c r="E77" s="3" t="n"/>
      <c r="F77" s="3" t="n"/>
      <c r="G77" s="3" t="n"/>
      <c r="H77" s="3" t="n"/>
      <c r="I77" s="20" t="inlineStr">
        <is>
          <t>Geopolitical</t>
        </is>
      </c>
      <c r="J77" s="76" t="n">
        <v>6</v>
      </c>
      <c r="K77" s="76" t="n">
        <v>1</v>
      </c>
      <c r="L77" s="76" t="n">
        <v>7</v>
      </c>
    </row>
    <row r="78" ht="18" customHeight="1">
      <c r="A78" s="25" t="inlineStr">
        <is>
          <t>Total</t>
        </is>
      </c>
      <c r="B78" s="26">
        <f>SUM(B67:B77)</f>
        <v/>
      </c>
      <c r="C78" s="27">
        <f>SUM(C67:C77)</f>
        <v/>
      </c>
      <c r="D78" s="3" t="n"/>
      <c r="E78" s="3" t="n"/>
      <c r="F78" s="3" t="n"/>
      <c r="G78" s="3" t="n"/>
      <c r="H78" s="3" t="n"/>
      <c r="I78" s="20" t="inlineStr">
        <is>
          <t>Hurricane/Typhoon</t>
        </is>
      </c>
      <c r="J78" s="76" t="n">
        <v>1</v>
      </c>
      <c r="K78" s="76" t="n">
        <v>0</v>
      </c>
      <c r="L78" s="76" t="n">
        <v>1</v>
      </c>
    </row>
    <row r="79" ht="23.25" customHeight="1">
      <c r="A79" s="3" t="n"/>
      <c r="B79" s="3" t="n"/>
      <c r="C79" s="3" t="n"/>
      <c r="D79" s="3" t="n"/>
      <c r="E79" s="3" t="n"/>
      <c r="F79" s="3" t="n"/>
      <c r="G79" s="3" t="n"/>
      <c r="H79" s="3" t="n"/>
      <c r="I79" s="20" t="inlineStr">
        <is>
          <t>Labor Disruption</t>
        </is>
      </c>
      <c r="J79" s="76" t="n">
        <v>5</v>
      </c>
      <c r="K79" s="76" t="n">
        <v>0</v>
      </c>
      <c r="L79" s="76" t="n">
        <v>5</v>
      </c>
    </row>
    <row r="80" ht="23.25" customHeight="1">
      <c r="A80" s="3" t="n"/>
      <c r="B80" s="3" t="n"/>
      <c r="C80" s="3" t="n"/>
      <c r="D80" s="3" t="n"/>
      <c r="E80" s="3" t="n"/>
      <c r="F80" s="3" t="n"/>
      <c r="G80" s="3" t="n"/>
      <c r="H80" s="3" t="n"/>
      <c r="I80" s="20" t="inlineStr">
        <is>
          <t>Leadership Transition</t>
        </is>
      </c>
      <c r="J80" s="76" t="n">
        <v>1</v>
      </c>
      <c r="K80" s="76" t="n">
        <v>0</v>
      </c>
      <c r="L80" s="76" t="n">
        <v>1</v>
      </c>
    </row>
    <row r="81" ht="18" customHeight="1">
      <c r="A81" s="3" t="n"/>
      <c r="B81" s="3" t="n"/>
      <c r="C81" s="3" t="n"/>
      <c r="D81" s="3" t="n"/>
      <c r="E81" s="3" t="n"/>
      <c r="F81" s="3" t="n"/>
      <c r="G81" s="3" t="n"/>
      <c r="H81" s="3" t="n"/>
      <c r="I81" s="20" t="inlineStr">
        <is>
          <t>Litigation/Legal</t>
        </is>
      </c>
      <c r="J81" s="76" t="n">
        <v>1</v>
      </c>
      <c r="K81" s="76" t="n">
        <v>0</v>
      </c>
      <c r="L81" s="76" t="n">
        <v>1</v>
      </c>
    </row>
    <row r="82" ht="23.25" customHeight="1">
      <c r="A82" s="3" t="n"/>
      <c r="B82" s="3" t="n"/>
      <c r="C82" s="3" t="n"/>
      <c r="D82" s="3" t="n"/>
      <c r="E82" s="3" t="n"/>
      <c r="F82" s="3" t="n"/>
      <c r="G82" s="3" t="n"/>
      <c r="H82" s="3" t="n"/>
      <c r="I82" s="20" t="inlineStr">
        <is>
          <t>Merger &amp; Acquisition</t>
        </is>
      </c>
      <c r="J82" s="76" t="n">
        <v>3</v>
      </c>
      <c r="K82" s="76" t="n">
        <v>1</v>
      </c>
      <c r="L82" s="76" t="n">
        <v>4</v>
      </c>
    </row>
    <row r="83" ht="23.25" customHeight="1">
      <c r="A83" s="3" t="n"/>
      <c r="B83" s="3" t="n"/>
      <c r="C83" s="3" t="n"/>
      <c r="D83" s="3" t="n"/>
      <c r="E83" s="3" t="n"/>
      <c r="F83" s="3" t="n"/>
      <c r="G83" s="3" t="n"/>
      <c r="H83" s="3" t="n"/>
      <c r="I83" s="20" t="inlineStr">
        <is>
          <t>Platform/Data Quality</t>
        </is>
      </c>
      <c r="J83" s="76" t="n">
        <v>2</v>
      </c>
      <c r="K83" s="76" t="n">
        <v>0</v>
      </c>
      <c r="L83" s="76" t="n">
        <v>2</v>
      </c>
    </row>
    <row r="84" ht="18" customHeight="1">
      <c r="A84" s="3" t="n"/>
      <c r="B84" s="3" t="n"/>
      <c r="C84" s="3" t="n"/>
      <c r="D84" s="3" t="n"/>
      <c r="E84" s="3" t="n"/>
      <c r="F84" s="3" t="n"/>
      <c r="G84" s="3" t="n"/>
      <c r="H84" s="3" t="n"/>
      <c r="I84" s="20" t="inlineStr">
        <is>
          <t>Power Outage</t>
        </is>
      </c>
      <c r="J84" s="76" t="n">
        <v>1</v>
      </c>
      <c r="K84" s="76" t="n">
        <v>1</v>
      </c>
      <c r="L84" s="76" t="n">
        <v>2</v>
      </c>
    </row>
    <row r="85" ht="23.25" customHeight="1">
      <c r="A85" s="3" t="n"/>
      <c r="B85" s="3" t="n"/>
      <c r="C85" s="3" t="n"/>
      <c r="D85" s="3" t="n"/>
      <c r="E85" s="3" t="n"/>
      <c r="F85" s="3" t="n"/>
      <c r="G85" s="3" t="n"/>
      <c r="H85" s="3" t="n"/>
      <c r="I85" s="20" t="inlineStr">
        <is>
          <t>Protest/Riot</t>
        </is>
      </c>
      <c r="J85" s="76" t="n">
        <v>5</v>
      </c>
      <c r="K85" s="76" t="n">
        <v>0</v>
      </c>
      <c r="L85" s="76" t="n">
        <v>5</v>
      </c>
    </row>
    <row r="86" ht="23.25" customHeight="1">
      <c r="A86" s="3" t="n"/>
      <c r="B86" s="3" t="n"/>
      <c r="C86" s="3" t="n"/>
      <c r="D86" s="3" t="n"/>
      <c r="E86" s="3" t="n"/>
      <c r="F86" s="3" t="n"/>
      <c r="G86" s="3" t="n"/>
      <c r="H86" s="3" t="n"/>
      <c r="I86" s="20" t="inlineStr">
        <is>
          <t>Regulatory Change</t>
        </is>
      </c>
      <c r="J86" s="76" t="n">
        <v>6</v>
      </c>
      <c r="K86" s="76" t="n">
        <v>0</v>
      </c>
      <c r="L86" s="76" t="n">
        <v>6</v>
      </c>
    </row>
    <row r="87" ht="18" customHeight="1">
      <c r="A87" s="3" t="n"/>
      <c r="B87" s="3" t="n"/>
      <c r="C87" s="3" t="n"/>
      <c r="D87" s="3" t="n"/>
      <c r="E87" s="3" t="n"/>
      <c r="F87" s="3" t="n"/>
      <c r="G87" s="3" t="n"/>
      <c r="H87" s="3" t="n"/>
      <c r="I87" s="20" t="inlineStr">
        <is>
          <t>Supply Shortage</t>
        </is>
      </c>
      <c r="J87" s="76" t="n">
        <v>3</v>
      </c>
      <c r="K87" s="76" t="n">
        <v>3</v>
      </c>
      <c r="L87" s="76" t="n">
        <v>6</v>
      </c>
      <c r="M87" s="3" t="n"/>
      <c r="N87" s="3" t="n"/>
      <c r="O87" s="3" t="n"/>
      <c r="P87" s="3" t="n"/>
      <c r="Q87" s="3" t="n"/>
      <c r="R87" s="3" t="n"/>
    </row>
    <row r="88" ht="18" customHeight="1">
      <c r="A88" s="3" t="n"/>
      <c r="B88" s="3" t="n"/>
      <c r="C88" s="3" t="n"/>
      <c r="D88" s="3" t="n"/>
      <c r="E88" s="3" t="n"/>
      <c r="F88" s="3" t="n"/>
      <c r="G88" s="3" t="n"/>
      <c r="H88" s="3" t="n"/>
      <c r="I88" s="20" t="inlineStr">
        <is>
          <t>Tornado</t>
        </is>
      </c>
      <c r="J88" s="76" t="n">
        <v>1</v>
      </c>
      <c r="K88" s="76" t="n">
        <v>0</v>
      </c>
      <c r="L88" s="76" t="n">
        <v>1</v>
      </c>
      <c r="M88" s="3" t="n"/>
      <c r="N88" s="3" t="n"/>
      <c r="O88" s="3" t="n"/>
      <c r="P88" s="3" t="n"/>
      <c r="Q88" s="3" t="n"/>
      <c r="R88" s="3" t="n"/>
    </row>
    <row r="89" ht="18" customHeight="1">
      <c r="A89" s="3" t="n"/>
      <c r="B89" s="3" t="n"/>
      <c r="C89" s="3" t="n"/>
      <c r="D89" s="3" t="n"/>
      <c r="E89" s="3" t="n"/>
      <c r="F89" s="3" t="n"/>
      <c r="G89" s="3" t="n"/>
      <c r="H89" s="3" t="n"/>
      <c r="I89" s="20" t="inlineStr">
        <is>
          <t>Transport Disruption</t>
        </is>
      </c>
      <c r="J89" s="76" t="n">
        <v>1</v>
      </c>
      <c r="K89" s="76" t="n">
        <v>1</v>
      </c>
      <c r="L89" s="76" t="n">
        <v>2</v>
      </c>
      <c r="M89" s="3" t="n"/>
      <c r="N89" s="3" t="n"/>
      <c r="O89" s="3" t="n"/>
      <c r="P89" s="3" t="n"/>
      <c r="Q89" s="3" t="n"/>
      <c r="R89" s="3" t="n"/>
    </row>
    <row r="90" ht="18" customHeight="1">
      <c r="A90" s="3" t="n"/>
      <c r="B90" s="3" t="n"/>
      <c r="C90" s="3" t="n"/>
      <c r="D90" s="3" t="n"/>
      <c r="E90" s="3" t="n"/>
      <c r="F90" s="3" t="n"/>
      <c r="G90" s="3" t="n"/>
      <c r="H90" s="3" t="n"/>
      <c r="I90" s="20" t="inlineStr">
        <is>
          <t>WarRoom Operations</t>
        </is>
      </c>
      <c r="J90" s="76" t="n">
        <v>0</v>
      </c>
      <c r="K90" s="76" t="n">
        <v>1</v>
      </c>
      <c r="L90" s="76" t="n">
        <v>1</v>
      </c>
      <c r="M90" s="3" t="n"/>
      <c r="N90" s="3" t="n"/>
      <c r="O90" s="3" t="n"/>
      <c r="P90" s="3" t="n"/>
      <c r="Q90" s="3" t="n"/>
      <c r="R90" s="3" t="n"/>
    </row>
    <row r="91" ht="18" customHeight="1">
      <c r="A91" s="3" t="n"/>
      <c r="B91" s="3" t="n"/>
      <c r="C91" s="3" t="n"/>
      <c r="D91" s="3" t="n"/>
      <c r="E91" s="3" t="n"/>
      <c r="F91" s="3" t="n"/>
      <c r="G91" s="3" t="n"/>
      <c r="H91" s="3" t="n"/>
      <c r="I91" s="20" t="inlineStr">
        <is>
          <t>Wildfire</t>
        </is>
      </c>
      <c r="J91" s="76" t="n">
        <v>3</v>
      </c>
      <c r="K91" s="76" t="n">
        <v>1</v>
      </c>
      <c r="L91" s="76" t="n">
        <v>4</v>
      </c>
      <c r="M91" s="3" t="n"/>
      <c r="N91" s="3" t="n"/>
      <c r="O91" s="3" t="n"/>
      <c r="P91" s="3" t="n"/>
      <c r="Q91" s="3" t="n"/>
      <c r="R91" s="3" t="n"/>
    </row>
    <row r="92" ht="18" customHeight="1">
      <c r="A92" s="3" t="n"/>
      <c r="B92" s="3" t="n"/>
      <c r="C92" s="3" t="n"/>
      <c r="D92" s="3" t="n"/>
      <c r="E92" s="3" t="n"/>
      <c r="F92" s="3" t="n"/>
      <c r="G92" s="3" t="n"/>
      <c r="H92" s="3" t="n"/>
      <c r="I92" s="25" t="inlineStr">
        <is>
          <t>Total</t>
        </is>
      </c>
      <c r="J92" s="77" t="n">
        <v>90</v>
      </c>
      <c r="K92" s="77" t="n">
        <v>13</v>
      </c>
      <c r="L92" s="77" t="n">
        <v>103</v>
      </c>
      <c r="M92" s="3" t="n"/>
      <c r="N92" s="3" t="n"/>
      <c r="O92" s="3" t="n"/>
      <c r="P92" s="3" t="n"/>
      <c r="Q92" s="3" t="n"/>
      <c r="R92" s="3" t="n"/>
    </row>
    <row r="93" ht="18" customHeight="1">
      <c r="A93" s="3" t="n"/>
      <c r="B93" s="3" t="n"/>
      <c r="C93" s="3" t="n"/>
      <c r="D93" s="3" t="n"/>
      <c r="E93" s="3" t="n"/>
      <c r="F93" s="3" t="n"/>
      <c r="G93" s="3" t="n"/>
      <c r="H93" s="3" t="n"/>
      <c r="I93" s="3" t="n"/>
      <c r="J93" s="78" t="n"/>
      <c r="K93" s="78" t="n"/>
      <c r="L93" s="78" t="n"/>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78" t="n"/>
      <c r="K101" s="78" t="n"/>
      <c r="L101" s="78" t="n"/>
      <c r="M101" s="3" t="n"/>
      <c r="N101" s="3" t="n"/>
      <c r="O101" s="3" t="n"/>
      <c r="P101" s="3" t="n"/>
      <c r="Q101" s="3" t="n"/>
      <c r="R101" s="3" t="n"/>
    </row>
    <row r="102" ht="18" customHeight="1">
      <c r="A102" s="3" t="n"/>
      <c r="B102" s="3" t="n"/>
      <c r="C102" s="3" t="n"/>
      <c r="D102" s="3" t="n"/>
      <c r="E102" s="3" t="n"/>
      <c r="F102" s="3" t="n"/>
      <c r="G102" s="3" t="n"/>
      <c r="H102" s="3" t="n"/>
      <c r="I102" s="3" t="n"/>
      <c r="J102" s="78" t="n"/>
      <c r="K102" s="78" t="n"/>
      <c r="L102" s="78" t="n"/>
      <c r="M102" s="3" t="n"/>
      <c r="N102" s="3" t="n"/>
      <c r="O102" s="3" t="n"/>
      <c r="P102" s="3" t="n"/>
      <c r="Q102" s="3" t="n"/>
      <c r="R102" s="3" t="n"/>
    </row>
    <row r="103" ht="18" customHeight="1">
      <c r="A103" s="3" t="n"/>
      <c r="B103" s="3" t="n"/>
      <c r="C103" s="3" t="n"/>
      <c r="D103" s="3" t="n"/>
      <c r="E103" s="3" t="n"/>
      <c r="F103" s="3" t="n"/>
      <c r="G103" s="3" t="n"/>
      <c r="H103" s="3" t="n"/>
      <c r="I103" s="3" t="n"/>
      <c r="J103" s="78" t="n"/>
      <c r="K103" s="78" t="n"/>
      <c r="L103" s="78"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11" ht="18" customHeight="1">
      <c r="A111" s="3" t="n"/>
      <c r="B111" s="3" t="n"/>
      <c r="C111" s="3" t="n"/>
      <c r="D111" s="3" t="n"/>
      <c r="E111" s="3" t="n"/>
      <c r="F111" s="3" t="n"/>
      <c r="G111" s="3" t="n"/>
      <c r="H111" s="3" t="n"/>
      <c r="I111" s="3" t="n"/>
      <c r="J111" s="3" t="n"/>
      <c r="K111" s="3" t="n"/>
      <c r="L111" s="3" t="n"/>
      <c r="M111" s="3" t="n"/>
      <c r="N111" s="3" t="n"/>
      <c r="O111" s="3" t="n"/>
      <c r="P111" s="3" t="n"/>
      <c r="Q111" s="3" t="n"/>
      <c r="R111" s="3" t="n"/>
    </row>
    <row r="112" ht="18" customHeight="1">
      <c r="A112" s="3" t="n"/>
      <c r="B112" s="3" t="n"/>
      <c r="C112" s="3" t="n"/>
      <c r="D112" s="3" t="n"/>
      <c r="E112" s="3" t="n"/>
      <c r="F112" s="3" t="n"/>
      <c r="G112" s="3" t="n"/>
      <c r="H112" s="3" t="n"/>
      <c r="I112" s="3" t="n"/>
      <c r="J112" s="3" t="n"/>
      <c r="K112" s="3" t="n"/>
      <c r="L112" s="3" t="n"/>
      <c r="M112" s="3" t="n"/>
      <c r="N112" s="3" t="n"/>
      <c r="O112" s="3" t="n"/>
      <c r="P112" s="3" t="n"/>
      <c r="Q112" s="3" t="n"/>
      <c r="R112" s="3" t="n"/>
    </row>
    <row r="113" ht="18" customHeight="1">
      <c r="A113" s="3" t="n"/>
      <c r="B113" s="3" t="n"/>
      <c r="C113" s="3" t="n"/>
      <c r="D113" s="3" t="n"/>
      <c r="E113" s="3" t="n"/>
      <c r="F113" s="3" t="n"/>
      <c r="G113" s="3" t="n"/>
      <c r="H113" s="3" t="n"/>
      <c r="I113" s="3" t="n"/>
      <c r="J113" s="3" t="n"/>
      <c r="K113" s="3" t="n"/>
      <c r="L113" s="3" t="n"/>
      <c r="M113" s="3" t="n"/>
      <c r="N113" s="3" t="n"/>
      <c r="O113" s="3" t="n"/>
      <c r="P113" s="3" t="n"/>
      <c r="Q113" s="3" t="n"/>
      <c r="R113" s="3" t="n"/>
    </row>
    <row r="135" ht="18.75" customHeight="1"/>
  </sheetData>
  <mergeCells count="28">
    <mergeCell ref="A27:F27"/>
    <mergeCell ref="A46:R46"/>
    <mergeCell ref="J4:L4"/>
    <mergeCell ref="M27:R27"/>
    <mergeCell ref="A2:R2"/>
    <mergeCell ref="D4:F4"/>
    <mergeCell ref="I48:K48"/>
    <mergeCell ref="A65:C65"/>
    <mergeCell ref="D5:F7"/>
    <mergeCell ref="G4:I4"/>
    <mergeCell ref="A4:C4"/>
    <mergeCell ref="A5:C7"/>
    <mergeCell ref="G5:I7"/>
    <mergeCell ref="M4:O4"/>
    <mergeCell ref="A9:F9"/>
    <mergeCell ref="G9:L9"/>
    <mergeCell ref="P4:R4"/>
    <mergeCell ref="A48:C48"/>
    <mergeCell ref="E65:G65"/>
    <mergeCell ref="G27:L27"/>
    <mergeCell ref="J5:L7"/>
    <mergeCell ref="P5:R7"/>
    <mergeCell ref="M9:R9"/>
    <mergeCell ref="M5:O7"/>
    <mergeCell ref="M48:O48"/>
    <mergeCell ref="E48:G48"/>
    <mergeCell ref="A1:R1"/>
    <mergeCell ref="I65:L65"/>
  </mergeCells>
  <conditionalFormatting sqref="B67:B77">
    <cfRule type="dataBar" priority="1">
      <dataBar>
        <cfvo type="min"/>
        <cfvo type="max"/>
        <color rgb="FF638EC6"/>
      </dataBar>
    </cfRule>
  </conditionalFormatting>
  <conditionalFormatting sqref="F67:F75">
    <cfRule type="dataBar" priority="2">
      <dataBar>
        <cfvo type="min"/>
        <cfvo type="max"/>
        <color rgb="FF638EC6"/>
      </dataBar>
    </cfRule>
  </conditionalFormatting>
  <conditionalFormatting sqref="J67:J86">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39"/>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c r="A26" s="42" t="inlineStr">
        <is>
          <t>Field definition</t>
        </is>
      </c>
      <c r="B26" s="41" t="inlineStr">
        <is>
          <t>Jira Key</t>
        </is>
      </c>
      <c r="C26" s="41" t="inlineStr">
        <is>
          <t>Atlassian issue key linking the record to the ticket that tracks it.</t>
        </is>
      </c>
      <c r="D26" s="41" t="inlineStr">
        <is>
          <t>EAO-&lt;n&gt; for the EventWatch_AI_Ops project; older records may carry DATA, TS, BI or TENAR keys. Blank where no ticket was raised.</t>
        </is>
      </c>
      <c r="E26" s="41" t="inlineStr">
        <is>
          <t>Jira Key</t>
        </is>
      </c>
    </row>
    <row r="27">
      <c r="A27" s="42" t="inlineStr">
        <is>
          <t>Field definition</t>
        </is>
      </c>
      <c r="B27" s="41" t="inlineStr">
        <is>
          <t>RCA Details</t>
        </is>
      </c>
      <c r="C27" s="41" t="inlineStr">
        <is>
          <t>Root cause summary for the record, taken from the RCA shared on the linked Jira ticket.</t>
        </is>
      </c>
      <c r="D27" s="41" t="inlineStr">
        <is>
          <t>Free text. Blank where no RCA was requested or none has been issued yet. Where the RCA went out only as a PDF attachment the entry says so, rather than paraphrasing a document that is not in the ticket.</t>
        </is>
      </c>
      <c r="E27" s="41" t="inlineStr">
        <is>
          <t>RCA Details</t>
        </is>
      </c>
    </row>
    <row r="28">
      <c r="A28" s="42" t="inlineStr">
        <is>
          <t>Field definition</t>
        </is>
      </c>
      <c r="B28" s="41" t="inlineStr">
        <is>
          <t>Routed To</t>
        </is>
      </c>
      <c r="C28" s="41" t="inlineStr">
        <is>
          <t>Which team the record is directed to for action.</t>
        </is>
      </c>
      <c r="D28" s="41" t="inlineStr">
        <is>
          <t>EventWatch Ops - Nitin Rindhe for People- and Process-rooted records: analyst judgement, escalation, WarRoom decisions, threshold and methodology questions. Product &amp; Platform for Product-rooted records: ingestion, source coverage, keyword, clustering, mapping, visibility, platform and automation defects. Derived from Root Cause. EventWatch Ops still owns the customer-facing RCA on Product-routed records; routing says who investigates, not who replies.</t>
        </is>
      </c>
      <c r="E28" s="41" t="inlineStr">
        <is>
          <t>Routed To</t>
        </is>
      </c>
    </row>
    <row r="29" ht="30.75" customHeight="1">
      <c r="A29" s="42" t="inlineStr">
        <is>
          <t>Operational term</t>
        </is>
      </c>
      <c r="B29" s="41" t="inlineStr">
        <is>
          <t>EventWatch</t>
        </is>
      </c>
      <c r="C29" s="41" t="inlineStr">
        <is>
          <t>Operational monitoring service that identifies, assesses, and reports events relevant to customers.</t>
        </is>
      </c>
      <c r="D29" s="41" t="inlineStr">
        <is>
          <t>Common EventWatch terminology</t>
        </is>
      </c>
      <c r="E29" s="41" t="inlineStr">
        <is>
          <t>Various</t>
        </is>
      </c>
    </row>
    <row r="30" ht="30.75" customHeight="1">
      <c r="A30" s="42" t="inlineStr">
        <is>
          <t>Operational term</t>
        </is>
      </c>
      <c r="B30" s="41" t="inlineStr">
        <is>
          <t>WarRoom</t>
        </is>
      </c>
      <c r="C30" s="41" t="inlineStr">
        <is>
          <t>Central event workspace used to publish, organize, and update an operational event.</t>
        </is>
      </c>
      <c r="D30" s="41" t="inlineStr">
        <is>
          <t>Common EventWatch terminology</t>
        </is>
      </c>
      <c r="E30" s="41" t="inlineStr">
        <is>
          <t>Various</t>
        </is>
      </c>
    </row>
    <row r="31" ht="30.75" customHeight="1">
      <c r="A31" s="42" t="inlineStr">
        <is>
          <t>Operational term</t>
        </is>
      </c>
      <c r="B31" s="41" t="inlineStr">
        <is>
          <t>RCA</t>
        </is>
      </c>
      <c r="C31" s="41" t="inlineStr">
        <is>
          <t>Root Cause Analysis; a documented explanation of why an issue occurred and the corrective/preventive actions.</t>
        </is>
      </c>
      <c r="D31" s="41" t="inlineStr">
        <is>
          <t>Common EventWatch terminology</t>
        </is>
      </c>
      <c r="E31" s="41" t="inlineStr">
        <is>
          <t>Various</t>
        </is>
      </c>
    </row>
    <row r="32" ht="30.75" customHeight="1">
      <c r="A32" s="42" t="inlineStr">
        <is>
          <t>Operational term</t>
        </is>
      </c>
      <c r="B32" s="41" t="inlineStr">
        <is>
          <t>NC</t>
        </is>
      </c>
      <c r="C32" s="41" t="inlineStr">
        <is>
          <t>Non-Conformance; an internal quality record raised when required process or control performance was not met.</t>
        </is>
      </c>
      <c r="D32" s="41" t="inlineStr">
        <is>
          <t>Common EventWatch terminology</t>
        </is>
      </c>
      <c r="E32" s="41" t="inlineStr">
        <is>
          <t>Various</t>
        </is>
      </c>
    </row>
    <row r="33" ht="30.75" customHeight="1">
      <c r="A33" s="42" t="inlineStr">
        <is>
          <t>Operational term</t>
        </is>
      </c>
      <c r="B33" s="41" t="inlineStr">
        <is>
          <t>Not Impactful</t>
        </is>
      </c>
      <c r="C33" s="41" t="inlineStr">
        <is>
          <t>Review outcome indicating that available evidence did not meet the threshold for EventWatch escalation.</t>
        </is>
      </c>
      <c r="D33" s="41" t="inlineStr">
        <is>
          <t>Common EventWatch terminology</t>
        </is>
      </c>
      <c r="E33" s="41" t="inlineStr">
        <is>
          <t>Various</t>
        </is>
      </c>
    </row>
    <row r="34" ht="30.75" customHeight="1">
      <c r="A34" s="42" t="inlineStr">
        <is>
          <t>Operational term</t>
        </is>
      </c>
      <c r="B34" s="41" t="inlineStr">
        <is>
          <t>Feed harvesting</t>
        </is>
      </c>
      <c r="C34" s="41" t="inlineStr">
        <is>
          <t>Automated collection of articles or reports from monitored information sources.</t>
        </is>
      </c>
      <c r="D34" s="41" t="inlineStr">
        <is>
          <t>Common EventWatch terminology</t>
        </is>
      </c>
      <c r="E34" s="41" t="inlineStr">
        <is>
          <t>Various</t>
        </is>
      </c>
    </row>
    <row r="35" ht="30.75" customHeight="1">
      <c r="A35" s="42" t="inlineStr">
        <is>
          <t>Operational term</t>
        </is>
      </c>
      <c r="B35" s="41" t="inlineStr">
        <is>
          <t>Source coverage</t>
        </is>
      </c>
      <c r="C35" s="41" t="inlineStr">
        <is>
          <t>Availability and monitoring of relevant websites, feeds, registries, or publications.</t>
        </is>
      </c>
      <c r="D35" s="41" t="inlineStr">
        <is>
          <t>Common EventWatch terminology</t>
        </is>
      </c>
      <c r="E35" s="41" t="inlineStr">
        <is>
          <t>Various</t>
        </is>
      </c>
    </row>
    <row r="36" ht="30.75" customHeight="1">
      <c r="A36" s="42" t="inlineStr">
        <is>
          <t>Operational term</t>
        </is>
      </c>
      <c r="B36" s="41" t="inlineStr">
        <is>
          <t>Keyword Update</t>
        </is>
      </c>
      <c r="C36" s="41" t="inlineStr">
        <is>
          <t>Addition or refinement of search terms when available content was not identified correctly.</t>
        </is>
      </c>
      <c r="D36" s="41" t="inlineStr">
        <is>
          <t>Common EventWatch terminology</t>
        </is>
      </c>
      <c r="E36" s="41" t="inlineStr">
        <is>
          <t>Various</t>
        </is>
      </c>
    </row>
    <row r="37" ht="30.75" customHeight="1">
      <c r="A37" s="42" t="inlineStr">
        <is>
          <t>Operational term</t>
        </is>
      </c>
      <c r="B37" s="41" t="inlineStr">
        <is>
          <t>Geofencing</t>
        </is>
      </c>
      <c r="C37" s="41" t="inlineStr">
        <is>
          <t>Geographic impact logic used to associate an event area with customer or supplier locations.</t>
        </is>
      </c>
      <c r="D37" s="41" t="inlineStr">
        <is>
          <t>Common EventWatch terminology</t>
        </is>
      </c>
      <c r="E37" s="41" t="inlineStr">
        <is>
          <t>Various</t>
        </is>
      </c>
    </row>
    <row r="38" ht="30.75" customHeight="1">
      <c r="A38" s="42" t="inlineStr">
        <is>
          <t>Operational term</t>
        </is>
      </c>
      <c r="B38" s="41" t="inlineStr">
        <is>
          <t>Cluster</t>
        </is>
      </c>
      <c r="C38" s="41" t="inlineStr">
        <is>
          <t>Grouping of related articles or bulletins into one event record or WarRoom.</t>
        </is>
      </c>
      <c r="D38" s="41" t="inlineStr">
        <is>
          <t>Common EventWatch terminology</t>
        </is>
      </c>
      <c r="E38" s="41" t="inlineStr">
        <is>
          <t>Various</t>
        </is>
      </c>
    </row>
    <row r="39" ht="30.75" customHeight="1">
      <c r="A39" s="42" t="inlineStr">
        <is>
          <t>Operational term</t>
        </is>
      </c>
      <c r="B39" s="41" t="inlineStr">
        <is>
          <t>Human-in-the-loop review</t>
        </is>
      </c>
      <c r="C39" s="41" t="inlineStr">
        <is>
          <t>Analyst review that validates automated detection and decides whether to escalate or publish.</t>
        </is>
      </c>
      <c r="D39" s="41" t="inlineStr">
        <is>
          <t>Common EventWatch terminology</t>
        </is>
      </c>
      <c r="E39" s="41" t="inlineStr">
        <is>
          <t>Various</t>
        </is>
      </c>
    </row>
    <row r="40" ht="30.75" customHeight="1">
      <c r="A40" s="42" t="inlineStr">
        <is>
          <t>Operational term</t>
        </is>
      </c>
      <c r="B40" s="41" t="inlineStr">
        <is>
          <t>Impacted supplier</t>
        </is>
      </c>
      <c r="C40" s="41" t="inlineStr">
        <is>
          <t>Customer-mapped supplier assessed as potentially affected by an event.</t>
        </is>
      </c>
      <c r="D40" s="41" t="inlineStr">
        <is>
          <t>Common EventWatch terminology</t>
        </is>
      </c>
      <c r="E40" s="41" t="inlineStr">
        <is>
          <t>Various</t>
        </is>
      </c>
    </row>
    <row r="41" ht="30.75" customHeight="1">
      <c r="A41" s="42" t="inlineStr">
        <is>
          <t>Event type</t>
        </is>
      </c>
      <c r="B41" s="41" t="inlineStr">
        <is>
          <t>Bankruptcy</t>
        </is>
      </c>
      <c r="C41" s="41" t="inlineStr">
        <is>
          <t>Formal insolvency, bankruptcy filing, restructuring, or equivalent proceeding.</t>
        </is>
      </c>
      <c r="D41" s="41" t="inlineStr">
        <is>
          <t>Standard event category</t>
        </is>
      </c>
      <c r="E41" s="41" t="inlineStr">
        <is>
          <t>Event type</t>
        </is>
      </c>
    </row>
    <row r="42">
      <c r="A42" s="42" t="inlineStr">
        <is>
          <t>Event type</t>
        </is>
      </c>
      <c r="B42" s="41" t="inlineStr">
        <is>
          <t>Chemical Spill</t>
        </is>
      </c>
      <c r="C42" s="41" t="inlineStr">
        <is>
          <t>Release or leak of a hazardous chemical substance.</t>
        </is>
      </c>
      <c r="D42" s="41" t="inlineStr">
        <is>
          <t>Standard event category</t>
        </is>
      </c>
      <c r="E42" s="41" t="inlineStr">
        <is>
          <t>Event type</t>
        </is>
      </c>
    </row>
    <row r="43" ht="30.75" customHeight="1">
      <c r="A43" s="42" t="inlineStr">
        <is>
          <t>Event type</t>
        </is>
      </c>
      <c r="B43" s="41" t="inlineStr">
        <is>
          <t>Cyber Attack</t>
        </is>
      </c>
      <c r="C43" s="41" t="inlineStr">
        <is>
          <t>Cybersecurity incident such as ransomware, intrusion, compromise, or data breach.</t>
        </is>
      </c>
      <c r="D43" s="41" t="inlineStr">
        <is>
          <t>Standard event category</t>
        </is>
      </c>
      <c r="E43" s="41" t="inlineStr">
        <is>
          <t>Event type</t>
        </is>
      </c>
    </row>
    <row r="44">
      <c r="A44" s="42" t="inlineStr">
        <is>
          <t>Event type</t>
        </is>
      </c>
      <c r="B44" s="41" t="inlineStr">
        <is>
          <t>Earthquake</t>
        </is>
      </c>
      <c r="C44" s="41" t="inlineStr">
        <is>
          <t>Seismic event with potential operational or supply-chain impact.</t>
        </is>
      </c>
      <c r="D44" s="41" t="inlineStr">
        <is>
          <t>Standard event category</t>
        </is>
      </c>
      <c r="E44" s="41" t="inlineStr">
        <is>
          <t>Event type</t>
        </is>
      </c>
    </row>
    <row r="45" ht="30.75" customHeight="1">
      <c r="A45" s="42" t="inlineStr">
        <is>
          <t>Event type</t>
        </is>
      </c>
      <c r="B45" s="41" t="inlineStr">
        <is>
          <t>Extreme Weather</t>
        </is>
      </c>
      <c r="C45" s="41" t="inlineStr">
        <is>
          <t>Severe weather such as storms, tornadoes, typhoons, flooding, or snowstorms.</t>
        </is>
      </c>
      <c r="D45" s="41" t="inlineStr">
        <is>
          <t>Standard event category</t>
        </is>
      </c>
      <c r="E45" s="41" t="inlineStr">
        <is>
          <t>Event type</t>
        </is>
      </c>
    </row>
    <row r="46">
      <c r="A46" s="42" t="inlineStr">
        <is>
          <t>Event type</t>
        </is>
      </c>
      <c r="B46" s="41" t="inlineStr">
        <is>
          <t>Factory Closure</t>
        </is>
      </c>
      <c r="C46" s="41" t="inlineStr">
        <is>
          <t>Planned or unplanned closure of a manufacturing facility.</t>
        </is>
      </c>
      <c r="D46" s="41" t="inlineStr">
        <is>
          <t>Standard event category</t>
        </is>
      </c>
      <c r="E46" s="41" t="inlineStr">
        <is>
          <t>Event type</t>
        </is>
      </c>
    </row>
    <row r="47" ht="30.75" customHeight="1">
      <c r="A47" s="42" t="inlineStr">
        <is>
          <t>Event type</t>
        </is>
      </c>
      <c r="B47" s="41" t="inlineStr">
        <is>
          <t>Factory Disruption</t>
        </is>
      </c>
      <c r="C47" s="41" t="inlineStr">
        <is>
          <t>Operational interruption at a manufacturing facility that is not classified as closure or fire.</t>
        </is>
      </c>
      <c r="D47" s="41" t="inlineStr">
        <is>
          <t>Standard event category</t>
        </is>
      </c>
      <c r="E47" s="41" t="inlineStr">
        <is>
          <t>Event type</t>
        </is>
      </c>
    </row>
    <row r="48">
      <c r="A48" s="42" t="inlineStr">
        <is>
          <t>Event type</t>
        </is>
      </c>
      <c r="B48" s="41" t="inlineStr">
        <is>
          <t>Factory Fire</t>
        </is>
      </c>
      <c r="C48" s="41" t="inlineStr">
        <is>
          <t>Fire affecting a manufacturing, production, or storage facility.</t>
        </is>
      </c>
      <c r="D48" s="41" t="inlineStr">
        <is>
          <t>Standard event category</t>
        </is>
      </c>
      <c r="E48" s="41" t="inlineStr">
        <is>
          <t>Event type</t>
        </is>
      </c>
    </row>
    <row r="49" ht="30.75" customHeight="1">
      <c r="A49" s="42" t="inlineStr">
        <is>
          <t>Event type</t>
        </is>
      </c>
      <c r="B49" s="41" t="inlineStr">
        <is>
          <t>Financial Distress</t>
        </is>
      </c>
      <c r="C49" s="41" t="inlineStr">
        <is>
          <t>Material financial difficulty that does not yet constitute a formal bankruptcy event.</t>
        </is>
      </c>
      <c r="D49" s="41" t="inlineStr">
        <is>
          <t>Standard event category</t>
        </is>
      </c>
      <c r="E49" s="41" t="inlineStr">
        <is>
          <t>Event type</t>
        </is>
      </c>
    </row>
    <row r="50" ht="30.75" customHeight="1">
      <c r="A50" s="42" t="inlineStr">
        <is>
          <t>Event type</t>
        </is>
      </c>
      <c r="B50" s="41" t="inlineStr">
        <is>
          <t>Geopolitical</t>
        </is>
      </c>
      <c r="C50" s="41" t="inlineStr">
        <is>
          <t>Political, border, security, conflict, or humanitarian development affecting operations.</t>
        </is>
      </c>
      <c r="D50" s="41" t="inlineStr">
        <is>
          <t>Standard event category</t>
        </is>
      </c>
      <c r="E50" s="41" t="inlineStr">
        <is>
          <t>Event type</t>
        </is>
      </c>
    </row>
    <row r="51">
      <c r="A51" s="42" t="inlineStr">
        <is>
          <t>Event type</t>
        </is>
      </c>
      <c r="B51" s="41" t="inlineStr">
        <is>
          <t>Labor Disruption</t>
        </is>
      </c>
      <c r="C51" s="41" t="inlineStr">
        <is>
          <t>Strike, work stoppage, industrial action, or labor-related disruption.</t>
        </is>
      </c>
      <c r="D51" s="41" t="inlineStr">
        <is>
          <t>Standard event category</t>
        </is>
      </c>
      <c r="E51" s="41" t="inlineStr">
        <is>
          <t>Event type</t>
        </is>
      </c>
    </row>
    <row r="52">
      <c r="A52" s="42" t="inlineStr">
        <is>
          <t>Event type</t>
        </is>
      </c>
      <c r="B52" s="41" t="inlineStr">
        <is>
          <t>Leadership Transition</t>
        </is>
      </c>
      <c r="C52" s="41" t="inlineStr">
        <is>
          <t>Change in senior executive or organizational leadership.</t>
        </is>
      </c>
      <c r="D52" s="41" t="inlineStr">
        <is>
          <t>Standard event category</t>
        </is>
      </c>
      <c r="E52" s="41" t="inlineStr">
        <is>
          <t>Event type</t>
        </is>
      </c>
    </row>
    <row r="53">
      <c r="A53" s="42" t="inlineStr">
        <is>
          <t>Event type</t>
        </is>
      </c>
      <c r="B53" s="41" t="inlineStr">
        <is>
          <t>Merger &amp; Acquisition</t>
        </is>
      </c>
      <c r="C53" s="41" t="inlineStr">
        <is>
          <t>Merger, acquisition, divestiture, or comparable corporate transaction.</t>
        </is>
      </c>
      <c r="D53" s="41" t="inlineStr">
        <is>
          <t>Standard event category</t>
        </is>
      </c>
      <c r="E53" s="41" t="inlineStr">
        <is>
          <t>Event type</t>
        </is>
      </c>
    </row>
    <row r="54">
      <c r="A54" s="42" t="inlineStr">
        <is>
          <t>Event type</t>
        </is>
      </c>
      <c r="B54" s="41" t="inlineStr">
        <is>
          <t>N/A</t>
        </is>
      </c>
      <c r="C54" s="41" t="inlineStr">
        <is>
          <t>No applicable event category, generally used for non-event inquiries.</t>
        </is>
      </c>
      <c r="D54" s="41" t="inlineStr">
        <is>
          <t>Standard event category</t>
        </is>
      </c>
      <c r="E54" s="41" t="inlineStr">
        <is>
          <t>Event type</t>
        </is>
      </c>
    </row>
    <row r="55">
      <c r="A55" s="42" t="inlineStr">
        <is>
          <t>Event type</t>
        </is>
      </c>
      <c r="B55" s="41" t="inlineStr">
        <is>
          <t>Protest/Riot</t>
        </is>
      </c>
      <c r="C55" s="41" t="inlineStr">
        <is>
          <t>Demonstration, civil unrest, riot, or blockade driven by protest activity.</t>
        </is>
      </c>
      <c r="D55" s="41" t="inlineStr">
        <is>
          <t>Standard event category</t>
        </is>
      </c>
      <c r="E55" s="41" t="inlineStr">
        <is>
          <t>Event type</t>
        </is>
      </c>
    </row>
    <row r="56">
      <c r="A56" s="42" t="inlineStr">
        <is>
          <t>Event type</t>
        </is>
      </c>
      <c r="B56" s="41" t="inlineStr">
        <is>
          <t>Regulatory Change</t>
        </is>
      </c>
      <c r="C56" s="41" t="inlineStr">
        <is>
          <t>Government rule, sanction, export control, or regulatory action.</t>
        </is>
      </c>
      <c r="D56" s="41" t="inlineStr">
        <is>
          <t>Standard event category</t>
        </is>
      </c>
      <c r="E56" s="41" t="inlineStr">
        <is>
          <t>Event type</t>
        </is>
      </c>
    </row>
    <row r="57" ht="30.75" customHeight="1">
      <c r="A57" s="42" t="inlineStr">
        <is>
          <t>Event type</t>
        </is>
      </c>
      <c r="B57" s="41" t="inlineStr">
        <is>
          <t>Supply Shortage</t>
        </is>
      </c>
      <c r="C57" s="41" t="inlineStr">
        <is>
          <t>Shortage or constrained availability of materials, components, energy, or goods.</t>
        </is>
      </c>
      <c r="D57" s="41" t="inlineStr">
        <is>
          <t>Standard event category</t>
        </is>
      </c>
      <c r="E57" s="41" t="inlineStr">
        <is>
          <t>Event type</t>
        </is>
      </c>
    </row>
    <row r="58">
      <c r="A58" s="42" t="inlineStr">
        <is>
          <t>Event type</t>
        </is>
      </c>
      <c r="B58" s="41" t="inlineStr">
        <is>
          <t>Transport Disruption</t>
        </is>
      </c>
      <c r="C58" s="41" t="inlineStr">
        <is>
          <t>Disruption to roads, bridges, ports, rail, air, or logistics routes.</t>
        </is>
      </c>
      <c r="D58" s="41" t="inlineStr">
        <is>
          <t>Standard event category</t>
        </is>
      </c>
      <c r="E58" s="41" t="inlineStr">
        <is>
          <t>Event type</t>
        </is>
      </c>
    </row>
    <row r="59" ht="30.75" customHeight="1">
      <c r="A59" s="42" t="inlineStr">
        <is>
          <t>Event type</t>
        </is>
      </c>
      <c r="B59" s="41" t="inlineStr">
        <is>
          <t>Wildfire</t>
        </is>
      </c>
      <c r="C59" s="41" t="inlineStr">
        <is>
          <t>Uncontrolled vegetation fire with potential geographic or operational impact.</t>
        </is>
      </c>
      <c r="D59" s="41" t="inlineStr">
        <is>
          <t>Standard event category</t>
        </is>
      </c>
      <c r="E59" s="41" t="inlineStr">
        <is>
          <t>Event type</t>
        </is>
      </c>
    </row>
    <row r="60" ht="30.75" customHeight="1">
      <c r="A60" s="42" t="inlineStr">
        <is>
          <t>Issue type</t>
        </is>
      </c>
      <c r="B60" s="41" t="inlineStr">
        <is>
          <t>Complaint</t>
        </is>
      </c>
      <c r="C60" s="41" t="inlineStr">
        <is>
          <t>Customer reports a service failure, miss, delay, incorrect action, or other concern.</t>
        </is>
      </c>
      <c r="D60" s="41" t="inlineStr">
        <is>
          <t>Included in complaint metrics</t>
        </is>
      </c>
      <c r="E60" s="41" t="inlineStr">
        <is>
          <t>Issue Type</t>
        </is>
      </c>
    </row>
    <row r="61" ht="30.75" customHeight="1">
      <c r="A61" s="42" t="inlineStr">
        <is>
          <t>Issue type</t>
        </is>
      </c>
      <c r="B61" s="41" t="inlineStr">
        <is>
          <t>Inquiry</t>
        </is>
      </c>
      <c r="C61" s="41" t="inlineStr">
        <is>
          <t>Customer requests verification, explanation, or information without a confirmed service failure.</t>
        </is>
      </c>
      <c r="D61" s="41" t="inlineStr">
        <is>
          <t>Tracked separately from complaints</t>
        </is>
      </c>
      <c r="E61" s="41" t="inlineStr">
        <is>
          <t>Issue Type</t>
        </is>
      </c>
    </row>
    <row r="62" ht="30.75" customHeight="1">
      <c r="A62" s="42" t="inlineStr">
        <is>
          <t>Root cause</t>
        </is>
      </c>
      <c r="B62" s="41" t="inlineStr">
        <is>
          <t>People</t>
        </is>
      </c>
      <c r="C62" s="41" t="inlineStr">
        <is>
          <t>Human judgment, review, prioritization, publishing, or execution was the primary cause.</t>
        </is>
      </c>
      <c r="D62" s="41" t="inlineStr">
        <is>
          <t>Primary cause domain</t>
        </is>
      </c>
      <c r="E62" s="41" t="inlineStr">
        <is>
          <t>Root Cause</t>
        </is>
      </c>
    </row>
    <row r="63" ht="30.75" customHeight="1">
      <c r="A63" s="42" t="inlineStr">
        <is>
          <t>Root cause</t>
        </is>
      </c>
      <c r="B63" s="41" t="inlineStr">
        <is>
          <t>Process</t>
        </is>
      </c>
      <c r="C63" s="41" t="inlineStr">
        <is>
          <t>Policy, workflow, threshold, mapping method, or procedural design was the primary cause.</t>
        </is>
      </c>
      <c r="D63" s="41" t="inlineStr">
        <is>
          <t>Primary cause domain</t>
        </is>
      </c>
      <c r="E63" s="41" t="inlineStr">
        <is>
          <t>Root Cause</t>
        </is>
      </c>
    </row>
    <row r="64" ht="30.75" customHeight="1">
      <c r="A64" s="42" t="inlineStr">
        <is>
          <t>Root cause</t>
        </is>
      </c>
      <c r="B64" s="41" t="inlineStr">
        <is>
          <t>Product</t>
        </is>
      </c>
      <c r="C64" s="41" t="inlineStr">
        <is>
          <t>Technology, data ingestion, source coverage, detection, clustering, or platform behavior was the primary cause.</t>
        </is>
      </c>
      <c r="D64" s="41" t="inlineStr">
        <is>
          <t>Primary cause domain</t>
        </is>
      </c>
      <c r="E64" s="41" t="inlineStr">
        <is>
          <t>Root Cause</t>
        </is>
      </c>
    </row>
    <row r="65">
      <c r="A65" s="42" t="inlineStr">
        <is>
          <t>Sub-type</t>
        </is>
      </c>
      <c r="B65" s="41" t="inlineStr">
        <is>
          <t>Captured Late</t>
        </is>
      </c>
      <c r="C65" s="41" t="inlineStr">
        <is>
          <t>Relevant information entered the workflow later than required.</t>
        </is>
      </c>
      <c r="D65" s="41" t="inlineStr">
        <is>
          <t>Detailed cause/handling category</t>
        </is>
      </c>
      <c r="E65" s="41" t="inlineStr">
        <is>
          <t>Sub-type</t>
        </is>
      </c>
    </row>
    <row r="66">
      <c r="A66" s="42" t="inlineStr">
        <is>
          <t>Sub-type</t>
        </is>
      </c>
      <c r="B66" s="41" t="inlineStr">
        <is>
          <t>Duplication</t>
        </is>
      </c>
      <c r="C66" s="41" t="inlineStr">
        <is>
          <t>Related content was split into duplicate WarRooms or event records.</t>
        </is>
      </c>
      <c r="D66" s="41" t="inlineStr">
        <is>
          <t>Detailed cause/handling category</t>
        </is>
      </c>
      <c r="E66" s="41" t="inlineStr">
        <is>
          <t>Sub-type</t>
        </is>
      </c>
    </row>
    <row r="67" ht="30.75" customHeight="1">
      <c r="A67" s="42" t="inlineStr">
        <is>
          <t>Sub-type</t>
        </is>
      </c>
      <c r="B67" s="41" t="inlineStr">
        <is>
          <t>Event Identification</t>
        </is>
      </c>
      <c r="C67" s="41" t="inlineStr">
        <is>
          <t>The relevant event was not recognized or converted into reportable coverage.</t>
        </is>
      </c>
      <c r="D67" s="41" t="inlineStr">
        <is>
          <t>Detailed cause/handling category</t>
        </is>
      </c>
      <c r="E67" s="41" t="inlineStr">
        <is>
          <t>Sub-type</t>
        </is>
      </c>
    </row>
    <row r="68">
      <c r="A68" s="42" t="inlineStr">
        <is>
          <t>Sub-type</t>
        </is>
      </c>
      <c r="B68" s="41" t="inlineStr">
        <is>
          <t>Industry selection</t>
        </is>
      </c>
      <c r="C68" s="41" t="inlineStr">
        <is>
          <t>An incorrect or missing industry classification affected tracking.</t>
        </is>
      </c>
      <c r="D68" s="41" t="inlineStr">
        <is>
          <t>Detailed cause/handling category</t>
        </is>
      </c>
      <c r="E68" s="41" t="inlineStr">
        <is>
          <t>Sub-type</t>
        </is>
      </c>
    </row>
    <row r="69">
      <c r="A69" s="42" t="inlineStr">
        <is>
          <t>Sub-type</t>
        </is>
      </c>
      <c r="B69" s="41" t="inlineStr">
        <is>
          <t>Keyword Update</t>
        </is>
      </c>
      <c r="C69" s="41" t="inlineStr">
        <is>
          <t>Search or detection terms required addition or refinement.</t>
        </is>
      </c>
      <c r="D69" s="41" t="inlineStr">
        <is>
          <t>Detailed cause/handling category</t>
        </is>
      </c>
      <c r="E69" s="41" t="inlineStr">
        <is>
          <t>Sub-type</t>
        </is>
      </c>
    </row>
    <row r="70" ht="30.75" customHeight="1">
      <c r="A70" s="42" t="inlineStr">
        <is>
          <t>Sub-type</t>
        </is>
      </c>
      <c r="B70" s="41" t="inlineStr">
        <is>
          <t>Mapping</t>
        </is>
      </c>
      <c r="C70" s="41" t="inlineStr">
        <is>
          <t>Customer, supplier, company, facility, or impact relationship was missing or incorrect.</t>
        </is>
      </c>
      <c r="D70" s="41" t="inlineStr">
        <is>
          <t>Detailed cause/handling category</t>
        </is>
      </c>
      <c r="E70" s="41" t="inlineStr">
        <is>
          <t>Sub-type</t>
        </is>
      </c>
    </row>
    <row r="71">
      <c r="A71" s="42" t="inlineStr">
        <is>
          <t>Sub-type</t>
        </is>
      </c>
      <c r="B71" s="41" t="inlineStr">
        <is>
          <t>Policy/Logic</t>
        </is>
      </c>
      <c r="C71" s="41" t="inlineStr">
        <is>
          <t>A rule, threshold, or decision logic produced or explained the outcome.</t>
        </is>
      </c>
      <c r="D71" s="41" t="inlineStr">
        <is>
          <t>Detailed cause/handling category</t>
        </is>
      </c>
      <c r="E71" s="41" t="inlineStr">
        <is>
          <t>Sub-type</t>
        </is>
      </c>
    </row>
    <row r="72">
      <c r="A72" s="42" t="inlineStr">
        <is>
          <t>Sub-type</t>
        </is>
      </c>
      <c r="B72" s="41" t="inlineStr">
        <is>
          <t>Prioritization</t>
        </is>
      </c>
      <c r="C72" s="41" t="inlineStr">
        <is>
          <t>A detected item was not handled with the required urgency.</t>
        </is>
      </c>
      <c r="D72" s="41" t="inlineStr">
        <is>
          <t>Detailed cause/handling category</t>
        </is>
      </c>
      <c r="E72" s="41" t="inlineStr">
        <is>
          <t>Sub-type</t>
        </is>
      </c>
    </row>
    <row r="73" ht="30.75" customHeight="1">
      <c r="A73" s="42" t="inlineStr">
        <is>
          <t>Sub-type</t>
        </is>
      </c>
      <c r="B73" s="41" t="inlineStr">
        <is>
          <t>Process Clarification</t>
        </is>
      </c>
      <c r="C73" s="41" t="inlineStr">
        <is>
          <t>The case required explanation of policy, thresholds, or workflow rather than defect correction.</t>
        </is>
      </c>
      <c r="D73" s="41" t="inlineStr">
        <is>
          <t>Detailed cause/handling category</t>
        </is>
      </c>
      <c r="E73" s="41" t="inlineStr">
        <is>
          <t>Sub-type</t>
        </is>
      </c>
    </row>
    <row r="74" ht="30.75" customHeight="1">
      <c r="A74" s="42" t="inlineStr">
        <is>
          <t>Sub-type</t>
        </is>
      </c>
      <c r="B74" s="41" t="inlineStr">
        <is>
          <t>Relevancy</t>
        </is>
      </c>
      <c r="C74" s="41" t="inlineStr">
        <is>
          <t>The item’s relevance to the customer or EventWatch scope was disputed or incorrectly assessed.</t>
        </is>
      </c>
      <c r="D74" s="41" t="inlineStr">
        <is>
          <t>Detailed cause/handling category</t>
        </is>
      </c>
      <c r="E74" s="41" t="inlineStr">
        <is>
          <t>Sub-type</t>
        </is>
      </c>
    </row>
    <row r="75">
      <c r="A75" s="42" t="inlineStr">
        <is>
          <t>Sub-type</t>
        </is>
      </c>
      <c r="B75" s="41" t="inlineStr">
        <is>
          <t>Review</t>
        </is>
      </c>
      <c r="C75" s="41" t="inlineStr">
        <is>
          <t>Human assessment or quality review led to the issue.</t>
        </is>
      </c>
      <c r="D75" s="41" t="inlineStr">
        <is>
          <t>Detailed cause/handling category</t>
        </is>
      </c>
      <c r="E75" s="41" t="inlineStr">
        <is>
          <t>Sub-type</t>
        </is>
      </c>
    </row>
    <row r="76" ht="30.75" customHeight="1">
      <c r="A76" s="42" t="inlineStr">
        <is>
          <t>Sub-type</t>
        </is>
      </c>
      <c r="B76" s="41" t="inlineStr">
        <is>
          <t>Source Coverage</t>
        </is>
      </c>
      <c r="C76" s="41" t="inlineStr">
        <is>
          <t>The relevant source was unavailable, unmonitored, restricted, or not harvested.</t>
        </is>
      </c>
      <c r="D76" s="41" t="inlineStr">
        <is>
          <t>Detailed cause/handling category</t>
        </is>
      </c>
      <c r="E76" s="41" t="inlineStr">
        <is>
          <t>Sub-type</t>
        </is>
      </c>
    </row>
    <row r="77">
      <c r="A77" s="42" t="inlineStr">
        <is>
          <t>Sub-type</t>
        </is>
      </c>
      <c r="B77" s="41" t="inlineStr">
        <is>
          <t>Strategy</t>
        </is>
      </c>
      <c r="C77" s="41" t="inlineStr">
        <is>
          <t>The concern relates to reporting or consolidation strategy.</t>
        </is>
      </c>
      <c r="D77" s="41" t="inlineStr">
        <is>
          <t>Detailed cause/handling category</t>
        </is>
      </c>
      <c r="E77" s="41" t="inlineStr">
        <is>
          <t>Sub-type</t>
        </is>
      </c>
    </row>
    <row r="78">
      <c r="A78" s="42" t="inlineStr">
        <is>
          <t>Sub-type</t>
        </is>
      </c>
      <c r="B78" s="41" t="inlineStr">
        <is>
          <t>Tagging</t>
        </is>
      </c>
      <c r="C78" s="41" t="inlineStr">
        <is>
          <t>A required category or industry tag was missing or incorrect.</t>
        </is>
      </c>
      <c r="D78" s="41" t="inlineStr">
        <is>
          <t>Detailed cause/handling category</t>
        </is>
      </c>
      <c r="E78" s="41" t="inlineStr">
        <is>
          <t>Sub-type</t>
        </is>
      </c>
    </row>
    <row r="79" ht="30.75" customHeight="1">
      <c r="A79" s="42" t="inlineStr">
        <is>
          <t>Sub-type</t>
        </is>
      </c>
      <c r="B79" s="41" t="inlineStr">
        <is>
          <t>Visibility</t>
        </is>
      </c>
      <c r="C79" s="41" t="inlineStr">
        <is>
          <t>Published content was not visible because of profile, portal, notification, or display conditions.</t>
        </is>
      </c>
      <c r="D79" s="41" t="inlineStr">
        <is>
          <t>Detailed cause/handling category</t>
        </is>
      </c>
      <c r="E79" s="41" t="inlineStr">
        <is>
          <t>Sub-type</t>
        </is>
      </c>
    </row>
    <row r="80" ht="30.75" customHeight="1">
      <c r="A80" s="42" t="inlineStr">
        <is>
          <t>Sub-type</t>
        </is>
      </c>
      <c r="B80" s="41" t="inlineStr">
        <is>
          <t>WarRoom Creation</t>
        </is>
      </c>
      <c r="C80" s="41" t="inlineStr">
        <is>
          <t>A required WarRoom was not created despite available EventWatch coverage.</t>
        </is>
      </c>
      <c r="D80" s="41" t="inlineStr">
        <is>
          <t>Detailed cause/handling category</t>
        </is>
      </c>
      <c r="E80" s="41" t="inlineStr">
        <is>
          <t>Sub-type</t>
        </is>
      </c>
    </row>
    <row r="81" ht="30.75" customHeight="1">
      <c r="A81" s="42" t="inlineStr">
        <is>
          <t>Improvement classification</t>
        </is>
      </c>
      <c r="B81" s="41" t="inlineStr">
        <is>
          <t>Improvement</t>
        </is>
      </c>
      <c r="C81" s="41" t="inlineStr">
        <is>
          <t>Control, workflow, model, or monitoring enhancement rather than correction of a confirmed defect.</t>
        </is>
      </c>
      <c r="D81" s="41" t="inlineStr">
        <is>
          <t>Enhancement</t>
        </is>
      </c>
      <c r="E81" s="41" t="inlineStr">
        <is>
          <t>Improvement VS Bug</t>
        </is>
      </c>
    </row>
    <row r="82" ht="30.75" customHeight="1">
      <c r="A82" s="42" t="inlineStr">
        <is>
          <t>Improvement classification</t>
        </is>
      </c>
      <c r="B82" s="41" t="inlineStr">
        <is>
          <t>Bug</t>
        </is>
      </c>
      <c r="C82" s="41" t="inlineStr">
        <is>
          <t>Confirmed product or engineering defect requiring correction.</t>
        </is>
      </c>
      <c r="D82" s="41" t="inlineStr">
        <is>
          <t>Defect</t>
        </is>
      </c>
      <c r="E82" s="41" t="inlineStr">
        <is>
          <t>Improvement VS Bug</t>
        </is>
      </c>
    </row>
    <row r="83">
      <c r="A83" s="42" t="inlineStr">
        <is>
          <t>Fix status</t>
        </is>
      </c>
      <c r="B83" s="41" t="inlineStr">
        <is>
          <t>Fixed</t>
        </is>
      </c>
      <c r="C83" s="41" t="inlineStr">
        <is>
          <t>Immediate corrective action was completed.</t>
        </is>
      </c>
      <c r="D83" s="41" t="inlineStr">
        <is>
          <t>Current resolution state</t>
        </is>
      </c>
      <c r="E83" s="41" t="inlineStr">
        <is>
          <t>Short Term Fix Status</t>
        </is>
      </c>
    </row>
    <row r="84">
      <c r="A84" s="42" t="inlineStr">
        <is>
          <t>Fix status</t>
        </is>
      </c>
      <c r="B84" s="41" t="inlineStr">
        <is>
          <t>RCA Shared</t>
        </is>
      </c>
      <c r="C84" s="41" t="inlineStr">
        <is>
          <t>The root cause analysis was completed and shared with the customer.</t>
        </is>
      </c>
      <c r="D84" s="41" t="inlineStr">
        <is>
          <t>Current resolution state</t>
        </is>
      </c>
      <c r="E84" s="41" t="inlineStr">
        <is>
          <t>Short Term Fix Status</t>
        </is>
      </c>
    </row>
    <row r="85" ht="30.75" customHeight="1">
      <c r="A85" s="42" t="inlineStr">
        <is>
          <t>Fix status</t>
        </is>
      </c>
      <c r="B85" s="41" t="inlineStr">
        <is>
          <t>Clarification Provided</t>
        </is>
      </c>
      <c r="C85" s="41" t="inlineStr">
        <is>
          <t>The customer received an explanation, verification result, or policy/process clarification.</t>
        </is>
      </c>
      <c r="D85" s="41" t="inlineStr">
        <is>
          <t>Current resolution state</t>
        </is>
      </c>
      <c r="E85" s="41" t="inlineStr">
        <is>
          <t>Short Term Fix Status</t>
        </is>
      </c>
    </row>
    <row r="86">
      <c r="A86" s="42" t="inlineStr">
        <is>
          <t>Boolean flag</t>
        </is>
      </c>
      <c r="B86" s="41" t="inlineStr">
        <is>
          <t>Yes — RCA Requested</t>
        </is>
      </c>
      <c r="C86" s="41" t="inlineStr">
        <is>
          <t>A formal root cause analysis was requested.</t>
        </is>
      </c>
      <c r="D86" s="41" t="inlineStr">
        <is>
          <t>Yes</t>
        </is>
      </c>
      <c r="E86" s="41" t="inlineStr">
        <is>
          <t>RCA Requested</t>
        </is>
      </c>
    </row>
    <row r="87">
      <c r="A87" s="42" t="inlineStr">
        <is>
          <t>Boolean flag</t>
        </is>
      </c>
      <c r="B87" s="41" t="inlineStr">
        <is>
          <t>No — RCA Requested</t>
        </is>
      </c>
      <c r="C87" s="41" t="inlineStr">
        <is>
          <t>No formal root cause analysis was requested.</t>
        </is>
      </c>
      <c r="D87" s="41" t="inlineStr">
        <is>
          <t>No</t>
        </is>
      </c>
      <c r="E87" s="41" t="inlineStr">
        <is>
          <t>RCA Requested</t>
        </is>
      </c>
    </row>
    <row r="88" ht="30.75" customHeight="1">
      <c r="A88" s="42" t="inlineStr">
        <is>
          <t>Boolean flag</t>
        </is>
      </c>
      <c r="B88" s="41" t="inlineStr">
        <is>
          <t>Yes — Missed_Flag</t>
        </is>
      </c>
      <c r="C88" s="41" t="inlineStr">
        <is>
          <t>Expected coverage, alerting, escalation, or WarRoom action was missed or materially delayed.</t>
        </is>
      </c>
      <c r="D88" s="41" t="inlineStr">
        <is>
          <t>Yes</t>
        </is>
      </c>
      <c r="E88" s="41" t="inlineStr">
        <is>
          <t>Missed_Flag</t>
        </is>
      </c>
    </row>
    <row r="89" ht="30.75" customHeight="1">
      <c r="A89" s="42" t="inlineStr">
        <is>
          <t>Boolean flag</t>
        </is>
      </c>
      <c r="B89" s="41" t="inlineStr">
        <is>
          <t>No — Missed_Flag</t>
        </is>
      </c>
      <c r="C89" s="41" t="inlineStr">
        <is>
          <t>No confirmed reporting miss; the case concerns clarification, relevancy, mapping, duplication, or another non-miss issue.</t>
        </is>
      </c>
      <c r="D89" s="41" t="inlineStr">
        <is>
          <t>No</t>
        </is>
      </c>
      <c r="E89" s="41" t="inlineStr">
        <is>
          <t>Missed_Flag</t>
        </is>
      </c>
    </row>
    <row r="90">
      <c r="A90" s="42" t="inlineStr">
        <is>
          <t>Severity</t>
        </is>
      </c>
      <c r="B90" s="41" t="inlineStr">
        <is>
          <t>High</t>
        </is>
      </c>
      <c r="C90" s="41" t="inlineStr">
        <is>
          <t>Material impact or priority requiring elevated management attention.</t>
        </is>
      </c>
      <c r="D90" s="41" t="inlineStr">
        <is>
          <t>Priority level</t>
        </is>
      </c>
      <c r="E90" s="41" t="inlineStr">
        <is>
          <t>Severity</t>
        </is>
      </c>
    </row>
    <row r="91">
      <c r="A91" s="42" t="inlineStr">
        <is>
          <t>Severity</t>
        </is>
      </c>
      <c r="B91" s="41" t="inlineStr">
        <is>
          <t>Medium</t>
        </is>
      </c>
      <c r="C91" s="41" t="inlineStr">
        <is>
          <t>Standard operational complaint or issue requiring tracked response.</t>
        </is>
      </c>
      <c r="D91" s="41" t="inlineStr">
        <is>
          <t>Priority level</t>
        </is>
      </c>
      <c r="E91" s="41" t="inlineStr">
        <is>
          <t>Severity</t>
        </is>
      </c>
    </row>
    <row r="92">
      <c r="A92" s="42" t="inlineStr">
        <is>
          <t>Severity</t>
        </is>
      </c>
      <c r="B92" s="41" t="inlineStr">
        <is>
          <t>Low</t>
        </is>
      </c>
      <c r="C92" s="41" t="inlineStr">
        <is>
          <t>Limited-impact inquiry or quality issue with lower operational urgency.</t>
        </is>
      </c>
      <c r="D92" s="41" t="inlineStr">
        <is>
          <t>Priority level</t>
        </is>
      </c>
      <c r="E92" s="41" t="inlineStr">
        <is>
          <t>Severity</t>
        </is>
      </c>
    </row>
    <row r="93">
      <c r="A93" s="42" t="inlineStr">
        <is>
          <t>Automation focus</t>
        </is>
      </c>
      <c r="B93" s="41" t="inlineStr">
        <is>
          <t>AI-Assisted Geofencing</t>
        </is>
      </c>
      <c r="C93" s="41" t="inlineStr">
        <is>
          <t>Automate or improve impact-area creation and location validation.</t>
        </is>
      </c>
      <c r="D93" s="41" t="inlineStr">
        <is>
          <t>Standardized dashboard category</t>
        </is>
      </c>
      <c r="E93" s="41" t="inlineStr">
        <is>
          <t>Standard Automation Focus</t>
        </is>
      </c>
    </row>
    <row r="94">
      <c r="A94" s="42" t="inlineStr">
        <is>
          <t>Automation focus</t>
        </is>
      </c>
      <c r="B94" s="41" t="inlineStr">
        <is>
          <t>Automated Industry Tagging</t>
        </is>
      </c>
      <c r="C94" s="41" t="inlineStr">
        <is>
          <t>Automatically assign and validate industry classifications.</t>
        </is>
      </c>
      <c r="D94" s="41" t="inlineStr">
        <is>
          <t>Standardized dashboard category</t>
        </is>
      </c>
      <c r="E94" s="41" t="inlineStr">
        <is>
          <t>Standard Automation Focus</t>
        </is>
      </c>
    </row>
    <row r="95" ht="30.75" customHeight="1">
      <c r="A95" s="42" t="inlineStr">
        <is>
          <t>Automation focus</t>
        </is>
      </c>
      <c r="B95" s="41" t="inlineStr">
        <is>
          <t>Cluster Integrity &amp; Duplicate Prevention</t>
        </is>
      </c>
      <c r="C95" s="41" t="inlineStr">
        <is>
          <t>Detect duplicate/split clusters and preserve one coherent event sequence.</t>
        </is>
      </c>
      <c r="D95" s="41" t="inlineStr">
        <is>
          <t>Standardized dashboard category</t>
        </is>
      </c>
      <c r="E95" s="41" t="inlineStr">
        <is>
          <t>Standard Automation Focus</t>
        </is>
      </c>
    </row>
    <row r="96">
      <c r="A96" s="42" t="inlineStr">
        <is>
          <t>Automation focus</t>
        </is>
      </c>
      <c r="B96" s="41" t="inlineStr">
        <is>
          <t>Dynamic Source Discovery</t>
        </is>
      </c>
      <c r="C96" s="41" t="inlineStr">
        <is>
          <t>Identify, onboard, and monitor new or missing sources dynamically.</t>
        </is>
      </c>
      <c r="D96" s="41" t="inlineStr">
        <is>
          <t>Standardized dashboard category</t>
        </is>
      </c>
      <c r="E96" s="41" t="inlineStr">
        <is>
          <t>Standard Automation Focus</t>
        </is>
      </c>
    </row>
    <row r="97" ht="30.75" customHeight="1">
      <c r="A97" s="42" t="inlineStr">
        <is>
          <t>Automation focus</t>
        </is>
      </c>
      <c r="B97" s="41" t="inlineStr">
        <is>
          <t>Entity &amp; Supplier Resolution</t>
        </is>
      </c>
      <c r="C97" s="41" t="inlineStr">
        <is>
          <t>Resolve company, facility, supplier, and customer relationships accurately.</t>
        </is>
      </c>
      <c r="D97" s="41" t="inlineStr">
        <is>
          <t>Standardized dashboard category</t>
        </is>
      </c>
      <c r="E97" s="41" t="inlineStr">
        <is>
          <t>Standard Automation Focus</t>
        </is>
      </c>
    </row>
    <row r="98" ht="30.75" customHeight="1">
      <c r="A98" s="42" t="inlineStr">
        <is>
          <t>Automation focus</t>
        </is>
      </c>
      <c r="B98" s="41" t="inlineStr">
        <is>
          <t>Multilingual Keyword Expansion</t>
        </is>
      </c>
      <c r="C98" s="41" t="inlineStr">
        <is>
          <t>Expand and maintain detection terms across languages and regional variations.</t>
        </is>
      </c>
      <c r="D98" s="41" t="inlineStr">
        <is>
          <t>Standardized dashboard category</t>
        </is>
      </c>
      <c r="E98" s="41" t="inlineStr">
        <is>
          <t>Standard Automation Focus</t>
        </is>
      </c>
    </row>
    <row r="99" ht="30.75" customHeight="1">
      <c r="A99" s="42" t="inlineStr">
        <is>
          <t>Automation focus</t>
        </is>
      </c>
      <c r="B99" s="41" t="inlineStr">
        <is>
          <t>Notification Visibility Monitoring</t>
        </is>
      </c>
      <c r="C99" s="41" t="inlineStr">
        <is>
          <t>Monitor whether published alerts and WarRooms are visible and delivered to the customer.</t>
        </is>
      </c>
      <c r="D99" s="41" t="inlineStr">
        <is>
          <t>Standardized dashboard category</t>
        </is>
      </c>
      <c r="E99" s="41" t="inlineStr">
        <is>
          <t>Standard Automation Focus</t>
        </is>
      </c>
    </row>
    <row r="100">
      <c r="A100" s="42" t="inlineStr">
        <is>
          <t>Automation focus</t>
        </is>
      </c>
      <c r="B100" s="41" t="inlineStr">
        <is>
          <t>Other Control Automation</t>
        </is>
      </c>
      <c r="C100" s="41" t="inlineStr">
        <is>
          <t>Automation that does not fit another standardized focus category.</t>
        </is>
      </c>
      <c r="D100" s="41" t="inlineStr">
        <is>
          <t>Standardized dashboard category</t>
        </is>
      </c>
      <c r="E100" s="41" t="inlineStr">
        <is>
          <t>Standard Automation Focus</t>
        </is>
      </c>
    </row>
    <row r="101" ht="30.75" customHeight="1">
      <c r="A101" s="42" t="inlineStr">
        <is>
          <t>Automation focus</t>
        </is>
      </c>
      <c r="B101" s="41" t="inlineStr">
        <is>
          <t>WarRoom &amp; Decision Validation</t>
        </is>
      </c>
      <c r="C101" s="41" t="inlineStr">
        <is>
          <t>Validate impact decisions, escalation, publishing, and WarRoom creation.</t>
        </is>
      </c>
      <c r="D101" s="41" t="inlineStr">
        <is>
          <t>Standardized dashboard category</t>
        </is>
      </c>
      <c r="E101" s="41" t="inlineStr">
        <is>
          <t>Standard Automation Focus</t>
        </is>
      </c>
    </row>
    <row r="102" ht="30.75" customHeight="1">
      <c r="A102" s="42" t="inlineStr">
        <is>
          <t>Reason label</t>
        </is>
      </c>
      <c r="B102" s="41" t="inlineStr">
        <is>
          <t>Coverage Verification Request</t>
        </is>
      </c>
      <c r="C102" s="41" t="inlineStr">
        <is>
          <t>Customer requested confirmation of coverage, facts, or system behavior.</t>
        </is>
      </c>
      <c r="D102" s="41" t="inlineStr">
        <is>
          <t>Use only when supported by Comments and Missed_Flag</t>
        </is>
      </c>
      <c r="E102" s="41" t="inlineStr">
        <is>
          <t>Reason</t>
        </is>
      </c>
    </row>
    <row r="103" ht="30.75" customHeight="1">
      <c r="A103" s="42" t="inlineStr">
        <is>
          <t>Reason label</t>
        </is>
      </c>
      <c r="B103" s="41" t="inlineStr">
        <is>
          <t>Customer Requested Verification</t>
        </is>
      </c>
      <c r="C103" s="41" t="inlineStr">
        <is>
          <t>Customer requested confirmation of coverage, facts, or system behavior.</t>
        </is>
      </c>
      <c r="D103" s="41" t="inlineStr">
        <is>
          <t>Use only when supported by Comments and Missed_Flag</t>
        </is>
      </c>
      <c r="E103" s="41" t="inlineStr">
        <is>
          <t>Reason</t>
        </is>
      </c>
    </row>
    <row r="104" ht="30.75" customHeight="1">
      <c r="A104" s="42" t="inlineStr">
        <is>
          <t>Reason label</t>
        </is>
      </c>
      <c r="B104" s="41" t="inlineStr">
        <is>
          <t>Customer Terminology Preference</t>
        </is>
      </c>
      <c r="C104" s="41" t="inlineStr">
        <is>
          <t>Customer requested wording or naming alignment rather than correction of a reporting failure.</t>
        </is>
      </c>
      <c r="D104" s="41" t="inlineStr">
        <is>
          <t>Use only when supported by Comments and Missed_Flag</t>
        </is>
      </c>
      <c r="E104" s="41" t="inlineStr">
        <is>
          <t>Reason</t>
        </is>
      </c>
    </row>
    <row r="105" ht="30.75" customHeight="1">
      <c r="A105" s="42" t="inlineStr">
        <is>
          <t>Reason label</t>
        </is>
      </c>
      <c r="B105" s="41" t="inlineStr">
        <is>
          <t>Delay in creating separate WarRoom / delayed escalation</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 Missing WarRoom</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Delayed Event</t>
        </is>
      </c>
      <c r="C107" s="41" t="inlineStr">
        <is>
          <t>Expected reporting, escalation, notification, or WarRoom creation occurred later than required.</t>
        </is>
      </c>
      <c r="D107" s="41" t="inlineStr">
        <is>
          <t>Use only when supported by Comments and Missed_Flag</t>
        </is>
      </c>
      <c r="E107" s="41" t="inlineStr">
        <is>
          <t>Reason</t>
        </is>
      </c>
    </row>
    <row r="108" ht="30.75" customHeight="1">
      <c r="A108" s="42" t="inlineStr">
        <is>
          <t>Reason label</t>
        </is>
      </c>
      <c r="B108" s="41" t="inlineStr">
        <is>
          <t>Delayed WarRoom</t>
        </is>
      </c>
      <c r="C108" s="41" t="inlineStr">
        <is>
          <t>Expected reporting, escalation, notification, or WarRoom creation occurred later than required.</t>
        </is>
      </c>
      <c r="D108" s="41" t="inlineStr">
        <is>
          <t>Use only when supported by Comments and Missed_Flag</t>
        </is>
      </c>
      <c r="E108" s="41" t="inlineStr">
        <is>
          <t>Reason</t>
        </is>
      </c>
    </row>
    <row r="109" ht="30.75" customHeight="1">
      <c r="A109" s="42" t="inlineStr">
        <is>
          <t>Reason label</t>
        </is>
      </c>
      <c r="B109" s="41" t="inlineStr">
        <is>
          <t>Delayed alert / WarRoom created late</t>
        </is>
      </c>
      <c r="C109" s="41" t="inlineStr">
        <is>
          <t>Expected reporting, escalation, notification, or WarRoom creation occurred later than required.</t>
        </is>
      </c>
      <c r="D109" s="41" t="inlineStr">
        <is>
          <t>Use only when supported by Comments and Missed_Flag</t>
        </is>
      </c>
      <c r="E109" s="41" t="inlineStr">
        <is>
          <t>Reason</t>
        </is>
      </c>
    </row>
    <row r="110" ht="30.75" customHeight="1">
      <c r="A110" s="42" t="inlineStr">
        <is>
          <t>Reason label</t>
        </is>
      </c>
      <c r="B110" s="41" t="inlineStr">
        <is>
          <t>Duplicate WarRooms</t>
        </is>
      </c>
      <c r="C110" s="41" t="inlineStr">
        <is>
          <t>Related content was distributed across more than one WarRoom.</t>
        </is>
      </c>
      <c r="D110" s="41" t="inlineStr">
        <is>
          <t>Use only when supported by Comments and Missed_Flag</t>
        </is>
      </c>
      <c r="E110" s="41" t="inlineStr">
        <is>
          <t>Reason</t>
        </is>
      </c>
    </row>
    <row r="111" ht="30.75" customHeight="1">
      <c r="A111" s="42" t="inlineStr">
        <is>
          <t>Reason label</t>
        </is>
      </c>
      <c r="B111" s="41" t="inlineStr">
        <is>
          <t>Event not triggered / not notified</t>
        </is>
      </c>
      <c r="C111" s="41" t="inlineStr">
        <is>
          <t>Expected EventWatch coverage, alerting, notification, or WarRoom action did not occur.</t>
        </is>
      </c>
      <c r="D111" s="41" t="inlineStr">
        <is>
          <t>Use only when supported by Comments and Missed_Flag</t>
        </is>
      </c>
      <c r="E111" s="41" t="inlineStr">
        <is>
          <t>Reason</t>
        </is>
      </c>
    </row>
    <row r="112" ht="30.75" customHeight="1">
      <c r="A112" s="42" t="inlineStr">
        <is>
          <t>Reason label</t>
        </is>
      </c>
      <c r="B112" s="41" t="inlineStr">
        <is>
          <t>Geographic Coverage Clarification</t>
        </is>
      </c>
      <c r="C112" s="41" t="inlineStr">
        <is>
          <t>Customer requested explanation of the geographic scope or impact-area method.</t>
        </is>
      </c>
      <c r="D112" s="41" t="inlineStr">
        <is>
          <t>Use only when supported by Comments and Missed_Flag</t>
        </is>
      </c>
      <c r="E112" s="41" t="inlineStr">
        <is>
          <t>Reason</t>
        </is>
      </c>
    </row>
    <row r="113" ht="30.75" customHeight="1">
      <c r="A113" s="42" t="inlineStr">
        <is>
          <t>Reason label</t>
        </is>
      </c>
      <c r="B113" s="41" t="inlineStr">
        <is>
          <t>Geographic Misclassification</t>
        </is>
      </c>
      <c r="C113" s="41" t="inlineStr">
        <is>
          <t>An event or location was assigned to an incorrect geographic impact area.</t>
        </is>
      </c>
      <c r="D113" s="41" t="inlineStr">
        <is>
          <t>Use only when supported by Comments and Missed_Flag</t>
        </is>
      </c>
      <c r="E113" s="41" t="inlineStr">
        <is>
          <t>Reason</t>
        </is>
      </c>
    </row>
    <row r="114" ht="30.75" customHeight="1">
      <c r="A114" s="42" t="inlineStr">
        <is>
          <t>Reason label</t>
        </is>
      </c>
      <c r="B114" s="41" t="inlineStr">
        <is>
          <t>Impacted Supplier Missing</t>
        </is>
      </c>
      <c r="C114" s="41" t="inlineStr">
        <is>
          <t>A relevant mapped supplier was omitted from the impacted-supplier selection.</t>
        </is>
      </c>
      <c r="D114" s="41" t="inlineStr">
        <is>
          <t>Use only when supported by Comments and Missed_Flag</t>
        </is>
      </c>
      <c r="E114" s="41" t="inlineStr">
        <is>
          <t>Reason</t>
        </is>
      </c>
    </row>
    <row r="115" ht="30.75" customHeight="1">
      <c r="A115" s="42" t="inlineStr">
        <is>
          <t>Reason label</t>
        </is>
      </c>
      <c r="B115" s="41" t="inlineStr">
        <is>
          <t>Incorrect Action</t>
        </is>
      </c>
      <c r="C115" s="41" t="inlineStr">
        <is>
          <t>EventWatch action or handling was incorrect even though the event itself may not have been missed.</t>
        </is>
      </c>
      <c r="D115" s="41" t="inlineStr">
        <is>
          <t>Use only when supported by Comments and Missed_Flag</t>
        </is>
      </c>
      <c r="E115" s="41" t="inlineStr">
        <is>
          <t>Reason</t>
        </is>
      </c>
    </row>
    <row r="116" ht="30.75" customHeight="1">
      <c r="A116" s="42" t="inlineStr">
        <is>
          <t>Reason label</t>
        </is>
      </c>
      <c r="B116" s="41" t="inlineStr">
        <is>
          <t>Incorrect Industry selection</t>
        </is>
      </c>
      <c r="C116" s="41" t="inlineStr">
        <is>
          <t>The expected industry classification was missing or incorrect.</t>
        </is>
      </c>
      <c r="D116" s="41" t="inlineStr">
        <is>
          <t>Use only when supported by Comments and Missed_Flag</t>
        </is>
      </c>
      <c r="E116" s="41" t="inlineStr">
        <is>
          <t>Reason</t>
        </is>
      </c>
    </row>
    <row r="117" ht="30.75" customHeight="1">
      <c r="A117" s="42" t="inlineStr">
        <is>
          <t>Reason label</t>
        </is>
      </c>
      <c r="B117" s="41" t="inlineStr">
        <is>
          <t>Missed + Delayed Reporting</t>
        </is>
      </c>
      <c r="C117" s="41" t="inlineStr">
        <is>
          <t>Expected reporting, escalation, notification, or WarRoom creation occurred later than required.</t>
        </is>
      </c>
      <c r="D117" s="41" t="inlineStr">
        <is>
          <t>Use only when supported by Comments and Missed_Flag</t>
        </is>
      </c>
      <c r="E117" s="41" t="inlineStr">
        <is>
          <t>Reason</t>
        </is>
      </c>
    </row>
    <row r="118" ht="30.75" customHeight="1">
      <c r="A118" s="42" t="inlineStr">
        <is>
          <t>Reason label</t>
        </is>
      </c>
      <c r="B118" s="41" t="inlineStr">
        <is>
          <t>Missed / Delayed Event</t>
        </is>
      </c>
      <c r="C118" s="41" t="inlineStr">
        <is>
          <t>Expected reporting, escalation, notification, or WarRoom creation occurred later than required.</t>
        </is>
      </c>
      <c r="D118" s="41" t="inlineStr">
        <is>
          <t>Use only when supported by Comments and Missed_Flag</t>
        </is>
      </c>
      <c r="E118" s="41" t="inlineStr">
        <is>
          <t>Reason</t>
        </is>
      </c>
    </row>
    <row r="119" ht="30.75" customHeight="1">
      <c r="A119" s="42" t="inlineStr">
        <is>
          <t>Reason label</t>
        </is>
      </c>
      <c r="B119" s="41" t="inlineStr">
        <is>
          <t>Missed Event</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Relevant Event</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WarRoom</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WarRoom / No notification</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alert / event not captured</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Missed insolvency alert</t>
        </is>
      </c>
      <c r="C124" s="41" t="inlineStr">
        <is>
          <t>Expected EventWatch coverage, alerting, notification, or WarRoom action did not occur.</t>
        </is>
      </c>
      <c r="D124" s="41" t="inlineStr">
        <is>
          <t>Use only when supported by Comments and Missed_Flag</t>
        </is>
      </c>
      <c r="E124" s="41" t="inlineStr">
        <is>
          <t>Reason</t>
        </is>
      </c>
    </row>
    <row r="125" ht="30.75" customHeight="1">
      <c r="A125" s="42" t="inlineStr">
        <is>
          <t>Reason label</t>
        </is>
      </c>
      <c r="B125" s="41" t="inlineStr">
        <is>
          <t>Missed insolvency event</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Missed severe weather alert</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Missing Automotive industry tag (customer tracking missed it)</t>
        </is>
      </c>
      <c r="C127" s="41" t="inlineStr">
        <is>
          <t>The expected industry classification was missing or incorrect.</t>
        </is>
      </c>
      <c r="D127" s="41" t="inlineStr">
        <is>
          <t>Use only when supported by Comments and Missed_Flag</t>
        </is>
      </c>
      <c r="E127" s="41" t="inlineStr">
        <is>
          <t>Reason</t>
        </is>
      </c>
    </row>
    <row r="128" ht="30.75" customHeight="1">
      <c r="A128" s="42" t="inlineStr">
        <is>
          <t>Reason label</t>
        </is>
      </c>
      <c r="B128" s="41" t="inlineStr">
        <is>
          <t>Missing EventWatch coverage / feeds not captured</t>
        </is>
      </c>
      <c r="C128" s="41" t="inlineStr">
        <is>
          <t>Expected EventWatch coverage, alerting, notification, or WarRoom action did not occur.</t>
        </is>
      </c>
      <c r="D128" s="41" t="inlineStr">
        <is>
          <t>Use only when supported by Comments and Missed_Flag</t>
        </is>
      </c>
      <c r="E128" s="41" t="inlineStr">
        <is>
          <t>Reason</t>
        </is>
      </c>
    </row>
    <row r="129" ht="30.75" customHeight="1">
      <c r="A129" s="42" t="inlineStr">
        <is>
          <t>Reason label</t>
        </is>
      </c>
      <c r="B129" s="41" t="inlineStr">
        <is>
          <t>Missing Resilinc alert / insolvency not captured</t>
        </is>
      </c>
      <c r="C129" s="41" t="inlineStr">
        <is>
          <t>Expected EventWatch coverage, alerting, notification, or WarRoom action did not occur.</t>
        </is>
      </c>
      <c r="D129" s="41" t="inlineStr">
        <is>
          <t>Use only when supported by Comments and Missed_Flag</t>
        </is>
      </c>
      <c r="E129" s="41" t="inlineStr">
        <is>
          <t>Reason</t>
        </is>
      </c>
    </row>
    <row r="130" ht="30.75" customHeight="1">
      <c r="A130" s="42" t="inlineStr">
        <is>
          <t>Reason label</t>
        </is>
      </c>
      <c r="B130" s="41" t="inlineStr">
        <is>
          <t>SEC notification not captured/provided on time</t>
        </is>
      </c>
      <c r="C130" s="41" t="inlineStr">
        <is>
          <t>Specific customer-reported reason recorded in the tracker.</t>
        </is>
      </c>
      <c r="D130" s="41" t="inlineStr">
        <is>
          <t>Use only when supported by Comments and Missed_Flag</t>
        </is>
      </c>
      <c r="E130" s="41" t="inlineStr">
        <is>
          <t>Reason</t>
        </is>
      </c>
    </row>
    <row r="131" ht="30.75" customHeight="1">
      <c r="A131" s="42" t="inlineStr">
        <is>
          <t>Reason label</t>
        </is>
      </c>
      <c r="B131" s="41" t="inlineStr">
        <is>
          <t>Severity / consolidation handling concern</t>
        </is>
      </c>
      <c r="C131" s="41" t="inlineStr">
        <is>
          <t>Customer questioned the severity level or consolidation of event coverage.</t>
        </is>
      </c>
      <c r="D131" s="41" t="inlineStr">
        <is>
          <t>Use only when supported by Comments and Missed_Flag</t>
        </is>
      </c>
      <c r="E131" s="41" t="inlineStr">
        <is>
          <t>Reason</t>
        </is>
      </c>
    </row>
    <row r="132" ht="30.75" customHeight="1">
      <c r="A132" s="42" t="inlineStr">
        <is>
          <t>Reason label</t>
        </is>
      </c>
      <c r="B132" s="41" t="inlineStr">
        <is>
          <t>Supplier Impact Mapping Clarification</t>
        </is>
      </c>
      <c r="C132" s="41" t="inlineStr">
        <is>
          <t>Customer requested explanation of why suppliers were included or excluded from the impact area.</t>
        </is>
      </c>
      <c r="D132" s="41" t="inlineStr">
        <is>
          <t>Use only when supported by Comments and Missed_Flag</t>
        </is>
      </c>
      <c r="E132" s="41" t="inlineStr">
        <is>
          <t>Reason</t>
        </is>
      </c>
    </row>
    <row r="133" ht="30.75" customHeight="1">
      <c r="A133" s="42" t="inlineStr">
        <is>
          <t>Reason label</t>
        </is>
      </c>
      <c r="B133" s="41" t="inlineStr">
        <is>
          <t>WarRoom not created despite nationwide disruption</t>
        </is>
      </c>
      <c r="C133" s="41" t="inlineStr">
        <is>
          <t>Expected EventWatch coverage, alerting, notification, or WarRoom action did not occur.</t>
        </is>
      </c>
      <c r="D133" s="41" t="inlineStr">
        <is>
          <t>Use only when supported by Comments and Missed_Flag</t>
        </is>
      </c>
      <c r="E133" s="41" t="inlineStr">
        <is>
          <t>Reason</t>
        </is>
      </c>
    </row>
    <row r="134" ht="30.75" customHeight="1">
      <c r="A134" s="42" t="inlineStr">
        <is>
          <t>Reason label</t>
        </is>
      </c>
      <c r="B134" s="41" t="inlineStr">
        <is>
          <t>WarRoom not visible in customer profile</t>
        </is>
      </c>
      <c r="C134" s="41" t="inlineStr">
        <is>
          <t>Published content was not visible in the customer profile or portal.</t>
        </is>
      </c>
      <c r="D134" s="41" t="inlineStr">
        <is>
          <t>Use only when supported by Comments and Missed_Flag</t>
        </is>
      </c>
      <c r="E134" s="41" t="inlineStr">
        <is>
          <t>Reason</t>
        </is>
      </c>
    </row>
    <row r="135" ht="30.75" customHeight="1">
      <c r="A135" s="42" t="inlineStr">
        <is>
          <t>Reason label</t>
        </is>
      </c>
      <c r="B135" s="41" t="inlineStr">
        <is>
          <t>WarRoom should have been created but was not</t>
        </is>
      </c>
      <c r="C135" s="41" t="inlineStr">
        <is>
          <t>Available information met the escalation criteria, but the required WarRoom was not created.</t>
        </is>
      </c>
      <c r="D135" s="41" t="inlineStr">
        <is>
          <t>Use only when supported by Comments and Missed_Flag</t>
        </is>
      </c>
      <c r="E135" s="41" t="inlineStr">
        <is>
          <t>Reason</t>
        </is>
      </c>
    </row>
    <row r="136" ht="30.75" customHeight="1">
      <c r="A136" s="42" t="inlineStr">
        <is>
          <t>Reason label</t>
        </is>
      </c>
      <c r="B136" s="41" t="inlineStr">
        <is>
          <t>WarRoom visibility affected by customer profile filters</t>
        </is>
      </c>
      <c r="C136" s="41" t="inlineStr">
        <is>
          <t>Published content was not visible in the customer profile or portal.</t>
        </is>
      </c>
      <c r="D136" s="41" t="inlineStr">
        <is>
          <t>Use only when supported by Comments and Missed_Flag</t>
        </is>
      </c>
      <c r="E136" s="41" t="inlineStr">
        <is>
          <t>Reason</t>
        </is>
      </c>
    </row>
    <row r="137" ht="30.75" customHeight="1">
      <c r="A137" s="42" t="inlineStr">
        <is>
          <t>Reason label</t>
        </is>
      </c>
      <c r="B137" s="41" t="inlineStr">
        <is>
          <t>Wrong Relevancy</t>
        </is>
      </c>
      <c r="C137" s="41" t="inlineStr">
        <is>
          <t>The relevance classification of an event or alert was disputed or incorrect.</t>
        </is>
      </c>
      <c r="D137" s="41" t="inlineStr">
        <is>
          <t>Use only when supported by Comments and Missed_Flag</t>
        </is>
      </c>
      <c r="E137" s="41" t="inlineStr">
        <is>
          <t>Reason</t>
        </is>
      </c>
    </row>
    <row r="138" ht="30.75" customHeight="1">
      <c r="A138" s="42" t="inlineStr">
        <is>
          <t>Event type</t>
        </is>
      </c>
      <c r="B138" s="41" t="inlineStr">
        <is>
          <t>Hurricane/Typhoon</t>
        </is>
      </c>
      <c r="C138" s="41" t="inlineStr">
        <is>
          <t>Tropical cyclone classified as a hurricane or typhoon, with potential geographic, operational, or supply-chain impact.</t>
        </is>
      </c>
      <c r="D138" s="41" t="inlineStr">
        <is>
          <t>Use specifically for hurricanes and typhoons rather than the broader Extreme Weather category.</t>
        </is>
      </c>
      <c r="E138" s="41" t="inlineStr">
        <is>
          <t>Event type</t>
        </is>
      </c>
    </row>
    <row r="139" ht="30.75" customHeight="1">
      <c r="A139" s="42" t="inlineStr">
        <is>
          <t>Event type</t>
        </is>
      </c>
      <c r="B139" s="41" t="inlineStr">
        <is>
          <t>Other</t>
        </is>
      </c>
      <c r="C139" s="41" t="inlineStr">
        <is>
          <t>Event or inquiry category that does not fit any available standardized Event type.</t>
        </is>
      </c>
      <c r="D139" s="41" t="inlineStr">
        <is>
          <t>Use only when no specific standard category applies; explain the subject in the title and comments.</t>
        </is>
      </c>
      <c r="E139" s="41" t="inlineStr">
        <is>
          <t>Event type</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