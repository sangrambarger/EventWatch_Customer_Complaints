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9</v>
                </pt>
                <pt idx="2">
                  <v>13</v>
                </pt>
                <pt idx="3">
                  <v>12</v>
                </pt>
                <pt idx="4">
                  <v>17</v>
                </pt>
                <pt idx="5">
                  <v>9</v>
                </pt>
                <pt idx="6">
                  <v>6</v>
                </pt>
                <pt idx="7">
                  <v>13</v>
                </pt>
                <pt idx="8">
                  <v>11</v>
                </pt>
                <pt idx="9">
                  <v>0</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0</v>
                </pt>
                <pt idx="2">
                  <v>1</v>
                </pt>
                <pt idx="3">
                  <v>1</v>
                </pt>
                <pt idx="4">
                  <v>1</v>
                </pt>
                <pt idx="5">
                  <v>3</v>
                </pt>
                <pt idx="6">
                  <v>5</v>
                </pt>
                <pt idx="7">
                  <v>4</v>
                </pt>
                <pt idx="8">
                  <v>5</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44</v>
                </pt>
                <pt idx="1">
                  <v>27</v>
                </pt>
                <pt idx="2">
                  <v>17</v>
                </pt>
                <pt idx="3">
                  <v>6</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5</v>
                </pt>
                <pt idx="2">
                  <v>98</v>
                </pt>
                <pt idx="3">
                  <v>11</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55</v>
                </pt>
                <pt idx="1">
                  <v>32</v>
                </pt>
                <pt idx="2">
                  <v>7</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Hitachi</v>
                </pt>
                <pt idx="7">
                  <v>Merck</v>
                </pt>
                <pt idx="8">
                  <v>Schneider Electric</v>
                </pt>
                <pt idx="9">
                  <v>UVM Health Network</v>
                </pt>
                <pt idx="10">
                  <v>Other customers</v>
                </pt>
              </strCache>
            </strRef>
          </cat>
          <val>
            <numRef>
              <f>Dashboard!$B$67:$B$77</f>
              <numCache>
                <formatCode>General</formatCode>
                <ptCount val="11"/>
                <pt idx="0">
                  <v>33</v>
                </pt>
                <pt idx="1">
                  <v>13</v>
                </pt>
                <pt idx="2">
                  <v>7</v>
                </pt>
                <pt idx="3">
                  <v>4</v>
                </pt>
                <pt idx="4">
                  <v>4</v>
                </pt>
                <pt idx="5">
                  <v>3</v>
                </pt>
                <pt idx="6">
                  <v>2</v>
                </pt>
                <pt idx="7">
                  <v>2</v>
                </pt>
                <pt idx="8">
                  <v>2</v>
                </pt>
                <pt idx="9">
                  <v>2</v>
                </pt>
                <pt idx="10">
                  <v>22</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27</v>
                </pt>
                <pt idx="1">
                  <v>34</v>
                </pt>
                <pt idx="2">
                  <v>3</v>
                </pt>
                <pt idx="3">
                  <v>7</v>
                </pt>
                <pt idx="4">
                  <v>7</v>
                </pt>
                <pt idx="5">
                  <v>4</v>
                </pt>
                <pt idx="6">
                  <v>3</v>
                </pt>
                <pt idx="7">
                  <v>2</v>
                </pt>
                <pt idx="8">
                  <v>7</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15"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1"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15"/>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Dynamic Source Discovery</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Complaint</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Inquiry</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People</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Dynamic Source Discovery</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Source coverage expansion</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Dynamic Source Discovery</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Event Identification</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Event Identification</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Event Identification</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Complaint</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Event Identification</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Event Identification</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Event Identification</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Coverage Verification Request</t>
        </is>
      </c>
      <c r="I48" s="33" t="inlineStr">
        <is>
          <t>Process</t>
        </is>
      </c>
      <c r="J48" s="33" t="inlineStr">
        <is>
          <t>Process Clarification</t>
        </is>
      </c>
      <c r="K48" s="33" t="inlineStr">
        <is>
          <t>Improvement</t>
        </is>
      </c>
      <c r="L48" s="33" t="inlineStr">
        <is>
          <t>Clarification Provided</t>
        </is>
      </c>
      <c r="M48" s="33" t="inlineStr">
        <is>
          <t>Relevancy logic review</t>
        </is>
      </c>
      <c r="N48" s="33" t="inlineStr">
        <is>
          <t>Yes</t>
        </is>
      </c>
      <c r="O48" s="33" t="inlineStr">
        <is>
          <t>Customer asked RCA for Axios npm compromise; classified not relevant based on mapping + no operational disruption.</t>
        </is>
      </c>
      <c r="P48" s="33" t="n"/>
      <c r="Q48" s="33" t="inlineStr">
        <is>
          <t>No</t>
        </is>
      </c>
      <c r="R48" s="39" t="n">
        <v>5</v>
      </c>
      <c r="S48" s="39" t="n"/>
      <c r="T48" s="35" t="n">
        <v>46143</v>
      </c>
      <c r="U48" s="33" t="inlineStr">
        <is>
          <t>Medium</t>
        </is>
      </c>
      <c r="V48" s="33" t="inlineStr">
        <is>
          <t>Other Control Automation</t>
        </is>
      </c>
      <c r="X48" s="33" t="n"/>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Process Clarification</t>
        </is>
      </c>
      <c r="K52" s="33" t="inlineStr">
        <is>
          <t>Improvement</t>
        </is>
      </c>
      <c r="L52" s="33" t="inlineStr">
        <is>
          <t>Clarification Provided</t>
        </is>
      </c>
      <c r="M52" s="33" t="inlineStr">
        <is>
          <t>Mapping validation</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Entity &amp; Supplier Resolution</t>
        </is>
      </c>
      <c r="X52" s="33" t="n"/>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Cluster Integrity &amp; Duplicate Prevention</t>
        </is>
      </c>
      <c r="W70" s="33" t="inlineStr">
        <is>
          <t>EAO-5</t>
        </is>
      </c>
      <c r="X70"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Event Identification</t>
        </is>
      </c>
      <c r="K72" s="33" t="inlineStr">
        <is>
          <t>Improvement</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Dynamic Source Discovery</t>
        </is>
      </c>
      <c r="W72" s="33" t="inlineStr">
        <is>
          <t>EAO-12</t>
        </is>
      </c>
      <c r="X72" s="33" t="inlineStr">
        <is>
          <t>Feeds covering the BorgWarner Vigo indefinite strike were in the public domain from 26-Jun-2026 but were not captured on the portal until 1 July; Engineering was asked to investigate why the 26-27 June sources were missed. RCA approved and shared 09-Jul-2026.</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Product</t>
        </is>
      </c>
      <c r="J73" s="33" t="inlineStr">
        <is>
          <t>Policy/Logic</t>
        </is>
      </c>
      <c r="K73" s="33" t="inlineStr">
        <is>
          <t>Improvement</t>
        </is>
      </c>
      <c r="L73" s="33" t="inlineStr">
        <is>
          <t>RCA Shared</t>
        </is>
      </c>
      <c r="M73"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3" s="33" t="inlineStr">
        <is>
          <t>Yes</t>
        </is>
      </c>
      <c r="O73" s="33" t="inlineStr">
        <is>
          <t>Customer reported a fire at FXI, a Tier 2 supplier, causing a Force Majeure at Sage Automotive Interiors, with no matching EventWatch notification. Established as a relevance-scoring weakness rather than an analyst error: the event was captured, classified Not Impactful because the company was unmapped, and the analyst review concurred. Resilinc accepted the customer's challenge to the methodology, issued an ICA on 17-Jul-2026 adding a manual review for major industrial incidents initially classified Not Impactful, and committed to a PCA enhancing the AI relevance-scoring models by end July 2026.</t>
        </is>
      </c>
      <c r="P73" s="33" t="n"/>
      <c r="Q73" s="33" t="inlineStr">
        <is>
          <t>Yes</t>
        </is>
      </c>
      <c r="R73" s="39" t="n">
        <v>7</v>
      </c>
      <c r="S73" s="39" t="n"/>
      <c r="T73" s="35" t="n">
        <v>46204</v>
      </c>
      <c r="U73" s="33" t="inlineStr">
        <is>
          <t>Medium</t>
        </is>
      </c>
      <c r="V73" s="33" t="inlineStr">
        <is>
          <t>WarRoom &amp; Decision Validation</t>
        </is>
      </c>
      <c r="W73" s="33" t="inlineStr">
        <is>
          <t>EAO-13</t>
        </is>
      </c>
      <c r="X73" s="33" t="inlineStr">
        <is>
          <t>A methodology weakness that Resilinc accepted, not an analyst error. EventWatch did capture multiple public reports of the 28-Jun-2026 fire at the foam manufacturing facility in Cuautitlan Izcalli, Mexico. The AI classification models then categorised it Not Impactful on three grounds: the company was not a mapped supplier in the database, no mapped supplier sites sat near the incident, and public reporting described a mattress/foam plant fire with no confirmed downstream impact. The reporting team reviewed the captured articles under human-in-the-loop validation and concurred, so nothing was published. The Force Majeure that Sage Automotive Interiors issued could not be confirmed in English or Spanish public sources and appears to have gone through direct supplier channels, so EventWatch could not publish it either; a monitoring record was created to catch any public confirmation. The customer challenged the methodology itself - why supplier presence in an internal database filters an assessment that is meant to rest on public information - and Resilinc agreed the observation was right. Interim corrective action, in force now: major industrial incidents at manufacturing facilities initially classified Not Impactful get an additional manual review, and are no longer closed solely on the absence of mapped suppliers or immediately confirmed downstream impact; analysts weigh facility type, manufacturing activity, incident severity, industry relevance and downstream potential before the publication decision. Permanent corrective action: the AI relevance-scoring models are being enhanced so supplier mapping is no longer a dominant factor, shared with Data Science and on the AI roadmap, targeted for deployment by end July 2026, at which point the interim manual control folds into the automated decision.</t>
        </is>
      </c>
      <c r="Y73" s="33" t="inlineStr">
        <is>
          <t>Product &amp; Platform</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Inquiry</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Litigation/Legal</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Inquiry</t>
        </is>
      </c>
      <c r="H82" s="33" t="inlineStr">
        <is>
          <t>Wrong Relevancy</t>
        </is>
      </c>
      <c r="I82" s="33" t="inlineStr">
        <is>
          <t>Process</t>
        </is>
      </c>
      <c r="J82" s="33" t="inlineStr">
        <is>
          <t>Policy/Logic</t>
        </is>
      </c>
      <c r="K82" s="33" t="inlineStr">
        <is>
          <t>Improvement</t>
        </is>
      </c>
      <c r="L82" s="33" t="inlineStr">
        <is>
          <t>Clarification Provided</t>
        </is>
      </c>
      <c r="M82" s="33" t="inlineStr">
        <is>
          <t>A feedback path from a disputed Not Impactful classification back into the reporting criteria, so a customer telling us a government-services disruption does affect them tunes the model rather than closing as no further context</t>
        </is>
      </c>
      <c r="N82" s="33" t="inlineStr">
        <is>
          <t>No</t>
        </is>
      </c>
      <c r="O82" s="33" t="inlineStr">
        <is>
          <t>Staged from Jira EAO-22 (Done). Eaton reported the July 14-16 ANCPI (Romania land registry) cyberattack had no corresponding WarRoom or news on the portal; RCA requested if it was in scope.</t>
        </is>
      </c>
      <c r="Q82" s="33" t="inlineStr">
        <is>
          <t>No</t>
        </is>
      </c>
      <c r="R82" s="39" t="n">
        <v>7</v>
      </c>
      <c r="T82" s="35" t="n">
        <v>46204</v>
      </c>
      <c r="U82" s="33" t="inlineStr">
        <is>
          <t>Medium</t>
        </is>
      </c>
      <c r="V82" s="33" t="inlineStr">
        <is>
          <t>WarRoom &amp; Decision Validation</t>
        </is>
      </c>
      <c r="W82" s="33" t="inlineStr">
        <is>
          <t>EAO-22</t>
        </is>
      </c>
      <c r="X82"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2" s="33" t="inlineStr">
        <is>
          <t>EventWatch Ops - Nitin Rindhe</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Inquiry</t>
        </is>
      </c>
      <c r="H83" s="33" t="inlineStr">
        <is>
          <t>Coverage Verification Request</t>
        </is>
      </c>
      <c r="I83" s="33" t="inlineStr">
        <is>
          <t>Process</t>
        </is>
      </c>
      <c r="J83" s="33" t="inlineStr">
        <is>
          <t>Process Clarification</t>
        </is>
      </c>
      <c r="K83" s="33" t="inlineStr">
        <is>
          <t>Improvement</t>
        </is>
      </c>
      <c r="L83" s="33" t="inlineStr">
        <is>
          <t>Clarification Provided</t>
        </is>
      </c>
      <c r="M83" s="33" t="inlineStr">
        <is>
          <t>A customer-reported event with no public source should register as a monitoring story the customer can see, and publish automatically once a credible public source appears, rather than the customer having to ask again</t>
        </is>
      </c>
      <c r="N83" s="33" t="inlineStr">
        <is>
          <t>No</t>
        </is>
      </c>
      <c r="O83" s="33" t="inlineStr">
        <is>
          <t>EAO-24: No proactive alert was generated for the July 21 fire. Customer requested RCA, ICA, and PCA for the missed coverage. RCA shared.</t>
        </is>
      </c>
      <c r="P83" s="33" t="n"/>
      <c r="Q83" s="33" t="inlineStr">
        <is>
          <t>No</t>
        </is>
      </c>
      <c r="R83" s="39" t="n">
        <v>8</v>
      </c>
      <c r="S83" s="39" t="n"/>
      <c r="T83" s="35" t="n">
        <v>46235</v>
      </c>
      <c r="U83" s="33" t="inlineStr">
        <is>
          <t>Medium</t>
        </is>
      </c>
      <c r="V83" s="33" t="inlineStr">
        <is>
          <t>Other Control Automation</t>
        </is>
      </c>
      <c r="W83" s="33" t="inlineStr">
        <is>
          <t>EAO-24</t>
        </is>
      </c>
      <c r="X83"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3" s="33" t="inlineStr">
        <is>
          <t>EventWatch Ops - Nitin Rindhe</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inlineStr">
        <is>
          <t>A data hygiene defect on the EventWatch side: leading and trailing spaces in the values the Disruption Agent matched on. They were stripped under TENAR-45367 and the fix was verified on stage on 07-Aug-2026.</t>
        </is>
      </c>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46251</v>
      </c>
      <c r="C88" s="33" t="inlineStr">
        <is>
          <t>Geopolitical</t>
        </is>
      </c>
      <c r="D88" s="33" t="inlineStr">
        <is>
          <t>Ford</t>
        </is>
      </c>
      <c r="E88" s="39" t="n">
        <v>1</v>
      </c>
      <c r="F88" s="33" t="inlineStr">
        <is>
          <t>Ceuta Border Security &amp; Humanitarian Crisis</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WarRoom Trigger Automation</t>
        </is>
      </c>
      <c r="N88" s="33" t="inlineStr">
        <is>
          <t>Yes</t>
        </is>
      </c>
      <c r="O88" s="33" t="inlineStr">
        <is>
          <t>EAO-27: Customer reported a missed EventWatch alert and requested an update. RCA shared following review of the event.</t>
        </is>
      </c>
      <c r="P88" s="33" t="n"/>
      <c r="Q88" s="33" t="inlineStr">
        <is>
          <t>Yes</t>
        </is>
      </c>
      <c r="R88" s="39" t="n">
        <v>8</v>
      </c>
      <c r="S88" s="39" t="n"/>
      <c r="T88" s="35" t="n">
        <v>46235</v>
      </c>
      <c r="U88" s="33" t="inlineStr">
        <is>
          <t>Medium</t>
        </is>
      </c>
      <c r="V88" s="33" t="inlineStr">
        <is>
          <t>WarRoom &amp; Decision Validation</t>
        </is>
      </c>
      <c r="W88" s="33" t="inlineStr">
        <is>
          <t>EAO-27</t>
        </is>
      </c>
      <c r="X88" s="33" t="inlineStr">
        <is>
          <t>RCA reviewed and sent to the customer on 20-Aug-2026 as a PDF attached to EAO-27; the document text is not in the ticket. Closed 25-Aug-2026 after no customer follow-up.</t>
        </is>
      </c>
      <c r="Y88" s="33" t="inlineStr">
        <is>
          <t>EventWatch Ops - Nitin Rindhe</t>
        </is>
      </c>
      <c r="Z88" s="37" t="n">
        <v>46259</v>
      </c>
    </row>
    <row r="89">
      <c r="A89" s="35" t="n">
        <v>46235</v>
      </c>
      <c r="B89" s="37" t="n">
        <v>46251</v>
      </c>
      <c r="C89" s="33" t="inlineStr">
        <is>
          <t>Transport Disruption</t>
        </is>
      </c>
      <c r="D89" s="33" t="inlineStr">
        <is>
          <t>Eaton</t>
        </is>
      </c>
      <c r="E89" s="39" t="n">
        <v>1</v>
      </c>
      <c r="F89" s="33" t="inlineStr">
        <is>
          <t>Kandla Port Cargo Congestion – Supplier Impact Notification Clarification (Eaton)</t>
        </is>
      </c>
      <c r="G89" s="33" t="inlineStr">
        <is>
          <t>Inquiry</t>
        </is>
      </c>
      <c r="H89" s="33" t="inlineStr">
        <is>
          <t>Supplier Impact Mapping Clarification</t>
        </is>
      </c>
      <c r="I89" s="33" t="inlineStr">
        <is>
          <t>Process</t>
        </is>
      </c>
      <c r="J89" s="33" t="inlineStr">
        <is>
          <t>Mapping</t>
        </is>
      </c>
      <c r="K89" s="33" t="inlineStr">
        <is>
          <t>Improvement</t>
        </is>
      </c>
      <c r="L89" s="33" t="inlineStr">
        <is>
          <t>Clarification Provided</t>
        </is>
      </c>
      <c r="M89" s="33" t="inlineStr">
        <is>
          <t>Impact-confirmation notification criteria documentation for port/logistics bulletins</t>
        </is>
      </c>
      <c r="N89" s="33" t="inlineStr">
        <is>
          <t>No</t>
        </is>
      </c>
      <c r="O89" s="33" t="inlineStr">
        <is>
          <t>Staged from Jira EAO-28 (Done). Eaton asked what criteria triggered impact-confirmation notifications to Eaton suppliers on the Kandla Port cargo congestion bulletin, since the bulletin text focused on rice exports.</t>
        </is>
      </c>
      <c r="Q89" s="33" t="inlineStr">
        <is>
          <t>No</t>
        </is>
      </c>
      <c r="R89" s="39" t="n">
        <v>8</v>
      </c>
      <c r="T89" s="35" t="n">
        <v>46235</v>
      </c>
      <c r="U89" s="33" t="inlineStr">
        <is>
          <t>Low</t>
        </is>
      </c>
      <c r="V89" s="33" t="inlineStr">
        <is>
          <t>Entity &amp; Supplier Resolution</t>
        </is>
      </c>
      <c r="W89" s="33" t="inlineStr">
        <is>
          <t>EAO-28</t>
        </is>
      </c>
      <c r="X89"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89" s="33" t="inlineStr">
        <is>
          <t>EventWatch Ops - Nitin Rindhe</t>
        </is>
      </c>
      <c r="Z89" s="37" t="n">
        <v>46259</v>
      </c>
    </row>
    <row r="90">
      <c r="A90" s="35" t="n">
        <v>46235</v>
      </c>
      <c r="B90" s="37" t="n">
        <v>46252</v>
      </c>
      <c r="C90" s="33" t="inlineStr">
        <is>
          <t>Factory Fire</t>
        </is>
      </c>
      <c r="D90" s="33" t="inlineStr">
        <is>
          <t>Ford</t>
        </is>
      </c>
      <c r="E90" s="39" t="n">
        <v>1</v>
      </c>
      <c r="F90" s="33" t="inlineStr">
        <is>
          <t>Sasol Polyethylene Plant Fire / Shutdown</t>
        </is>
      </c>
      <c r="G90" s="33" t="inlineStr">
        <is>
          <t>Complaint</t>
        </is>
      </c>
      <c r="H90" s="33" t="inlineStr">
        <is>
          <t>Missed Event</t>
        </is>
      </c>
      <c r="I90" s="33" t="inlineStr">
        <is>
          <t>Product</t>
        </is>
      </c>
      <c r="J90" s="33" t="inlineStr">
        <is>
          <t>Source Coverage</t>
        </is>
      </c>
      <c r="K90" s="33" t="inlineStr">
        <is>
          <t>Improvement</t>
        </is>
      </c>
      <c r="L90" s="33" t="inlineStr">
        <is>
          <t>RCA Shared</t>
        </is>
      </c>
      <c r="M90" s="33" t="inlineStr">
        <is>
          <t>Dynamic Source Discovery</t>
        </is>
      </c>
      <c r="N90" s="33" t="inlineStr">
        <is>
          <t>Yes</t>
        </is>
      </c>
      <c r="O90" s="33" t="inlineStr">
        <is>
          <t>EAO-26: Customer reported a missed EventWatch alert for the Sasol polyethylene plant fire and shutdown. Investigation and RCA were requested; RCA shared.</t>
        </is>
      </c>
      <c r="P90" s="33" t="n"/>
      <c r="Q90" s="33" t="inlineStr">
        <is>
          <t>Yes</t>
        </is>
      </c>
      <c r="R90" s="39" t="n">
        <v>8</v>
      </c>
      <c r="S90" s="39" t="n"/>
      <c r="T90" s="35" t="n">
        <v>46235</v>
      </c>
      <c r="U90" s="33" t="inlineStr">
        <is>
          <t>Medium</t>
        </is>
      </c>
      <c r="V90" s="33" t="inlineStr">
        <is>
          <t>Dynamic Source Discovery</t>
        </is>
      </c>
      <c r="W90" s="33" t="inlineStr">
        <is>
          <t>EAO-26</t>
        </is>
      </c>
      <c r="X90" s="33" t="inlineStr">
        <is>
          <t>RCA reviewed and sent to the customer on 20-Aug-2026 as a PDF attached to EAO-26; the document text is not in the ticket. Closed 25-Aug-2026 after no customer follow-up.</t>
        </is>
      </c>
      <c r="Y90" s="33" t="inlineStr">
        <is>
          <t>Product &amp; Platform</t>
        </is>
      </c>
      <c r="Z90" s="37" t="n">
        <v>46259</v>
      </c>
    </row>
    <row r="91">
      <c r="A91" s="35" t="n">
        <v>46235</v>
      </c>
      <c r="B91" s="37" t="n">
        <v>46254</v>
      </c>
      <c r="C91" s="33" t="inlineStr">
        <is>
          <t>Hurricane/Typhoon</t>
        </is>
      </c>
      <c r="D91" s="33" t="inlineStr">
        <is>
          <t>Ford</t>
        </is>
      </c>
      <c r="E91" s="39" t="n">
        <v>1</v>
      </c>
      <c r="F91" s="33" t="inlineStr">
        <is>
          <t>Typhoon Dolphin Bulletins Distributed Across Two WarRooms</t>
        </is>
      </c>
      <c r="G91" s="33" t="inlineStr">
        <is>
          <t>Inquiry</t>
        </is>
      </c>
      <c r="H91" s="33" t="inlineStr">
        <is>
          <t>Coverage Verification Request</t>
        </is>
      </c>
      <c r="I91" s="33" t="inlineStr">
        <is>
          <t>Process</t>
        </is>
      </c>
      <c r="J91" s="33" t="inlineStr">
        <is>
          <t>Policy/Logic</t>
        </is>
      </c>
      <c r="K91" s="33" t="inlineStr">
        <is>
          <t>Improvement</t>
        </is>
      </c>
      <c r="L91" s="33" t="inlineStr">
        <is>
          <t>Clarification Provided</t>
        </is>
      </c>
      <c r="M91" s="33" t="inlineStr">
        <is>
          <t>Make the shared update sequence legible on the bulletin itself, so a jump from Update 2 to Update 5 in one country's WarRoom shows which storm-lifecycle updates ran under the other WarRooms instead of reading as missing bulletins</t>
        </is>
      </c>
      <c r="N91" s="33" t="inlineStr">
        <is>
          <t>No</t>
        </is>
      </c>
      <c r="O91" s="33" t="inlineStr">
        <is>
          <t>EAO-29: Bulletins were distributed across two WarRooms, resulting in gaps in the update sequence. Customer requested RCA; RCA shared.</t>
        </is>
      </c>
      <c r="P91" s="33" t="n"/>
      <c r="Q91" s="33" t="inlineStr">
        <is>
          <t>No</t>
        </is>
      </c>
      <c r="R91" s="39" t="n">
        <v>8</v>
      </c>
      <c r="S91" s="39" t="n"/>
      <c r="T91" s="35" t="n">
        <v>46235</v>
      </c>
      <c r="U91" s="33" t="inlineStr">
        <is>
          <t>Low</t>
        </is>
      </c>
      <c r="V91" s="33" t="inlineStr">
        <is>
          <t>Other Control Automation</t>
        </is>
      </c>
      <c r="W91" s="33" t="inlineStr">
        <is>
          <t>EAO-29</t>
        </is>
      </c>
      <c r="X91"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1" s="33" t="inlineStr">
        <is>
          <t>EventWatch Ops - Nitin Rindhe</t>
        </is>
      </c>
      <c r="Z91" s="37" t="n">
        <v>46272</v>
      </c>
    </row>
    <row r="92">
      <c r="A92" s="35" t="n">
        <v>46235</v>
      </c>
      <c r="B92" s="37" t="n">
        <v>46255</v>
      </c>
      <c r="C92" s="33" t="inlineStr">
        <is>
          <t>Transport Disruption</t>
        </is>
      </c>
      <c r="D92" s="33" t="inlineStr">
        <is>
          <t>Ford/GM</t>
        </is>
      </c>
      <c r="E92" s="39" t="n">
        <v>2</v>
      </c>
      <c r="F92" s="33" t="inlineStr">
        <is>
          <t>World Trade Bridge Closed in Laredo, Texas</t>
        </is>
      </c>
      <c r="G92" s="33" t="inlineStr">
        <is>
          <t>Complaint</t>
        </is>
      </c>
      <c r="H92" s="33" t="inlineStr">
        <is>
          <t>Missed Event</t>
        </is>
      </c>
      <c r="I92" s="33" t="inlineStr">
        <is>
          <t>Product</t>
        </is>
      </c>
      <c r="J92" s="33" t="inlineStr">
        <is>
          <t>Keyword Update</t>
        </is>
      </c>
      <c r="K92" s="33" t="inlineStr">
        <is>
          <t>Improvement</t>
        </is>
      </c>
      <c r="L92" s="33" t="inlineStr">
        <is>
          <t>Fixed</t>
        </is>
      </c>
      <c r="M92" s="33" t="inlineStr">
        <is>
          <t>Dynamic Source Discovery</t>
        </is>
      </c>
      <c r="N92" s="33" t="inlineStr">
        <is>
          <t>Yes</t>
        </is>
      </c>
      <c r="O92" s="33" t="inlineStr">
        <is>
          <t>EAO-25: Event was missed due to a keyword gap. Keyword was added and the article is now being captured.</t>
        </is>
      </c>
      <c r="P92" s="33" t="n"/>
      <c r="Q92" s="33" t="inlineStr">
        <is>
          <t>Yes</t>
        </is>
      </c>
      <c r="R92" s="39" t="n">
        <v>8</v>
      </c>
      <c r="S92" s="39" t="n"/>
      <c r="T92" s="35" t="n">
        <v>46235</v>
      </c>
      <c r="U92" s="33" t="inlineStr">
        <is>
          <t>Medium</t>
        </is>
      </c>
      <c r="V92" s="33" t="inlineStr">
        <is>
          <t>Dynamic Source Discovery</t>
        </is>
      </c>
      <c r="W92" s="33" t="inlineStr">
        <is>
          <t>EAO-25</t>
        </is>
      </c>
      <c r="X92"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2" s="33" t="inlineStr">
        <is>
          <t>Product &amp; Platform</t>
        </is>
      </c>
      <c r="Z92" s="37" t="n"/>
    </row>
    <row r="93">
      <c r="A93" s="35" t="n">
        <v>46235</v>
      </c>
      <c r="B93" s="37" t="n">
        <v>46255</v>
      </c>
      <c r="C93" s="33" t="inlineStr">
        <is>
          <t>Factory Fire</t>
        </is>
      </c>
      <c r="D93" s="33" t="inlineStr">
        <is>
          <t>Ford/GM</t>
        </is>
      </c>
      <c r="E93" s="39" t="n">
        <v>2</v>
      </c>
      <c r="F93" s="33" t="inlineStr">
        <is>
          <t>Fire at FXI de Cuautitlán, S.A. de C.V.</t>
        </is>
      </c>
      <c r="G93" s="33" t="inlineStr">
        <is>
          <t>Complaint</t>
        </is>
      </c>
      <c r="H93" s="33" t="inlineStr">
        <is>
          <t>Missed Event</t>
        </is>
      </c>
      <c r="I93" s="33" t="inlineStr">
        <is>
          <t>Product</t>
        </is>
      </c>
      <c r="J93" s="33" t="inlineStr">
        <is>
          <t>Source Coverage</t>
        </is>
      </c>
      <c r="K93" s="33" t="inlineStr">
        <is>
          <t>Improvement</t>
        </is>
      </c>
      <c r="L93" s="33" t="inlineStr">
        <is>
          <t>RCA Shared</t>
        </is>
      </c>
      <c r="M93" s="33" t="inlineStr">
        <is>
          <t>Dynamic Source Discovery</t>
        </is>
      </c>
      <c r="N93" s="33" t="inlineStr">
        <is>
          <t>Yes</t>
        </is>
      </c>
      <c r="O93" s="33" t="inlineStr">
        <is>
          <t>EAO-25: Event was not captured by the vendor due to a source coverage gap. Vendor was asked to add the sources to its network. RCA shared based on the investigation trail.</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46258</v>
      </c>
      <c r="C94" s="33" t="inlineStr">
        <is>
          <t>Factory Fire</t>
        </is>
      </c>
      <c r="D94" s="33" t="inlineStr">
        <is>
          <t>Ford/GM</t>
        </is>
      </c>
      <c r="E94" s="39" t="n">
        <v>2</v>
      </c>
      <c r="F94" s="33" t="inlineStr">
        <is>
          <t>Fire at Nemak Factory in Monterrey, Mexico</t>
        </is>
      </c>
      <c r="G94" s="33" t="inlineStr">
        <is>
          <t>Complaint</t>
        </is>
      </c>
      <c r="H94" s="33" t="inlineStr">
        <is>
          <t>Missed Event</t>
        </is>
      </c>
      <c r="I94" s="33" t="inlineStr">
        <is>
          <t>People</t>
        </is>
      </c>
      <c r="J94" s="33" t="inlineStr">
        <is>
          <t>Review</t>
        </is>
      </c>
      <c r="K94" s="33" t="inlineStr">
        <is>
          <t>Improvement</t>
        </is>
      </c>
      <c r="L94" s="33" t="inlineStr">
        <is>
          <t>RCA Shared</t>
        </is>
      </c>
      <c r="M94" s="33" t="inlineStr">
        <is>
          <t>Not Impactful Decision Validation</t>
        </is>
      </c>
      <c r="N94" s="33" t="inlineStr">
        <is>
          <t>Yes</t>
        </is>
      </c>
      <c r="O94" s="33" t="inlineStr">
        <is>
          <t>EAO-25: News processing captured the article and attached it to an updated factory-fire cluster. The event was later marked Not Impactful by the analyst. RCA shared based on the investigation trail.</t>
        </is>
      </c>
      <c r="P94" s="33" t="n"/>
      <c r="Q94" s="33" t="inlineStr">
        <is>
          <t>Yes</t>
        </is>
      </c>
      <c r="R94" s="39" t="n">
        <v>8</v>
      </c>
      <c r="S94" s="39" t="n"/>
      <c r="T94" s="35" t="n">
        <v>46235</v>
      </c>
      <c r="U94" s="33" t="inlineStr">
        <is>
          <t>Medium</t>
        </is>
      </c>
      <c r="V94" s="33" t="inlineStr">
        <is>
          <t>WarRoom &amp; Decision Validation</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EventWatch Ops - Nitin Rindhe</t>
        </is>
      </c>
      <c r="Z94" s="37" t="n"/>
    </row>
    <row r="95">
      <c r="A95" s="35" t="n">
        <v>46235</v>
      </c>
      <c r="B95" s="37" t="n">
        <v>46258</v>
      </c>
      <c r="C95" s="33" t="inlineStr">
        <is>
          <t>Cyber Attack</t>
        </is>
      </c>
      <c r="D95" s="33" t="inlineStr">
        <is>
          <t>The American National Red Cross</t>
        </is>
      </c>
      <c r="E95" s="39" t="n">
        <v>1</v>
      </c>
      <c r="F95" s="33" t="inlineStr">
        <is>
          <t>Uber Freight Investigates Reported Cyberattack After Hackers Claim Data Breach</t>
        </is>
      </c>
      <c r="G95" s="33" t="inlineStr">
        <is>
          <t>Complaint</t>
        </is>
      </c>
      <c r="H95" s="33" t="inlineStr">
        <is>
          <t>WarRoom not visible in customer profile</t>
        </is>
      </c>
      <c r="I95" s="33" t="inlineStr">
        <is>
          <t>Process</t>
        </is>
      </c>
      <c r="J95" s="33" t="inlineStr">
        <is>
          <t>Visibility</t>
        </is>
      </c>
      <c r="K95" s="33" t="inlineStr">
        <is>
          <t>Improvement</t>
        </is>
      </c>
      <c r="L95" s="33" t="inlineStr">
        <is>
          <t>RCA Shared</t>
        </is>
      </c>
      <c r="M95" s="33" t="inlineStr">
        <is>
          <t>Notification Visibility Monitoring</t>
        </is>
      </c>
      <c r="N95" s="33" t="inlineStr">
        <is>
          <t>No</t>
        </is>
      </c>
      <c r="O95" s="33" t="inlineStr">
        <is>
          <t>EAO-30: EventWatch news was published on August 13 but was not visible on the customer portal. Portal visibility investigation completed and clarification provided.</t>
        </is>
      </c>
      <c r="P95" s="33" t="n"/>
      <c r="Q95" s="33" t="inlineStr">
        <is>
          <t>Yes</t>
        </is>
      </c>
      <c r="R95" s="39" t="n">
        <v>8</v>
      </c>
      <c r="S95" s="39" t="n"/>
      <c r="T95" s="35" t="n">
        <v>46235</v>
      </c>
      <c r="U95" s="33" t="inlineStr">
        <is>
          <t>Medium</t>
        </is>
      </c>
      <c r="V95" s="33" t="inlineStr">
        <is>
          <t>Notification Visibility Monitoring</t>
        </is>
      </c>
      <c r="W95" s="33" t="inlineStr">
        <is>
          <t>TS-22695</t>
        </is>
      </c>
      <c r="X95" s="33" t="n"/>
      <c r="Y95" s="33" t="inlineStr">
        <is>
          <t>EventWatch Ops - Nitin Rindhe</t>
        </is>
      </c>
      <c r="Z95" s="37" t="n"/>
    </row>
    <row r="96">
      <c r="A96" s="35" t="n">
        <v>46235</v>
      </c>
      <c r="B96" s="37" t="n">
        <v>46265</v>
      </c>
      <c r="C96" s="33" t="inlineStr">
        <is>
          <t>Cyber Attack</t>
        </is>
      </c>
      <c r="D96" s="33" t="inlineStr">
        <is>
          <t>Schneider Electric</t>
        </is>
      </c>
      <c r="E96" s="39" t="n">
        <v>1</v>
      </c>
      <c r="F96" s="33" t="inlineStr">
        <is>
          <t>Gindre India Data Breach – EventWatch Alert/WarRoom Missing</t>
        </is>
      </c>
      <c r="G96" s="33" t="inlineStr">
        <is>
          <t>Complaint</t>
        </is>
      </c>
      <c r="H96" s="33" t="inlineStr">
        <is>
          <t>Missed Event</t>
        </is>
      </c>
      <c r="I96" s="33" t="inlineStr">
        <is>
          <t>Product</t>
        </is>
      </c>
      <c r="J96" s="33" t="inlineStr">
        <is>
          <t>Source Coverage</t>
        </is>
      </c>
      <c r="K96" s="33" t="inlineStr">
        <is>
          <t>Improvement</t>
        </is>
      </c>
      <c r="L96" s="33" t="inlineStr">
        <is>
          <t>RCA Shared</t>
        </is>
      </c>
      <c r="M96" s="33" t="inlineStr">
        <is>
          <t>Dynamic Source Discovery</t>
        </is>
      </c>
      <c r="N96" s="33" t="inlineStr">
        <is>
          <t>Yes</t>
        </is>
      </c>
      <c r="O96" s="33" t="inlineStr">
        <is>
          <t>EAO-31: No corresponding EventWatch event or WarRoom was found for the reported data breach. Source coverage review completed and RCA shared.</t>
        </is>
      </c>
      <c r="P96" s="33" t="n"/>
      <c r="Q96" s="33" t="inlineStr">
        <is>
          <t>Yes</t>
        </is>
      </c>
      <c r="R96" s="39" t="n">
        <v>8</v>
      </c>
      <c r="S96" s="39" t="n"/>
      <c r="T96" s="35" t="n">
        <v>46235</v>
      </c>
      <c r="U96" s="33" t="inlineStr">
        <is>
          <t>Medium</t>
        </is>
      </c>
      <c r="V96" s="33" t="inlineStr">
        <is>
          <t>Dynamic Source Discovery</t>
        </is>
      </c>
      <c r="W96" s="33" t="inlineStr">
        <is>
          <t>EAO-31</t>
        </is>
      </c>
      <c r="X96" s="33" t="inlineStr">
        <is>
          <t>Feeds reporting the Qilin ransomware breach at Gindre India were not captured on the EventWatch portal; Engineering investigation requested 31-Aug-2026. RCA reviewed and shared with the customer 03-Sep-2026.</t>
        </is>
      </c>
      <c r="Y96" s="33" t="inlineStr">
        <is>
          <t>Product &amp; Platform</t>
        </is>
      </c>
      <c r="Z96" s="37" t="n">
        <v>46272</v>
      </c>
    </row>
    <row r="97">
      <c r="A97" s="35" t="n">
        <v>46235</v>
      </c>
      <c r="B97" s="37" t="n">
        <v>46265</v>
      </c>
      <c r="C97" s="33" t="inlineStr">
        <is>
          <t>Cyber Attack</t>
        </is>
      </c>
      <c r="D97" s="33" t="inlineStr">
        <is>
          <t>Merck</t>
        </is>
      </c>
      <c r="E97" s="39" t="n">
        <v>1</v>
      </c>
      <c r="F97" s="33" t="inlineStr">
        <is>
          <t>Baxter International Reports a Cybersecurity Incident</t>
        </is>
      </c>
      <c r="G97" s="33" t="inlineStr">
        <is>
          <t>Complaint</t>
        </is>
      </c>
      <c r="H97" s="33" t="inlineStr">
        <is>
          <t>Missed Event</t>
        </is>
      </c>
      <c r="I97" s="33" t="inlineStr">
        <is>
          <t>People</t>
        </is>
      </c>
      <c r="J97" s="33" t="inlineStr">
        <is>
          <t>Review</t>
        </is>
      </c>
      <c r="K97" s="33" t="inlineStr">
        <is>
          <t>Improvement</t>
        </is>
      </c>
      <c r="L97" s="33" t="inlineStr">
        <is>
          <t>RCA Shared</t>
        </is>
      </c>
      <c r="M97" s="33" t="inlineStr">
        <is>
          <t>Not Impactful Decision Validation</t>
        </is>
      </c>
      <c r="N97" s="33" t="inlineStr">
        <is>
          <t>Yes</t>
        </is>
      </c>
      <c r="O97" s="33" t="inlineStr">
        <is>
          <t>Customer reported the missed Baxter ransomware incident. EventWatch captured the report on August 14, but human review incorrectly marked it Not Impactful; the event was re-evaluated, a WarRoom was created, and an NC was raised.</t>
        </is>
      </c>
      <c r="P97" s="33" t="n"/>
      <c r="Q97" s="33" t="inlineStr">
        <is>
          <t>Yes</t>
        </is>
      </c>
      <c r="R97" s="39" t="n">
        <v>8</v>
      </c>
      <c r="S97" s="39" t="n"/>
      <c r="T97" s="35" t="n">
        <v>46235</v>
      </c>
      <c r="U97" s="33" t="inlineStr">
        <is>
          <t>Medium</t>
        </is>
      </c>
      <c r="V97" s="33" t="inlineStr">
        <is>
          <t>WarRoom &amp; Decision Validation</t>
        </is>
      </c>
      <c r="X97" s="33" t="n"/>
      <c r="Y97" s="33" t="inlineStr">
        <is>
          <t>EventWatch Ops - Nitin Rindhe</t>
        </is>
      </c>
      <c r="Z97" s="37" t="n"/>
    </row>
    <row r="98">
      <c r="A98" s="35" t="n">
        <v>46235</v>
      </c>
      <c r="B98" s="37" t="n">
        <v>46265</v>
      </c>
      <c r="C98" s="33" t="inlineStr">
        <is>
          <t>Cyber Attack</t>
        </is>
      </c>
      <c r="D98" s="33" t="inlineStr">
        <is>
          <t>Merck</t>
        </is>
      </c>
      <c r="E98" s="39" t="n">
        <v>1</v>
      </c>
      <c r="F98" s="33" t="inlineStr">
        <is>
          <t>McKesson Corporation Confirms Data Breach Following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Entity &amp; Duplicate Decision Validation</t>
        </is>
      </c>
      <c r="N98" s="33" t="inlineStr">
        <is>
          <t>Yes</t>
        </is>
      </c>
      <c r="O98" s="33" t="inlineStr">
        <is>
          <t>Customer reported the missed McKesson data-breach incident. EventWatch captured the report on August 28, but human review assumed it was already covered;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Counterfeit</t>
        </is>
      </c>
      <c r="D99" s="33" t="inlineStr">
        <is>
          <t>Liberty Blume</t>
        </is>
      </c>
      <c r="E99" s="39" t="n">
        <v>1</v>
      </c>
      <c r="F99" s="33" t="inlineStr">
        <is>
          <t>Ciena 400G Optics Counterfeit Risk Intelligence Request (Liberty Blume)</t>
        </is>
      </c>
      <c r="G99" s="33" t="inlineStr">
        <is>
          <t>Inquiry</t>
        </is>
      </c>
      <c r="H99" s="33" t="inlineStr">
        <is>
          <t>Intelligence/Advisory Request</t>
        </is>
      </c>
      <c r="I99" s="33" t="inlineStr">
        <is>
          <t>Process</t>
        </is>
      </c>
      <c r="J99" s="33" t="inlineStr">
        <is>
          <t>Process Clarification</t>
        </is>
      </c>
      <c r="K99" s="33" t="inlineStr">
        <is>
          <t>Improvement</t>
        </is>
      </c>
      <c r="L99" s="33" t="inlineStr">
        <is>
          <t>Clarification Provided</t>
        </is>
      </c>
      <c r="M99" s="33" t="inlineStr">
        <is>
          <t>Counterfeit/grey-market component intelligence briefing capability</t>
        </is>
      </c>
      <c r="N99" s="33" t="inlineStr">
        <is>
          <t>No</t>
        </is>
      </c>
      <c r="O99" s="33" t="inlineStr">
        <is>
          <t>Staged from Jira EAO-32 (Open). Liberty Blume requested industry intelligence on counterfeit/grey-market Ciena 400G optical transceivers beyond the supplier scanning report already provided.</t>
        </is>
      </c>
      <c r="Q99" s="33" t="inlineStr">
        <is>
          <t>No</t>
        </is>
      </c>
      <c r="R99" s="39" t="n">
        <v>8</v>
      </c>
      <c r="T99" s="35" t="n">
        <v>46235</v>
      </c>
      <c r="U99" s="33" t="inlineStr">
        <is>
          <t>Low</t>
        </is>
      </c>
      <c r="V99" s="33" t="inlineStr">
        <is>
          <t>Other Control Automation</t>
        </is>
      </c>
      <c r="W99" s="33" t="inlineStr">
        <is>
          <t>EAO-32</t>
        </is>
      </c>
      <c r="X99"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99" s="33" t="inlineStr">
        <is>
          <t>EventWatch Ops - Nitin Rindhe</t>
        </is>
      </c>
      <c r="Z99" s="37" t="n"/>
    </row>
    <row r="100">
      <c r="A100" s="35" t="n">
        <v>46266</v>
      </c>
      <c r="B100" s="37" t="n">
        <v>46267</v>
      </c>
      <c r="C100" s="33" t="inlineStr">
        <is>
          <t>Geopolitical</t>
        </is>
      </c>
      <c r="D100" s="33" t="inlineStr">
        <is>
          <t>Caterpillar</t>
        </is>
      </c>
      <c r="E100" s="39" t="n">
        <v>1</v>
      </c>
      <c r="F100" s="33" t="inlineStr">
        <is>
          <t>Taiwan Strait Conflict Risk Assessment – Missed EventWatch Notification</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Geopolitical conflict risk-assessment scenario monitoring and escalation</t>
        </is>
      </c>
      <c r="N100" s="33" t="inlineStr">
        <is>
          <t>Yes</t>
        </is>
      </c>
      <c r="O100" s="33" t="inlineStr">
        <is>
          <t>Staged from Jira EAO-33 (In Progress). Caterpillar reported no notification for “Taiwan Strait Conflict Risk Assessment and Potential Global Supply Chain Impact”; CS found no matching event in the backend.</t>
        </is>
      </c>
      <c r="Q100" s="33" t="inlineStr">
        <is>
          <t>Yes</t>
        </is>
      </c>
      <c r="R100" s="39" t="n">
        <v>9</v>
      </c>
      <c r="T100" s="35" t="n">
        <v>46266</v>
      </c>
      <c r="U100" s="33" t="inlineStr">
        <is>
          <t>Medium</t>
        </is>
      </c>
      <c r="V100" s="33" t="inlineStr">
        <is>
          <t>WarRoom &amp; Decision Validation</t>
        </is>
      </c>
      <c r="W100" s="33" t="inlineStr">
        <is>
          <t>EAO-33</t>
        </is>
      </c>
      <c r="X100" s="33" t="inlineStr">
        <is>
          <t>Human error. The analyst marked the event Not Impactful while clearing stories at pace, so it was never escalated for WarRoom consideration. The event was captured and available for review; ingestion, source coverage and mapping did not contribute.</t>
        </is>
      </c>
      <c r="Y100" s="33" t="inlineStr">
        <is>
          <t>EventWatch Ops - Nitin Rindhe</t>
        </is>
      </c>
      <c r="Z100" s="37" t="n"/>
    </row>
    <row r="101">
      <c r="A101" s="35" t="n">
        <v>46266</v>
      </c>
      <c r="B101" s="37" t="n">
        <v>46268</v>
      </c>
      <c r="C101" s="33" t="inlineStr">
        <is>
          <t>Protest/Riot</t>
        </is>
      </c>
      <c r="D101" s="33" t="inlineStr">
        <is>
          <t>Ford</t>
        </is>
      </c>
      <c r="E101" s="39" t="n">
        <v>1</v>
      </c>
      <c r="F101" s="33" t="inlineStr">
        <is>
          <t>Western Balkans Truck Driver/EU Border Blockade – August 31 Update Missed Alert (Ford)</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Recurring/evolving-event WarRoom update monitoring and re-escalation detection</t>
        </is>
      </c>
      <c r="N101" s="33" t="inlineStr">
        <is>
          <t>Yes</t>
        </is>
      </c>
      <c r="O101"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1" s="33" t="inlineStr">
        <is>
          <t>Yes</t>
        </is>
      </c>
      <c r="R101" s="39" t="n">
        <v>9</v>
      </c>
      <c r="T101" s="35" t="n">
        <v>46266</v>
      </c>
      <c r="U101" s="33" t="inlineStr">
        <is>
          <t>Medium</t>
        </is>
      </c>
      <c r="V101" s="33" t="inlineStr">
        <is>
          <t>WarRoom &amp; Decision Validation</t>
        </is>
      </c>
      <c r="W101" s="33" t="inlineStr">
        <is>
          <t>EAO-34</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46272</v>
      </c>
      <c r="C102" s="33" t="inlineStr">
        <is>
          <t>Power Outage</t>
        </is>
      </c>
      <c r="D102" s="33" t="inlineStr">
        <is>
          <t>Eaton/Ford</t>
        </is>
      </c>
      <c r="E102" s="39" t="n">
        <v>2</v>
      </c>
      <c r="F102" s="33" t="inlineStr">
        <is>
          <t>Punjab Region Risk Event – Supplier Sites Outside the Impact Area Mapped for Impact Confirmation (Eaton/Ford)</t>
        </is>
      </c>
      <c r="G102" s="33" t="inlineStr">
        <is>
          <t>Complaint</t>
        </is>
      </c>
      <c r="H102" s="33" t="inlineStr">
        <is>
          <t>Geographic Misclassification</t>
        </is>
      </c>
      <c r="I102" s="33" t="inlineStr">
        <is>
          <t>Product</t>
        </is>
      </c>
      <c r="J102" s="33" t="inlineStr">
        <is>
          <t>Mapping</t>
        </is>
      </c>
      <c r="K102" s="33" t="inlineStr">
        <is>
          <t>Improvement</t>
        </is>
      </c>
      <c r="L102" s="33" t="inlineStr">
        <is>
          <t>RCA Shared</t>
        </is>
      </c>
      <c r="M102" s="33" t="inlineStr">
        <is>
          <t>Geographic validation of supplier site geocodes against the event impact polygon before impact-confirmation requests are issued, so sites outside the affected region cannot be attached to an event</t>
        </is>
      </c>
      <c r="N102" s="33" t="inlineStr">
        <is>
          <t>Yes</t>
        </is>
      </c>
      <c r="O102"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2" s="33" t="n"/>
      <c r="Q102" s="33" t="inlineStr">
        <is>
          <t>No</t>
        </is>
      </c>
      <c r="R102" s="39" t="n">
        <v>9</v>
      </c>
      <c r="S102" s="39" t="n"/>
      <c r="T102" s="35" t="inlineStr">
        <is>
          <t>Sep 2026</t>
        </is>
      </c>
      <c r="U102" s="33" t="inlineStr">
        <is>
          <t>Medium</t>
        </is>
      </c>
      <c r="V102" s="33" t="inlineStr">
        <is>
          <t>AI-Assisted Geofencing</t>
        </is>
      </c>
      <c r="W102" s="33" t="inlineStr">
        <is>
          <t>EAO-35/EAO-36</t>
        </is>
      </c>
      <c r="X102"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2" s="33" t="inlineStr">
        <is>
          <t>Product &amp; Platform</t>
        </is>
      </c>
      <c r="Z102" s="37" t="n"/>
    </row>
    <row r="103">
      <c r="A103" s="35" t="n">
        <v>46266</v>
      </c>
      <c r="B103" s="37" t="n">
        <v>46273</v>
      </c>
      <c r="C103" s="33" t="inlineStr">
        <is>
          <t>Extreme Weather</t>
        </is>
      </c>
      <c r="D103" s="33" t="inlineStr">
        <is>
          <t>Sandisk</t>
        </is>
      </c>
      <c r="E103" s="39" t="n">
        <v>1</v>
      </c>
      <c r="F103" s="33" t="inlineStr">
        <is>
          <t>Record Heavy Rain in Yokkaichi City, Japan – No EventWatch Notification (Sandisk)</t>
        </is>
      </c>
      <c r="G103" s="33" t="inlineStr">
        <is>
          <t>Complaint</t>
        </is>
      </c>
      <c r="H103" s="33" t="inlineStr">
        <is>
          <t>Delayed Event</t>
        </is>
      </c>
      <c r="I103" s="33" t="inlineStr">
        <is>
          <t>People</t>
        </is>
      </c>
      <c r="J103" s="33" t="inlineStr">
        <is>
          <t>Captured Late</t>
        </is>
      </c>
      <c r="K103" s="33" t="inlineStr">
        <is>
          <t>Improvement</t>
        </is>
      </c>
      <c r="L103" s="33" t="inlineStr">
        <is>
          <t>RCA Shared</t>
        </is>
      </c>
      <c r="M103" s="33" t="inlineStr">
        <is>
          <t>Timeliness monitoring that flags a region already producing captured stories where a related event has not been published within the reporting window</t>
        </is>
      </c>
      <c r="N103" s="33" t="inlineStr">
        <is>
          <t>Yes</t>
        </is>
      </c>
      <c r="O103"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3" s="33" t="inlineStr">
        <is>
          <t>~1 day (customer query 08-Sep-2026 -&gt; EventWatch report 09-Sep-2026)</t>
        </is>
      </c>
      <c r="Q103" s="33" t="inlineStr">
        <is>
          <t>Yes</t>
        </is>
      </c>
      <c r="R103" s="39" t="n">
        <v>9</v>
      </c>
      <c r="S103" s="39" t="n"/>
      <c r="T103" s="35" t="inlineStr">
        <is>
          <t>Sep 2026</t>
        </is>
      </c>
      <c r="U103" s="33" t="inlineStr">
        <is>
          <t>Medium</t>
        </is>
      </c>
      <c r="V103" s="33" t="inlineStr">
        <is>
          <t>WarRoom &amp; Decision Validation</t>
        </is>
      </c>
      <c r="W103" s="33" t="inlineStr">
        <is>
          <t>EAO-37</t>
        </is>
      </c>
      <c r="X103"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3" s="33" t="inlineStr">
        <is>
          <t>EventWatch Ops - Nitin Rindhe</t>
        </is>
      </c>
      <c r="Z103" s="37" t="n"/>
    </row>
    <row r="104">
      <c r="A104" s="35" t="n">
        <v>46266</v>
      </c>
      <c r="B104" s="37" t="n">
        <v>46273</v>
      </c>
      <c r="C104" s="33" t="inlineStr">
        <is>
          <t>Merger &amp; Acquisition</t>
        </is>
      </c>
      <c r="D104" s="33" t="inlineStr">
        <is>
          <t>Eaton</t>
        </is>
      </c>
      <c r="E104" s="39" t="n">
        <v>1</v>
      </c>
      <c r="F104" s="33" t="inlineStr">
        <is>
          <t>Vertiv Acquires UtilityInnovation Group – Supplier Notification and Medium Risk Classification Queried (Eaton)</t>
        </is>
      </c>
      <c r="G104" s="33" t="inlineStr">
        <is>
          <t>Inquiry</t>
        </is>
      </c>
      <c r="H104" s="33" t="inlineStr">
        <is>
          <t>Severity / consolidation handling concern</t>
        </is>
      </c>
      <c r="I104" s="33" t="inlineStr">
        <is>
          <t>Process</t>
        </is>
      </c>
      <c r="J104" s="33" t="inlineStr">
        <is>
          <t>Policy/Logic</t>
        </is>
      </c>
      <c r="K104" s="33" t="inlineStr">
        <is>
          <t>Improvement</t>
        </is>
      </c>
      <c r="L104" s="33" t="inlineStr">
        <is>
          <t>Clarification Provided</t>
        </is>
      </c>
      <c r="M104" s="33" t="inlineStr">
        <is>
          <t>Automated enforcement of the M&amp;A notification threshold so acquiring-side suppliers are excluded from impact-confirmation requests, plus a documented basis for the risk classification</t>
        </is>
      </c>
      <c r="N104" s="33" t="inlineStr">
        <is>
          <t>No</t>
        </is>
      </c>
      <c r="O104"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4" s="33" t="n"/>
      <c r="Q104" s="33" t="inlineStr">
        <is>
          <t>No</t>
        </is>
      </c>
      <c r="R104" s="39" t="n">
        <v>9</v>
      </c>
      <c r="S104" s="39" t="n"/>
      <c r="T104" s="35" t="inlineStr">
        <is>
          <t>Sep 2026</t>
        </is>
      </c>
      <c r="U104" s="33" t="inlineStr">
        <is>
          <t>Low</t>
        </is>
      </c>
      <c r="V104" s="33" t="inlineStr">
        <is>
          <t>WarRoom &amp; Decision Validation</t>
        </is>
      </c>
      <c r="W104" s="33" t="inlineStr">
        <is>
          <t>EAO-38</t>
        </is>
      </c>
      <c r="X104"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4" s="33" t="inlineStr">
        <is>
          <t>EventWatch Ops - Nitin Rindhe</t>
        </is>
      </c>
      <c r="Z104" s="37" t="n"/>
    </row>
    <row r="105">
      <c r="A105" s="35" t="n">
        <v>46266</v>
      </c>
      <c r="B105" s="37" t="n">
        <v>46276</v>
      </c>
      <c r="C105" s="33" t="inlineStr">
        <is>
          <t>Supply Shortage</t>
        </is>
      </c>
      <c r="D105" s="33" t="inlineStr">
        <is>
          <t>Belden Inc</t>
        </is>
      </c>
      <c r="E105" s="39" t="n">
        <v>1</v>
      </c>
      <c r="F105" s="33" t="inlineStr">
        <is>
          <t>TSMC 28nm Production Capacity Reduction – No EventWatch Notification (Belden)</t>
        </is>
      </c>
      <c r="G105" s="33" t="inlineStr">
        <is>
          <t>Inquiry</t>
        </is>
      </c>
      <c r="H105" s="33" t="inlineStr">
        <is>
          <t>Coverage Verification Request</t>
        </is>
      </c>
      <c r="I105" s="33" t="inlineStr">
        <is>
          <t>Product</t>
        </is>
      </c>
      <c r="J105" s="33" t="inlineStr">
        <is>
          <t>Source Coverage</t>
        </is>
      </c>
      <c r="K105" s="33" t="inlineStr">
        <is>
          <t>Improvement</t>
        </is>
      </c>
      <c r="L105" s="33" t="inlineStr">
        <is>
          <t>Clarification Provided</t>
        </is>
      </c>
      <c r="M105"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5" s="33" t="inlineStr">
        <is>
          <t>Yes</t>
        </is>
      </c>
      <c r="O105" s="33" t="inlineStr">
        <is>
          <t>EAO-39: Belden asked why they received no EventWatch notification and saw no related news for TSMC's 28nm production capacity reduction. The query ran on through two follow-ups, both part of the same contact rather than separate records. First, on 18-Sep-2026 the customer cited a 22-Jun-2026 report that TSMC denied phasing out 28nm and asked how EventWatch separates real reporting from fake, what criteria establish that a notification is not fake, and whether the 28nm reduction is real; a written assessment was issued covering the source hierarchy, the five evidence grades and the TSMC timeline. Second, on 22-Sep-2026 the customer corrected their own position and confirmed TSMC is not mapped in their BOM - they source the wafer via Broadcom, and the Taiwan Semiconductor entity they had mapped covers resistors and MOSFETs - so no customer notification was owed. Reclassified on review from Complaint to Inquiry with Missed_Flag No, and logged under Source Coverage.</t>
        </is>
      </c>
      <c r="P105" s="33" t="n"/>
      <c r="Q105" s="33" t="inlineStr">
        <is>
          <t>No</t>
        </is>
      </c>
      <c r="R105" s="39" t="n">
        <v>9</v>
      </c>
      <c r="S105" s="39" t="n"/>
      <c r="T105" s="35" t="inlineStr">
        <is>
          <t>Sep 2026</t>
        </is>
      </c>
      <c r="U105" s="33" t="inlineStr">
        <is>
          <t>Medium</t>
        </is>
      </c>
      <c r="V105" s="33" t="inlineStr">
        <is>
          <t>Dynamic Source Discovery</t>
        </is>
      </c>
      <c r="W105" s="33" t="inlineStr">
        <is>
          <t>EAO-39</t>
        </is>
      </c>
      <c r="X105"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5" s="33" t="inlineStr">
        <is>
          <t>Product &amp; Platform</t>
        </is>
      </c>
      <c r="Z105" s="37" t="n"/>
    </row>
    <row r="106">
      <c r="A106" s="35" t="n">
        <v>46266</v>
      </c>
      <c r="B106" s="37" t="n">
        <v>46276</v>
      </c>
      <c r="C106" s="33" t="inlineStr">
        <is>
          <t>Supply Shortage</t>
        </is>
      </c>
      <c r="D106" s="33" t="inlineStr">
        <is>
          <t>Belden Inc</t>
        </is>
      </c>
      <c r="E106" s="39" t="n">
        <v>1</v>
      </c>
      <c r="F106" s="33" t="inlineStr">
        <is>
          <t>Murata MLCC Product Line Discontinuation – No EventWatch Notification (Belden)</t>
        </is>
      </c>
      <c r="G106" s="33" t="inlineStr">
        <is>
          <t>Complaint</t>
        </is>
      </c>
      <c r="H106" s="33" t="inlineStr">
        <is>
          <t>Missed Event</t>
        </is>
      </c>
      <c r="I106" s="33" t="inlineStr">
        <is>
          <t>People</t>
        </is>
      </c>
      <c r="J106" s="33" t="inlineStr">
        <is>
          <t>Review</t>
        </is>
      </c>
      <c r="K106" s="33" t="inlineStr">
        <is>
          <t>Improvement</t>
        </is>
      </c>
      <c r="L106" s="33" t="inlineStr">
        <is>
          <t>Pending</t>
        </is>
      </c>
      <c r="M106" s="33" t="inlineStr">
        <is>
          <t>Validation step on high-impact component end-of-life and discontinuation notices before an analyst can clear them, so a major supplier's EOL announcement cannot be dismissed at review</t>
        </is>
      </c>
      <c r="N106" s="33" t="inlineStr">
        <is>
          <t>Yes</t>
        </is>
      </c>
      <c r="O106"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6" s="33" t="n"/>
      <c r="Q106" s="33" t="inlineStr">
        <is>
          <t>Yes</t>
        </is>
      </c>
      <c r="R106" s="39" t="n">
        <v>9</v>
      </c>
      <c r="S106" s="39" t="n"/>
      <c r="T106" s="35" t="inlineStr">
        <is>
          <t>Sep 2026</t>
        </is>
      </c>
      <c r="U106" s="33" t="inlineStr">
        <is>
          <t>Medium</t>
        </is>
      </c>
      <c r="V106" s="33" t="inlineStr">
        <is>
          <t>WarRoom &amp; Decision Validation</t>
        </is>
      </c>
      <c r="W106" s="33" t="inlineStr">
        <is>
          <t>EAO-39</t>
        </is>
      </c>
      <c r="X106" s="33" t="inlineStr">
        <is>
          <t>Analyst miss. The event was available for review and was not escalated into EventWatch coverage. Ingestion and source coverage did not contribute.</t>
        </is>
      </c>
      <c r="Y106" s="33" t="inlineStr">
        <is>
          <t>EventWatch Ops - Nitin Rindhe</t>
        </is>
      </c>
      <c r="Z106" s="37" t="n"/>
    </row>
    <row r="107">
      <c r="A107" s="35" t="n">
        <v>46266</v>
      </c>
      <c r="B107" s="37" t="n">
        <v>46276</v>
      </c>
      <c r="C107" s="33" t="inlineStr">
        <is>
          <t>Factory Fire</t>
        </is>
      </c>
      <c r="D107" s="33" t="inlineStr">
        <is>
          <t>Ford</t>
        </is>
      </c>
      <c r="E107" s="39" t="n">
        <v>1</v>
      </c>
      <c r="F107" s="33" t="inlineStr">
        <is>
          <t>Precision Resource Facility Fire, Mt. Sterling, Kentucky – Deep-Tier Supplier Event Not Captured (Ford)</t>
        </is>
      </c>
      <c r="G107" s="33" t="inlineStr">
        <is>
          <t>Complaint</t>
        </is>
      </c>
      <c r="H107" s="33" t="inlineStr">
        <is>
          <t>Missed Event</t>
        </is>
      </c>
      <c r="I107" s="33" t="inlineStr">
        <is>
          <t>Product</t>
        </is>
      </c>
      <c r="J107" s="33" t="inlineStr">
        <is>
          <t>Source Coverage</t>
        </is>
      </c>
      <c r="K107" s="33" t="inlineStr">
        <is>
          <t>Improvement</t>
        </is>
      </c>
      <c r="L107" s="33" t="inlineStr">
        <is>
          <t>Pending</t>
        </is>
      </c>
      <c r="M107" s="33" t="inlineStr">
        <is>
          <t>Monitoring of local and regional outlets covering industrial incidents at deep-tier supplier sites, with event-to-supply-chain correlation so a sub-tier fire is linked to the OEMs exposed through it</t>
        </is>
      </c>
      <c r="N107" s="33" t="inlineStr">
        <is>
          <t>Yes</t>
        </is>
      </c>
      <c r="O107"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7" s="33" t="n"/>
      <c r="Q107" s="33" t="inlineStr">
        <is>
          <t>Yes</t>
        </is>
      </c>
      <c r="R107" s="39" t="n">
        <v>9</v>
      </c>
      <c r="S107" s="39" t="n"/>
      <c r="T107" s="35" t="inlineStr">
        <is>
          <t>Sep 2026</t>
        </is>
      </c>
      <c r="U107" s="33" t="inlineStr">
        <is>
          <t>High</t>
        </is>
      </c>
      <c r="V107" s="33" t="inlineStr">
        <is>
          <t>Dynamic Source Discovery</t>
        </is>
      </c>
      <c r="W107" s="33" t="inlineStr">
        <is>
          <t>EAO-40</t>
        </is>
      </c>
      <c r="X107"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7" s="33" t="inlineStr">
        <is>
          <t>Product &amp; Platform</t>
        </is>
      </c>
      <c r="Z107" s="37" t="n"/>
    </row>
    <row r="108">
      <c r="A108" s="35" t="n">
        <v>46266</v>
      </c>
      <c r="B108" s="37" t="n">
        <v>46279</v>
      </c>
      <c r="C108" s="33" t="inlineStr">
        <is>
          <t>Bankruptcy</t>
        </is>
      </c>
      <c r="D108" s="33" t="inlineStr">
        <is>
          <t>Irving Oil</t>
        </is>
      </c>
      <c r="E108" s="39" t="n">
        <v>1</v>
      </c>
      <c r="F108" s="33" t="inlineStr">
        <is>
          <t>Paystone CCAA Filing – No EventWatch Notification (Irving Oil)</t>
        </is>
      </c>
      <c r="G108" s="33" t="inlineStr">
        <is>
          <t>Inquiry</t>
        </is>
      </c>
      <c r="H108" s="33" t="inlineStr">
        <is>
          <t>Missed insolvency alert</t>
        </is>
      </c>
      <c r="I108" s="33" t="inlineStr">
        <is>
          <t>Product</t>
        </is>
      </c>
      <c r="J108" s="33" t="inlineStr">
        <is>
          <t>Keyword Update</t>
        </is>
      </c>
      <c r="K108" s="33" t="inlineStr">
        <is>
          <t>Improvement</t>
        </is>
      </c>
      <c r="L108" s="33" t="inlineStr">
        <is>
          <t>RCA Shared</t>
        </is>
      </c>
      <c r="M108" s="33" t="inlineStr">
        <is>
          <t>Keyword coverage for insolvency and restructuring terminology in the bankruptcy algorithm, with a regression check when a filing type such as CCAA is added, so the same class of filing is not missed twice</t>
        </is>
      </c>
      <c r="N108" s="33" t="inlineStr">
        <is>
          <t>Yes</t>
        </is>
      </c>
      <c r="O108"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08" s="33" t="n"/>
      <c r="Q108" s="33" t="inlineStr">
        <is>
          <t>Yes</t>
        </is>
      </c>
      <c r="R108" s="39" t="n">
        <v>9</v>
      </c>
      <c r="S108" s="39" t="n"/>
      <c r="T108" s="35" t="inlineStr">
        <is>
          <t>Sep 2026</t>
        </is>
      </c>
      <c r="U108" s="33" t="inlineStr">
        <is>
          <t>Medium</t>
        </is>
      </c>
      <c r="V108" s="33" t="inlineStr">
        <is>
          <t>Dynamic Source Discovery</t>
        </is>
      </c>
      <c r="W108" s="33" t="inlineStr">
        <is>
          <t>EAO-41</t>
        </is>
      </c>
      <c r="X108"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08" s="33" t="inlineStr">
        <is>
          <t>Product &amp; Platform</t>
        </is>
      </c>
      <c r="Z108" s="37" t="n">
        <v>46288</v>
      </c>
    </row>
    <row r="109">
      <c r="A109" s="35" t="n">
        <v>46266</v>
      </c>
      <c r="B109" s="37" t="n">
        <v>46281</v>
      </c>
      <c r="C109" s="33" t="inlineStr">
        <is>
          <t>Bankruptcy</t>
        </is>
      </c>
      <c r="D109" s="33" t="inlineStr">
        <is>
          <t>Eaton</t>
        </is>
      </c>
      <c r="E109" s="39" t="n">
        <v>1</v>
      </c>
      <c r="F109" s="33" t="inlineStr">
        <is>
          <t>Pollmann Austria GmbH Insolvency – No EventWatch Notification (Eaton)</t>
        </is>
      </c>
      <c r="G109" s="33" t="inlineStr">
        <is>
          <t>Complaint</t>
        </is>
      </c>
      <c r="H109" s="33" t="inlineStr">
        <is>
          <t>Missed insolvency alert</t>
        </is>
      </c>
      <c r="I109" s="33" t="inlineStr">
        <is>
          <t>Product</t>
        </is>
      </c>
      <c r="J109" s="33" t="inlineStr">
        <is>
          <t>Keyword Update</t>
        </is>
      </c>
      <c r="K109" s="33" t="inlineStr">
        <is>
          <t>Improvement</t>
        </is>
      </c>
      <c r="L109" s="33" t="inlineStr">
        <is>
          <t>RCA Shared</t>
        </is>
      </c>
      <c r="M109" s="33" t="inlineStr">
        <is>
          <t>Keyword coverage for insolvency and restructuring terminology in the bankruptcy algorithm, with a regression check when a filing type is added, so the same class of filing is not missed twice</t>
        </is>
      </c>
      <c r="N109" s="33" t="inlineStr">
        <is>
          <t>Yes</t>
        </is>
      </c>
      <c r="O109"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09" s="33" t="inlineStr">
        <is>
          <t>15 days (01-Sep proceedings - 15-Sep escalation, never published)</t>
        </is>
      </c>
      <c r="Q109" s="33" t="inlineStr">
        <is>
          <t>Yes</t>
        </is>
      </c>
      <c r="R109" s="39" t="n">
        <v>9</v>
      </c>
      <c r="S109" s="39" t="n"/>
      <c r="T109" s="35" t="inlineStr">
        <is>
          <t>Sep 2026</t>
        </is>
      </c>
      <c r="U109" s="33" t="inlineStr">
        <is>
          <t>Medium</t>
        </is>
      </c>
      <c r="V109" s="33" t="inlineStr">
        <is>
          <t>Dynamic Source Discovery</t>
        </is>
      </c>
      <c r="W109" s="33" t="inlineStr">
        <is>
          <t>EAO-42</t>
        </is>
      </c>
      <c r="X109"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09" s="33" t="inlineStr">
        <is>
          <t>Product &amp; Platform</t>
        </is>
      </c>
      <c r="Z109" s="37" t="n">
        <v>46288</v>
      </c>
    </row>
    <row r="110">
      <c r="A110" s="35" t="n">
        <v>46266</v>
      </c>
      <c r="B110" s="37" t="n">
        <v>46283</v>
      </c>
      <c r="C110" s="33" t="inlineStr">
        <is>
          <t>Merger &amp; Acquisition</t>
        </is>
      </c>
      <c r="D110" s="33" t="inlineStr">
        <is>
          <t>Eaton</t>
        </is>
      </c>
      <c r="E110" s="39" t="n">
        <v>1</v>
      </c>
      <c r="F110" s="33" t="inlineStr">
        <is>
          <t>Clarification on Impact Confirmation Requests for Supplier Acquisitions (Eaton)</t>
        </is>
      </c>
      <c r="G110" s="33" t="inlineStr">
        <is>
          <t>Inquiry</t>
        </is>
      </c>
      <c r="H110" s="33" t="inlineStr">
        <is>
          <t>Monitoring Strategy RFI</t>
        </is>
      </c>
      <c r="I110" s="33" t="inlineStr">
        <is>
          <t>Process</t>
        </is>
      </c>
      <c r="J110" s="33" t="inlineStr">
        <is>
          <t>Process Clarification</t>
        </is>
      </c>
      <c r="K110" s="33" t="inlineStr">
        <is>
          <t>Improvement</t>
        </is>
      </c>
      <c r="L110" s="33" t="inlineStr">
        <is>
          <t>Clarification Provided</t>
        </is>
      </c>
      <c r="M110" s="33" t="inlineStr">
        <is>
          <t>Publish the M&amp;A impact-confirmation trigger criteria in-product, so the rationale for an acquiring-side outreach is visible on the request itself instead of being explained per account after the fact</t>
        </is>
      </c>
      <c r="N110" s="33" t="inlineStr">
        <is>
          <t>No</t>
        </is>
      </c>
      <c r="O110"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0" s="33" t="n"/>
      <c r="Q110" s="33" t="inlineStr">
        <is>
          <t>No</t>
        </is>
      </c>
      <c r="R110" s="39" t="n">
        <v>9</v>
      </c>
      <c r="S110" s="39" t="n"/>
      <c r="T110" s="35" t="inlineStr">
        <is>
          <t>Sep 2026</t>
        </is>
      </c>
      <c r="U110" s="33" t="inlineStr">
        <is>
          <t>Low</t>
        </is>
      </c>
      <c r="V110" s="33" t="inlineStr">
        <is>
          <t>WarRoom &amp; Decision Validation</t>
        </is>
      </c>
      <c r="W110" s="33" t="inlineStr">
        <is>
          <t>EAO-43</t>
        </is>
      </c>
      <c r="X110"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0" s="33" t="inlineStr">
        <is>
          <t>EventWatch Ops - Nitin Rindhe</t>
        </is>
      </c>
      <c r="Z110" s="37" t="n"/>
    </row>
    <row r="111">
      <c r="A111" s="35" t="n">
        <v>46266</v>
      </c>
      <c r="B111" s="37" t="n">
        <v>46289</v>
      </c>
      <c r="C111" s="33" t="inlineStr">
        <is>
          <t>Bankruptcy</t>
        </is>
      </c>
      <c r="D111" s="33" t="inlineStr">
        <is>
          <t>Eaton</t>
        </is>
      </c>
      <c r="E111" s="39" t="n">
        <v>1</v>
      </c>
      <c r="F111" s="33" t="inlineStr">
        <is>
          <t>UPG Enterprises Chapter 11 Mapped to Mapes &amp; Sprowl - Mapping and Severity Queried (Eaton)</t>
        </is>
      </c>
      <c r="G111" s="33" t="inlineStr">
        <is>
          <t>Inquiry</t>
        </is>
      </c>
      <c r="H111" s="33" t="inlineStr">
        <is>
          <t>Wrong Relevancy</t>
        </is>
      </c>
      <c r="I111" s="33" t="inlineStr">
        <is>
          <t>Product</t>
        </is>
      </c>
      <c r="J111" s="33" t="inlineStr">
        <is>
          <t>Mapping</t>
        </is>
      </c>
      <c r="K111" s="33" t="inlineStr">
        <is>
          <t>Improvement</t>
        </is>
      </c>
      <c r="L111" s="33" t="inlineStr">
        <is>
          <t>Clarification Provided</t>
        </is>
      </c>
      <c r="M111" s="33" t="inlineStr">
        <is>
          <t>Scope check on parent-subsidiary linkage for insolvency filings, so a WarRoom is not raised against a subsidiary the filing text explicitly excludes, plus a recorded basis for the severity grade</t>
        </is>
      </c>
      <c r="N111" s="33" t="inlineStr">
        <is>
          <t>No</t>
        </is>
      </c>
      <c r="O111"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1" s="33" t="n"/>
      <c r="Q111" s="33" t="inlineStr">
        <is>
          <t>No</t>
        </is>
      </c>
      <c r="R111" s="39" t="n">
        <v>9</v>
      </c>
      <c r="S111" s="39" t="n"/>
      <c r="T111" s="35" t="inlineStr">
        <is>
          <t>Sep 2026</t>
        </is>
      </c>
      <c r="U111" s="33" t="inlineStr">
        <is>
          <t>Medium</t>
        </is>
      </c>
      <c r="V111" s="33" t="inlineStr">
        <is>
          <t>Entity &amp; Supplier Resolution</t>
        </is>
      </c>
      <c r="W111" s="33" t="inlineStr">
        <is>
          <t>EAO-44</t>
        </is>
      </c>
      <c r="X111"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1" s="33" t="inlineStr">
        <is>
          <t>Product &amp; Platform</t>
        </is>
      </c>
      <c r="Z111" s="37" t="n"/>
    </row>
    <row r="112">
      <c r="A112" s="35" t="n">
        <v>46266</v>
      </c>
      <c r="B112" s="37" t="n">
        <v>46289</v>
      </c>
      <c r="C112" s="33" t="inlineStr">
        <is>
          <t>Factory Fire</t>
        </is>
      </c>
      <c r="D112" s="33" t="inlineStr">
        <is>
          <t>Ford</t>
        </is>
      </c>
      <c r="E112" s="39" t="n">
        <v>1</v>
      </c>
      <c r="F112" s="33" t="inlineStr">
        <is>
          <t>Purflux Group Filter Systems Maroc Facility Fire - 10-11 Day Alert Delay (Ford)</t>
        </is>
      </c>
      <c r="G112" s="33" t="inlineStr">
        <is>
          <t>Complaint</t>
        </is>
      </c>
      <c r="H112" s="33" t="inlineStr">
        <is>
          <t>Delayed Event</t>
        </is>
      </c>
      <c r="I112" s="33" t="inlineStr">
        <is>
          <t>Product</t>
        </is>
      </c>
      <c r="J112" s="33" t="inlineStr">
        <is>
          <t>Source Coverage</t>
        </is>
      </c>
      <c r="K112" s="33" t="inlineStr">
        <is>
          <t>Improvement</t>
        </is>
      </c>
      <c r="L112" s="33" t="inlineStr">
        <is>
          <t>Pending</t>
        </is>
      </c>
      <c r="M112" s="33" t="inlineStr">
        <is>
          <t>Latency monitoring on the gap between an incident's first public report and EventWatch publication, so a multi-day lag on a Tier-1 manufacturing site raises an internal alarm instead of waiting for the customer to notice</t>
        </is>
      </c>
      <c r="N112" s="33" t="inlineStr">
        <is>
          <t>Yes</t>
        </is>
      </c>
      <c r="O112"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2" s="33" t="inlineStr">
        <is>
          <t>~10-11 days (event 11/12-Sep-2026 -&gt; published 22-Sep-2026)</t>
        </is>
      </c>
      <c r="Q112" s="33" t="inlineStr">
        <is>
          <t>Yes</t>
        </is>
      </c>
      <c r="R112" s="39" t="n">
        <v>9</v>
      </c>
      <c r="S112" s="39" t="n">
        <v>252</v>
      </c>
      <c r="T112" s="35" t="inlineStr">
        <is>
          <t>Sep 2026</t>
        </is>
      </c>
      <c r="U112" s="33" t="inlineStr">
        <is>
          <t>High</t>
        </is>
      </c>
      <c r="V112" s="33" t="inlineStr">
        <is>
          <t>Dynamic Source Discovery</t>
        </is>
      </c>
      <c r="W112" s="33" t="inlineStr">
        <is>
          <t>EAO-45</t>
        </is>
      </c>
      <c r="X112"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2" s="33" t="inlineStr">
        <is>
          <t>Product &amp; Platform</t>
        </is>
      </c>
      <c r="Z112" s="37" t="n"/>
    </row>
    <row r="113">
      <c r="A113" s="35" t="n">
        <v>46266</v>
      </c>
      <c r="B113" s="37" t="n">
        <v>46293</v>
      </c>
      <c r="C113" s="33" t="inlineStr">
        <is>
          <t>Litigation/Legal</t>
        </is>
      </c>
      <c r="D113" s="33" t="inlineStr">
        <is>
          <t>Eaton</t>
        </is>
      </c>
      <c r="E113" s="39" t="n">
        <v>1</v>
      </c>
      <c r="F113" s="33" t="inlineStr">
        <is>
          <t>USITC DRAM Patent Investigation - Duplicate WarRooms Published for One Event (Eaton)</t>
        </is>
      </c>
      <c r="G113" s="33" t="inlineStr">
        <is>
          <t>Complaint</t>
        </is>
      </c>
      <c r="H113" s="33" t="inlineStr">
        <is>
          <t>Duplicate WarRooms</t>
        </is>
      </c>
      <c r="I113" s="33" t="inlineStr">
        <is>
          <t>Product</t>
        </is>
      </c>
      <c r="J113" s="33" t="inlineStr">
        <is>
          <t>Duplication</t>
        </is>
      </c>
      <c r="K113" s="33" t="inlineStr">
        <is>
          <t>Improvement</t>
        </is>
      </c>
      <c r="L113" s="33" t="inlineStr">
        <is>
          <t>Pending</t>
        </is>
      </c>
      <c r="M113" s="33" t="inlineStr">
        <is>
          <t>Near-duplicate detection that matches on the underlying event rather than the bulletin title - entities, location, date and source article - so an analyst searching for an existing WarRoom finds it even when the earlier bulletin was worded differently, and a second publication for the same event is blocked at creation rather than found by the customer</t>
        </is>
      </c>
      <c r="N113" s="33" t="inlineStr">
        <is>
          <t>Yes</t>
        </is>
      </c>
      <c r="O113"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Cause established: the titles differed enough that the analyst's search for an existing bulletin returned nothing, so the second WarRoom was created in the belief that none existed. The duplicate WarRoom is to be deleted, leaving one bulletin for the event. This is Eaton's second Duplicate WarRooms complaint; the earlier one is already recorded as Fixed.</t>
        </is>
      </c>
      <c r="P113" s="33" t="n"/>
      <c r="Q113" s="33" t="inlineStr">
        <is>
          <t>No</t>
        </is>
      </c>
      <c r="R113" s="39" t="n">
        <v>9</v>
      </c>
      <c r="S113" s="39" t="n"/>
      <c r="T113" s="35" t="inlineStr">
        <is>
          <t>Sep 2026</t>
        </is>
      </c>
      <c r="U113" s="33" t="inlineStr">
        <is>
          <t>Medium</t>
        </is>
      </c>
      <c r="V113" s="33" t="inlineStr">
        <is>
          <t>Cluster Integrity &amp; Duplicate Prevention</t>
        </is>
      </c>
      <c r="W113" s="33" t="inlineStr">
        <is>
          <t>EAO-46</t>
        </is>
      </c>
      <c r="X113" s="33" t="inlineStr">
        <is>
          <t>Not an analyst error and not a missed check. The analyst did search for an existing bulletin before creating the WarRoom but could not find it, because the two bulletins were titled differently - 'USITC Opens DRAM Patent Investigation' against 'U.S. ITC Launches Patent Investigation into Micron, Supermicro, HPE, and Lenovo' - and the search matched on title rather than on the underlying event. The duplicate was created in good faith on the belief that no coverage existed. The corrective action is to delete the duplicate WarRoom so a single bulletin remains for the event.</t>
        </is>
      </c>
      <c r="Y113" s="33" t="inlineStr">
        <is>
          <t>Product &amp; Platform</t>
        </is>
      </c>
      <c r="Z113" s="37" t="n"/>
    </row>
    <row r="114">
      <c r="A114" s="35" t="n">
        <v>46266</v>
      </c>
      <c r="B114" s="37" t="n">
        <v>46293</v>
      </c>
      <c r="C114" s="33" t="inlineStr">
        <is>
          <t>Financial Distress</t>
        </is>
      </c>
      <c r="D114" s="33" t="inlineStr">
        <is>
          <t>Western Digital</t>
        </is>
      </c>
      <c r="E114" s="39" t="n">
        <v>1</v>
      </c>
      <c r="F114" s="33" t="inlineStr">
        <is>
          <t>Nidec Reported 1tn Yen Impairment and CEO Dismissal - No EventWatch Event Created (Western Digital)</t>
        </is>
      </c>
      <c r="G114" s="33" t="inlineStr">
        <is>
          <t>Complaint</t>
        </is>
      </c>
      <c r="H114" s="33" t="inlineStr">
        <is>
          <t>Missed Event</t>
        </is>
      </c>
      <c r="I114" s="33" t="inlineStr">
        <is>
          <t>Product</t>
        </is>
      </c>
      <c r="J114" s="33" t="inlineStr">
        <is>
          <t>Source Coverage</t>
        </is>
      </c>
      <c r="K114" s="33" t="inlineStr">
        <is>
          <t>Improvement</t>
        </is>
      </c>
      <c r="L114" s="33" t="inlineStr">
        <is>
          <t>Pending</t>
        </is>
      </c>
      <c r="M114" s="33" t="inlineStr">
        <is>
          <t>Coverage of Japanese-language business and financial press for listed suppliers, with a path for a credible but company-unconfirmed report to be staged as a monitoring story the customer can see rather than being absent entirely</t>
        </is>
      </c>
      <c r="N114" s="33" t="inlineStr">
        <is>
          <t>Yes</t>
        </is>
      </c>
      <c r="O114" s="33" t="inlineStr">
        <is>
          <t>Staged from Jira EAO-47 (Open).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the owners' equity ratio expected to fall to the 20% level; an extraordinary board meeting on 25-Sep-2026 reportedly dismissed CEO Mitsuya Kishida over the impairments. Goldman Sachs takes no view on the accuracy of the article and the company had not confirmed it, with the yuho securities report expected 30-Sep-2026. A backend check found no corresponding EventWatch event. The customer asked for a root-cause explanation and a customer-ready response. Currently under investigation, so Root Cause, Sub-type and Standard Automation Focus remain provisional.</t>
        </is>
      </c>
      <c r="P114" s="33" t="n"/>
      <c r="Q114" s="33" t="inlineStr">
        <is>
          <t>Yes</t>
        </is>
      </c>
      <c r="R114" s="39" t="n">
        <v>9</v>
      </c>
      <c r="S114" s="39" t="n"/>
      <c r="T114" s="35" t="inlineStr">
        <is>
          <t>Sep 2026</t>
        </is>
      </c>
      <c r="U114" s="33" t="inlineStr">
        <is>
          <t>Medium</t>
        </is>
      </c>
      <c r="V114" s="33" t="inlineStr">
        <is>
          <t>Dynamic Source Discovery</t>
        </is>
      </c>
      <c r="W114" s="33" t="inlineStr">
        <is>
          <t>EAO-47</t>
        </is>
      </c>
      <c r="X114" s="33" t="n"/>
      <c r="Y114" s="33" t="inlineStr">
        <is>
          <t>Product &amp; Platform</t>
        </is>
      </c>
      <c r="Z114" s="37" t="n"/>
    </row>
    <row r="115">
      <c r="A115" s="35" t="n">
        <v>46266</v>
      </c>
      <c r="B115" s="37" t="n">
        <v>46293</v>
      </c>
      <c r="C115" s="33" t="inlineStr">
        <is>
          <t>Transport Disruption</t>
        </is>
      </c>
      <c r="D115" s="33" t="inlineStr">
        <is>
          <t>Ford</t>
        </is>
      </c>
      <c r="E115" s="39" t="n">
        <v>1</v>
      </c>
      <c r="F115" s="33" t="inlineStr">
        <is>
          <t>South Africa Port and Corridor Congestion - EWC Cargo Movement Update Not Flagged (Ford)</t>
        </is>
      </c>
      <c r="G115" s="33" t="inlineStr">
        <is>
          <t>Complaint</t>
        </is>
      </c>
      <c r="H115" s="33" t="inlineStr">
        <is>
          <t>Missed Event</t>
        </is>
      </c>
      <c r="I115" s="33" t="inlineStr">
        <is>
          <t>Product</t>
        </is>
      </c>
      <c r="J115" s="33" t="inlineStr">
        <is>
          <t>Source Coverage</t>
        </is>
      </c>
      <c r="K115" s="33" t="inlineStr">
        <is>
          <t>Improvement</t>
        </is>
      </c>
      <c r="L115" s="33" t="inlineStr">
        <is>
          <t>Pending</t>
        </is>
      </c>
      <c r="M115" s="33" t="inlineStr">
        <is>
          <t>Monitoring of regional logistics and industry-body publications such as Exporters Western Cape, plus a rule for chronic port and corridor congestion that raises a standing condition into a reportable event when dwell times or berthing delays cross a threshold rather than never qualifying because nothing discretely happened</t>
        </is>
      </c>
      <c r="N115" s="33" t="inlineStr">
        <is>
          <t>Yes</t>
        </is>
      </c>
      <c r="O115" s="33" t="inlineStr">
        <is>
          <t>Staged from Jira EAO-48 (Open). Ford reported that Resilinc did not flag the South African logistics and port disruption set out in the Exporters Western Cape Cargo Movement Update of 20-Sep-2026: multi-day vessel waiting and berthing delays, high container dwell times, terminal equipment breakdowns and landside rail and road delays across Durban, Cape Town, Port Elizabeth/Ngqura and regional border posts. Ford's exposure is the Silverton Assembly Plant and the Struandale Engine Plant, covering inbound CKD and JIT parts and outbound vehicle and engine exports. A backend search found no corresponding event for those locations. Ford has requested a formal RCA plus interim and permanent corrective actions covering regional freight, port operations and logistics corridors across South Africa and Africa, and has asked whether EWC is on the monitored source list and whether its two South African plants are mapped. Currently under investigation, so Root Cause, Sub-type and Standard Automation Focus remain provisional.</t>
        </is>
      </c>
      <c r="P115" s="33" t="n"/>
      <c r="Q115" s="33" t="inlineStr">
        <is>
          <t>Yes</t>
        </is>
      </c>
      <c r="R115" s="39" t="n">
        <v>9</v>
      </c>
      <c r="S115" s="39" t="n"/>
      <c r="T115" s="35" t="inlineStr">
        <is>
          <t>Sep 2026</t>
        </is>
      </c>
      <c r="U115" s="33" t="inlineStr">
        <is>
          <t>High</t>
        </is>
      </c>
      <c r="V115" s="33" t="inlineStr">
        <is>
          <t>Dynamic Source Discovery</t>
        </is>
      </c>
      <c r="W115" s="33" t="inlineStr">
        <is>
          <t>EAO-48</t>
        </is>
      </c>
      <c r="X115" s="33" t="n"/>
      <c r="Y115" s="33" t="inlineStr">
        <is>
          <t>Product &amp; Platform</t>
        </is>
      </c>
      <c r="Z115"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33</v>
      </c>
      <c r="C67" s="23" t="n" cm="1">
        <f t="array" ref="C67:C76">_xlfn.ANCHORARRAY(B67)/COUNTIF(ComplaintTracker[Issue Type],"Complaint")</f>
        <v>0.35106382978723405</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1">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11</v>
      </c>
      <c r="K67" s="75" t="n">
        <v>2</v>
      </c>
      <c r="L67" s="75" t="n">
        <v>13</v>
      </c>
    </row>
    <row r="68" ht="23.25" customHeight="1">
      <c r="A68" s="20" t="inlineStr">
        <is>
          <t>Eaton</t>
        </is>
      </c>
      <c r="B68" s="22" t="n">
        <v>13</v>
      </c>
      <c r="C68" s="24" t="n">
        <v>0.13829787234042554</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0.07446808510638298</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0.0425531914893617</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13</v>
      </c>
      <c r="K70" s="76" t="n">
        <v>1</v>
      </c>
      <c r="L70" s="76" t="n">
        <v>14</v>
      </c>
    </row>
    <row r="71" ht="23.25" customHeight="1">
      <c r="A71" s="20" t="inlineStr">
        <is>
          <t>GM</t>
        </is>
      </c>
      <c r="B71" s="22" t="n">
        <v>4</v>
      </c>
      <c r="C71" s="24" t="n">
        <v>0.0425531914893617</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2</v>
      </c>
      <c r="K71" s="76" t="n">
        <v>1</v>
      </c>
      <c r="L71" s="76" t="n">
        <v>3</v>
      </c>
    </row>
    <row r="72" ht="18" customHeight="1">
      <c r="A72" s="20" t="inlineStr">
        <is>
          <t>Ford/GM</t>
        </is>
      </c>
      <c r="B72" s="22" t="n">
        <v>3</v>
      </c>
      <c r="C72" s="24" t="n">
        <v>0.031914893617021274</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7</v>
      </c>
      <c r="K72" s="76" t="n">
        <v>0</v>
      </c>
      <c r="L72" s="76" t="n">
        <v>7</v>
      </c>
    </row>
    <row r="73" ht="23.25" customHeight="1">
      <c r="A73" s="20" t="inlineStr">
        <is>
          <t>Hitachi</t>
        </is>
      </c>
      <c r="B73" s="22" t="n">
        <v>2</v>
      </c>
      <c r="C73" s="24" t="n">
        <v>0.02127659574468085</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Merck</t>
        </is>
      </c>
      <c r="B74" s="22" t="n">
        <v>2</v>
      </c>
      <c r="C74" s="24" t="n">
        <v>0.02127659574468085</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Schneider Electric</t>
        </is>
      </c>
      <c r="B75" s="22" t="n">
        <v>2</v>
      </c>
      <c r="C75" s="24" t="n">
        <v>0.02127659574468085</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13</v>
      </c>
      <c r="K75" s="76" t="n">
        <v>3</v>
      </c>
      <c r="L75" s="76" t="n">
        <v>16</v>
      </c>
    </row>
    <row r="76" ht="23.25" customHeight="1">
      <c r="A76" s="20" t="inlineStr">
        <is>
          <t>UVM Health Network</t>
        </is>
      </c>
      <c r="B76" s="22" t="n">
        <v>2</v>
      </c>
      <c r="C76" s="24" t="n">
        <v>0.02127659574468085</v>
      </c>
      <c r="D76" s="3" t="n"/>
      <c r="E76" s="25" t="inlineStr">
        <is>
          <t>Total</t>
        </is>
      </c>
      <c r="F76" s="26">
        <f>SUM(F67:F75)</f>
        <v/>
      </c>
      <c r="G76" s="27">
        <f>SUM(G67:G75)</f>
        <v/>
      </c>
      <c r="H76" s="3" t="n"/>
      <c r="I76" s="20" t="inlineStr">
        <is>
          <t>Financial Distress</t>
        </is>
      </c>
      <c r="J76" s="76" t="n">
        <v>2</v>
      </c>
      <c r="K76" s="76" t="n">
        <v>0</v>
      </c>
      <c r="L76" s="76" t="n">
        <v>2</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6</v>
      </c>
      <c r="K77" s="76" t="n">
        <v>1</v>
      </c>
      <c r="L77" s="76" t="n">
        <v>7</v>
      </c>
    </row>
    <row r="78" ht="18" customHeight="1">
      <c r="A78" s="25" t="inlineStr">
        <is>
          <t>Total</t>
        </is>
      </c>
      <c r="B78" s="26">
        <f>SUM(B67:B77)</f>
        <v/>
      </c>
      <c r="C78" s="27">
        <f>SUM(C67:C77)</f>
        <v/>
      </c>
      <c r="D78" s="3" t="n"/>
      <c r="E78" s="3" t="n"/>
      <c r="F78" s="3" t="n"/>
      <c r="G78" s="3" t="n"/>
      <c r="H78" s="3" t="n"/>
      <c r="I78" s="20" t="inlineStr">
        <is>
          <t>Hurricane/Typhoon</t>
        </is>
      </c>
      <c r="J78" s="76" t="n">
        <v>0</v>
      </c>
      <c r="K78" s="76" t="n">
        <v>2</v>
      </c>
      <c r="L78" s="76" t="n">
        <v>2</v>
      </c>
    </row>
    <row r="79" ht="23.25" customHeight="1">
      <c r="A79" s="3" t="n"/>
      <c r="B79" s="3" t="n"/>
      <c r="C79" s="3" t="n"/>
      <c r="D79" s="3" t="n"/>
      <c r="E79" s="3" t="n"/>
      <c r="F79" s="3" t="n"/>
      <c r="G79" s="3" t="n"/>
      <c r="H79" s="3" t="n"/>
      <c r="I79" s="20" t="inlineStr">
        <is>
          <t>Labor Disruption</t>
        </is>
      </c>
      <c r="J79" s="76" t="n">
        <v>5</v>
      </c>
      <c r="K79" s="76" t="n">
        <v>0</v>
      </c>
      <c r="L79" s="76" t="n">
        <v>5</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Litigation/Legal</t>
        </is>
      </c>
      <c r="J81" s="76" t="n">
        <v>2</v>
      </c>
      <c r="K81" s="76" t="n">
        <v>0</v>
      </c>
      <c r="L81" s="76" t="n">
        <v>2</v>
      </c>
    </row>
    <row r="82" ht="23.25" customHeight="1">
      <c r="A82" s="3" t="n"/>
      <c r="B82" s="3" t="n"/>
      <c r="C82" s="3" t="n"/>
      <c r="D82" s="3" t="n"/>
      <c r="E82" s="3" t="n"/>
      <c r="F82" s="3" t="n"/>
      <c r="G82" s="3" t="n"/>
      <c r="H82" s="3" t="n"/>
      <c r="I82" s="20" t="inlineStr">
        <is>
          <t>Merger &amp; Acquisition</t>
        </is>
      </c>
      <c r="J82" s="76" t="n">
        <v>3</v>
      </c>
      <c r="K82" s="76" t="n">
        <v>2</v>
      </c>
      <c r="L82" s="76" t="n">
        <v>5</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Power Outage</t>
        </is>
      </c>
      <c r="J84" s="76" t="n">
        <v>1</v>
      </c>
      <c r="K84" s="76" t="n">
        <v>1</v>
      </c>
      <c r="L84" s="76" t="n">
        <v>2</v>
      </c>
    </row>
    <row r="85" ht="23.25" customHeight="1">
      <c r="A85" s="3" t="n"/>
      <c r="B85" s="3" t="n"/>
      <c r="C85" s="3" t="n"/>
      <c r="D85" s="3" t="n"/>
      <c r="E85" s="3" t="n"/>
      <c r="F85" s="3" t="n"/>
      <c r="G85" s="3" t="n"/>
      <c r="H85" s="3" t="n"/>
      <c r="I85" s="20" t="inlineStr">
        <is>
          <t>Protest/Riot</t>
        </is>
      </c>
      <c r="J85" s="76" t="n">
        <v>5</v>
      </c>
      <c r="K85" s="76" t="n">
        <v>0</v>
      </c>
      <c r="L85" s="76" t="n">
        <v>5</v>
      </c>
    </row>
    <row r="86" ht="23.25" customHeight="1">
      <c r="A86" s="3" t="n"/>
      <c r="B86" s="3" t="n"/>
      <c r="C86" s="3" t="n"/>
      <c r="D86" s="3" t="n"/>
      <c r="E86" s="3" t="n"/>
      <c r="F86" s="3" t="n"/>
      <c r="G86" s="3" t="n"/>
      <c r="H86" s="3" t="n"/>
      <c r="I86" s="20" t="inlineStr">
        <is>
          <t>Regulatory Change</t>
        </is>
      </c>
      <c r="J86" s="76" t="n">
        <v>6</v>
      </c>
      <c r="K86" s="76" t="n">
        <v>0</v>
      </c>
      <c r="L86" s="76" t="n">
        <v>6</v>
      </c>
    </row>
    <row r="87" ht="18" customHeight="1">
      <c r="A87" s="3" t="n"/>
      <c r="B87" s="3" t="n"/>
      <c r="C87" s="3" t="n"/>
      <c r="D87" s="3" t="n"/>
      <c r="E87" s="3" t="n"/>
      <c r="F87" s="3" t="n"/>
      <c r="G87" s="3" t="n"/>
      <c r="H87" s="3" t="n"/>
      <c r="I87" s="20" t="inlineStr">
        <is>
          <t>Supply Shortage</t>
        </is>
      </c>
      <c r="J87" s="76" t="n">
        <v>4</v>
      </c>
      <c r="K87" s="76" t="n">
        <v>4</v>
      </c>
      <c r="L87" s="76" t="n">
        <v>8</v>
      </c>
      <c r="M87" s="3" t="n"/>
      <c r="N87" s="3" t="n"/>
      <c r="O87" s="3" t="n"/>
      <c r="P87" s="3" t="n"/>
      <c r="Q87" s="3" t="n"/>
      <c r="R87" s="3" t="n"/>
    </row>
    <row r="88" ht="18" customHeight="1">
      <c r="A88" s="3" t="n"/>
      <c r="B88" s="3" t="n"/>
      <c r="C88" s="3" t="n"/>
      <c r="D88" s="3" t="n"/>
      <c r="E88" s="3" t="n"/>
      <c r="F88" s="3" t="n"/>
      <c r="G88" s="3" t="n"/>
      <c r="H88" s="3" t="n"/>
      <c r="I88" s="20" t="inlineStr">
        <is>
          <t>Tornado</t>
        </is>
      </c>
      <c r="J88" s="76" t="n">
        <v>3</v>
      </c>
      <c r="K88" s="76" t="n">
        <v>0</v>
      </c>
      <c r="L88" s="76" t="n">
        <v>3</v>
      </c>
      <c r="M88" s="3" t="n"/>
      <c r="N88" s="3" t="n"/>
      <c r="O88" s="3" t="n"/>
      <c r="P88" s="3" t="n"/>
      <c r="Q88" s="3" t="n"/>
      <c r="R88" s="3" t="n"/>
    </row>
    <row r="89" ht="18" customHeight="1">
      <c r="A89" s="3" t="n"/>
      <c r="B89" s="3" t="n"/>
      <c r="C89" s="3" t="n"/>
      <c r="D89" s="3" t="n"/>
      <c r="E89" s="3" t="n"/>
      <c r="F89" s="3" t="n"/>
      <c r="G89" s="3" t="n"/>
      <c r="H89" s="3" t="n"/>
      <c r="I89" s="20" t="inlineStr">
        <is>
          <t>Transport Disruption</t>
        </is>
      </c>
      <c r="J89" s="76" t="n">
        <v>2</v>
      </c>
      <c r="K89" s="76" t="n">
        <v>1</v>
      </c>
      <c r="L89" s="76" t="n">
        <v>3</v>
      </c>
      <c r="M89" s="3" t="n"/>
      <c r="N89" s="3" t="n"/>
      <c r="O89" s="3" t="n"/>
      <c r="P89" s="3" t="n"/>
      <c r="Q89" s="3" t="n"/>
      <c r="R89" s="3" t="n"/>
    </row>
    <row r="90" ht="18" customHeight="1">
      <c r="A90" s="3" t="n"/>
      <c r="B90" s="3" t="n"/>
      <c r="C90" s="3" t="n"/>
      <c r="D90" s="3" t="n"/>
      <c r="E90" s="3" t="n"/>
      <c r="F90" s="3" t="n"/>
      <c r="G90" s="3" t="n"/>
      <c r="H90" s="3" t="n"/>
      <c r="I90" s="20" t="inlineStr">
        <is>
          <t>Wildfire</t>
        </is>
      </c>
      <c r="J90" s="76" t="n">
        <v>3</v>
      </c>
      <c r="K90" s="76" t="n">
        <v>1</v>
      </c>
      <c r="L90" s="76" t="n">
        <v>4</v>
      </c>
      <c r="M90" s="3" t="n"/>
      <c r="N90" s="3" t="n"/>
      <c r="O90" s="3" t="n"/>
      <c r="P90" s="3" t="n"/>
      <c r="Q90" s="3" t="n"/>
      <c r="R90" s="3" t="n"/>
    </row>
    <row r="91" ht="18" customHeight="1">
      <c r="A91" s="3" t="n"/>
      <c r="B91" s="3" t="n"/>
      <c r="C91" s="3" t="n"/>
      <c r="D91" s="3" t="n"/>
      <c r="E91" s="3" t="n"/>
      <c r="F91" s="3" t="n"/>
      <c r="G91" s="3" t="n"/>
      <c r="H91" s="3" t="n"/>
      <c r="I91" s="25" t="inlineStr">
        <is>
          <t>Total</t>
        </is>
      </c>
      <c r="J91" s="77" t="n">
        <v>94</v>
      </c>
      <c r="K91" s="77" t="n">
        <v>20</v>
      </c>
      <c r="L91" s="77" t="n">
        <v>114</v>
      </c>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1"/>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Litigation/Legal</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electrical power supply affecting a facility, region, or grid.</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