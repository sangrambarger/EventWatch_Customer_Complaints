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2</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33</v>
                </pt>
                <pt idx="2">
                  <v>17</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103</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57</v>
                </pt>
                <pt idx="1">
                  <v>36</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35</v>
                </pt>
                <pt idx="1">
                  <v>13</v>
                </pt>
                <pt idx="2">
                  <v>7</v>
                </pt>
                <pt idx="3">
                  <v>4</v>
                </pt>
                <pt idx="4">
                  <v>4</v>
                </pt>
                <pt idx="5">
                  <v>3</v>
                </pt>
                <pt idx="6">
                  <v>2</v>
                </pt>
                <pt idx="7">
                  <v>2</v>
                </pt>
                <pt idx="8">
                  <v>2</v>
                </pt>
                <pt idx="9">
                  <v>2</v>
                </pt>
                <pt idx="10">
                  <v>25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31</v>
                </pt>
                <pt idx="1">
                  <v>32</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0"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3"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0"/>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Product</t>
        </is>
      </c>
      <c r="J111" s="33" t="inlineStr">
        <is>
          <t>Source Coverage</t>
        </is>
      </c>
      <c r="K111" s="33" t="inlineStr">
        <is>
          <t>Improvement</t>
        </is>
      </c>
      <c r="L111" s="33" t="inlineStr">
        <is>
          <t>RCA Shared</t>
        </is>
      </c>
      <c r="M111" s="33" t="inlineStr">
        <is>
          <t>Coverage of ransomware-group leak-site claims and threat-intelligence reporting, so a claimed breach at a named supplier is captured when the group publishes it rather than when a customer's own threat team circulates it internally</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t>
        </is>
      </c>
      <c r="P111" s="33" t="n"/>
      <c r="Q111" s="33" t="inlineStr">
        <is>
          <t>Yes</t>
        </is>
      </c>
      <c r="R111" s="39" t="n">
        <v>9</v>
      </c>
      <c r="S111" s="39" t="n"/>
      <c r="T111" s="35" t="inlineStr">
        <is>
          <t>Sep 2026</t>
        </is>
      </c>
      <c r="U111" s="33" t="inlineStr">
        <is>
          <t>Medium</t>
        </is>
      </c>
      <c r="V111" s="33" t="inlineStr">
        <is>
          <t>Dynamic Source Discovery</t>
        </is>
      </c>
      <c r="W111" s="33" t="inlineStr">
        <is>
          <t>EAO-51</t>
        </is>
      </c>
      <c r="X111" s="33" t="inlineStr">
        <is>
          <t>Internal investigation found that the ADM breach was not captured on the EventWatch portal, and attributes the miss to source coverage. The finding has been shared with General Mills.</t>
        </is>
      </c>
      <c r="Y111" s="33" t="inlineStr">
        <is>
          <t>Product &amp; Platform</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Pending</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n"/>
      <c r="Y117" s="33" t="inlineStr">
        <is>
          <t>EventWatch Ops - Nitin Rindhe</t>
        </is>
      </c>
      <c r="Z117" s="37" t="n"/>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n"/>
      <c r="Y119" s="33" t="inlineStr">
        <is>
          <t>EventWatch Ops - Nitin Rindhe</t>
        </is>
      </c>
      <c r="Z119" s="37" t="n"/>
    </row>
    <row r="120">
      <c r="A120" s="35" t="n">
        <v>46296</v>
      </c>
      <c r="B120" s="37" t="n">
        <v>46303</v>
      </c>
      <c r="C120" s="33" t="inlineStr">
        <is>
          <t>Utility Disruption</t>
        </is>
      </c>
      <c r="D120" s="33" t="inlineStr">
        <is>
          <t>General Mills</t>
        </is>
      </c>
      <c r="E120" s="39" t="n">
        <v>1</v>
      </c>
      <c r="F120" s="33" t="inlineStr">
        <is>
          <t>Carlisle, Iowa Municipal Water Disruption – No WarRoom Created (General Mills)</t>
        </is>
      </c>
      <c r="G120" s="33" t="inlineStr">
        <is>
          <t>Complaint</t>
        </is>
      </c>
      <c r="H120" s="33" t="inlineStr">
        <is>
          <t>Missed WarRoom</t>
        </is>
      </c>
      <c r="I120" s="33" t="inlineStr">
        <is>
          <t>Product</t>
        </is>
      </c>
      <c r="J120" s="33" t="inlineStr">
        <is>
          <t>Source Coverage</t>
        </is>
      </c>
      <c r="K120" s="33" t="inlineStr">
        <is>
          <t>Improvement</t>
        </is>
      </c>
      <c r="L120" s="33" t="inlineStr">
        <is>
          <t>Pending</t>
        </is>
      </c>
      <c r="M120" s="33" t="inlineStr">
        <is>
          <t>Capture of municipal utility disruptions and do-not-use-water orders, and their association with mapped customer sites in the named locality</t>
        </is>
      </c>
      <c r="N120" s="33" t="inlineStr">
        <is>
          <t>Yes</t>
        </is>
      </c>
      <c r="O120"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Under investigation: no RCA yet, and the Sub-type is a staging guess - source coverage, geofencing and WarRoom creation are all still open.</t>
        </is>
      </c>
      <c r="P120" s="33" t="n"/>
      <c r="Q120" s="33" t="inlineStr">
        <is>
          <t>Yes</t>
        </is>
      </c>
      <c r="R120" s="39" t="n">
        <v>10</v>
      </c>
      <c r="S120" s="39" t="n"/>
      <c r="T120" s="35" t="inlineStr">
        <is>
          <t>Oct 2026</t>
        </is>
      </c>
      <c r="U120" s="33" t="inlineStr">
        <is>
          <t>Medium</t>
        </is>
      </c>
      <c r="V120" s="33" t="inlineStr">
        <is>
          <t>Dynamic Source Discovery</t>
        </is>
      </c>
      <c r="W120" s="33" t="inlineStr">
        <is>
          <t>EAO-52</t>
        </is>
      </c>
      <c r="X120" s="33" t="n"/>
      <c r="Y120" s="33" t="inlineStr">
        <is>
          <t>Product &amp; Platform</t>
        </is>
      </c>
      <c r="Z120"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0.35353535353535354</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1</v>
      </c>
      <c r="L67" s="75" t="n">
        <v>14</v>
      </c>
    </row>
    <row r="68" ht="23.25" customHeight="1">
      <c r="A68" s="20" t="inlineStr">
        <is>
          <t>Eaton</t>
        </is>
      </c>
      <c r="B68" s="22" t="n">
        <v>13</v>
      </c>
      <c r="C68" s="24" t="n">
        <v>0.13131313131313133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0.0707070707070707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0.04040404040404041</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0.04040404040404041</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0.030303030303030304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0.020202020202020204</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META</t>
        </is>
      </c>
      <c r="B74" s="22" t="n">
        <v>2</v>
      </c>
      <c r="C74" s="24" t="n">
        <v>0.020202020202020204</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0.020202020202020204</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Schneider Electric</t>
        </is>
      </c>
      <c r="B76" s="22" t="n">
        <v>2</v>
      </c>
      <c r="C76" s="24" t="n">
        <v>0.020202020202020204</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0</v>
      </c>
      <c r="L79" s="76" t="n">
        <v>6</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Utility Disruption</t>
        </is>
      </c>
      <c r="J90" s="76" t="n">
        <v>1</v>
      </c>
      <c r="K90" s="76" t="n">
        <v>0</v>
      </c>
      <c r="L90" s="76" t="n">
        <v>1</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99</v>
      </c>
      <c r="K92" s="77" t="n">
        <v>20</v>
      </c>
      <c r="L92" s="77" t="n">
        <v>119</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3"/>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electrical supply failures only - a water, gas or steam outage is Utility Disruption;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Utility Disruption</t>
        </is>
      </c>
      <c r="C153" s="41" t="inlineStr">
        <is>
          <t>Loss or interruption of a non-electrical utility serving a facility - municipal water, gas or steam - including a do-not-use order that halts normal operations.</t>
        </is>
      </c>
      <c r="D153" s="41" t="inlineStr">
        <is>
          <t>Standard event category. Use Power Outage where the utility lost is electricity.</t>
        </is>
      </c>
      <c r="E153"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