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14</v>
                </pt>
                <pt idx="8">
                  <v>14</v>
                </pt>
                <pt idx="9">
                  <v>7</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4</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46</v>
                </pt>
                <pt idx="1">
                  <v>41</v>
                </pt>
                <pt idx="2">
                  <v>14</v>
                </pt>
                <pt idx="3">
                  <v>2</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109</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60</v>
                </pt>
                <pt idx="1">
                  <v>42</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Belden Inc</v>
                </pt>
                <pt idx="6">
                  <v>Ford/GM</v>
                </pt>
                <pt idx="7">
                  <v>General Mills</v>
                </pt>
                <pt idx="8">
                  <v>Irving Oil</v>
                </pt>
                <pt idx="9">
                  <v>META</v>
                </pt>
                <pt idx="10">
                  <v>Other customers</v>
                </pt>
              </strCache>
            </strRef>
          </cat>
          <val>
            <numRef>
              <f>Dashboard!$B$67:$B$77</f>
              <numCache>
                <formatCode>General</formatCode>
                <ptCount val="11"/>
                <pt idx="0">
                  <v>35</v>
                </pt>
                <pt idx="1">
                  <v>13</v>
                </pt>
                <pt idx="2">
                  <v>7</v>
                </pt>
                <pt idx="3">
                  <v>5</v>
                </pt>
                <pt idx="4">
                  <v>4</v>
                </pt>
                <pt idx="5">
                  <v>3</v>
                </pt>
                <pt idx="6">
                  <v>3</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33</v>
                </pt>
                <pt idx="1">
                  <v>37</v>
                </pt>
                <pt idx="2">
                  <v>5</v>
                </pt>
                <pt idx="3">
                  <v>4</v>
                </pt>
                <pt idx="4">
                  <v>8</v>
                </pt>
                <pt idx="5">
                  <v>1</v>
                </pt>
                <pt idx="6">
                  <v>3</v>
                </pt>
                <pt idx="7">
                  <v>2</v>
                </pt>
                <pt idx="8">
                  <v>8</v>
                </pt>
                <pt idx="9">
                  <v>2</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8"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7"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8"/>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Keyword Update</t>
        </is>
      </c>
      <c r="K4" s="33" t="inlineStr">
        <is>
          <t>Improvement</t>
        </is>
      </c>
      <c r="L4" s="33" t="inlineStr">
        <is>
          <t>Fixed</t>
        </is>
      </c>
      <c r="M4" s="33" t="inlineStr">
        <is>
          <t>Customer link ingestion</t>
        </is>
      </c>
      <c r="N4" s="33" t="inlineStr">
        <is>
          <t>No</t>
        </is>
      </c>
      <c r="O4" s="33" t="inlineStr">
        <is>
          <t>Feed harvesting gap; WarRoom created after escalation. Settled by the owner on 18-Oct-2026: no analyst can review an event they never saw, so this is a capture gap and not an identification failure. Keyword Update.</t>
        </is>
      </c>
      <c r="P4" s="33" t="n"/>
      <c r="Q4" s="33" t="inlineStr">
        <is>
          <t>Yes</t>
        </is>
      </c>
      <c r="R4" s="39" t="n">
        <v>1</v>
      </c>
      <c r="S4" s="39" t="n"/>
      <c r="T4" s="35" t="n">
        <v>46023</v>
      </c>
      <c r="U4" s="33" t="inlineStr">
        <is>
          <t>Medium</t>
        </is>
      </c>
      <c r="V4" s="33" t="inlineStr">
        <is>
          <t>Dynamic Source Discovery</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Review</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 Settled by the owner on 18-Oct-2026: an analyst moved the snowstorm to monitoring in error, which is a judgement failure. People and Review.</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WarRoom Creation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 Settled by the owner on 18-Oct-2026: notifying the event and creating the WarRoom are two steps issued together, and here the event went out with no WarRoom attached. The WarRoom was created after the customer wrote in, so the sub-type is WarRoom Creation and Missed_Flag stays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Model Classification Defect</t>
        </is>
      </c>
      <c r="K17" s="33" t="inlineStr">
        <is>
          <t>Improvement</t>
        </is>
      </c>
      <c r="L17" s="33" t="inlineStr">
        <is>
          <t>Clarification Provided</t>
        </is>
      </c>
      <c r="M17" s="33" t="inlineStr">
        <is>
          <t>A not-impactful decision check on captured incidents at manufacturing sites, so a factory fire is not closed out before an analyst has weighed it; and relevance scoring that stops treating supplier mapping as a dominant decision factor, so an unmapped site is judged on incident severity and downstream supply chain potential instead</t>
        </is>
      </c>
      <c r="N17" s="33" t="inlineStr">
        <is>
          <t>No</t>
        </is>
      </c>
      <c r="O17" s="33" t="inlineStr">
        <is>
          <t>Event not triggered due to company not mapped as Ford supplier; explanation provided. Settled by the owner on 18-Oct-2026: this is the same failure as the ADM data breach row. The articles were captured and the classification models categorised them Not Impactful, and the human-in-the-loop review did not correct it. Product and Model Classification Defect. The earlier note that the company was not mapped as a Ford supplier is superseded by this finding. Settled by the owner on 18-Oct-2026: the remedy and the focus follow the corrected cause. The mapping-explanation template and Entity and Supplier Resolution described the superseded theory, not the failure.</t>
        </is>
      </c>
      <c r="P17" s="33" t="n"/>
      <c r="Q17" s="33" t="inlineStr">
        <is>
          <t>Yes</t>
        </is>
      </c>
      <c r="R17" s="39" t="n">
        <v>3</v>
      </c>
      <c r="S17" s="39" t="n"/>
      <c r="T17" s="35" t="n">
        <v>46082</v>
      </c>
      <c r="U17" s="33" t="inlineStr">
        <is>
          <t>Medium</t>
        </is>
      </c>
      <c r="V17" s="33" t="inlineStr">
        <is>
          <t>Classification &amp; Impact Validation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Published Late</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 Settled by the owner on 18-Oct-2026: both the bulletin and the WarRoom went out after the customer email. The guidance was applied correctly while the event was under monitoring, so no decision was wrong; what came late was the escalation once the impact threshold was met. People and Published Late, Missed_Flag stays Yes.</t>
        </is>
      </c>
      <c r="P26" s="33" t="inlineStr">
        <is>
          <t>~1 day (Mar 26 to Mar 27)</t>
        </is>
      </c>
      <c r="Q26" s="33" t="inlineStr">
        <is>
          <t>Yes</t>
        </is>
      </c>
      <c r="R26" s="39" t="n">
        <v>3</v>
      </c>
      <c r="S26" s="39" t="n">
        <v>24</v>
      </c>
      <c r="T26" s="35" t="n">
        <v>46082</v>
      </c>
      <c r="U26" s="33" t="inlineStr">
        <is>
          <t>Medium</t>
        </is>
      </c>
      <c r="V26" s="33" t="inlineStr">
        <is>
          <t>WarRoom &amp; Decision Validation</t>
        </is>
      </c>
      <c r="X26" s="33" t="inlineStr">
        <is>
          <t>EventWatch monitored the Midwest weather threat from the point it was first identified. While it was thunderstorm activity and tornado warnings it was correctly held under monitoring, because the guidelines notify those only on confirmed impact such as structural damage, infrastructure disruption, transport interruption or utility outage. Public reports then confirmed structural damage in Hardin County and Kenton, Ohio, and a tornado touchdown, which met the notification criteria. The bulletin and the WarRoom were prepared and issued only after Ford wrote in on 27-Mar-2026, so the escalation at the point the threshold was crossed came late.</t>
        </is>
      </c>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Platform Bug</t>
        </is>
      </c>
      <c r="K31" s="33" t="inlineStr">
        <is>
          <t>Bug</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 Settled by the owner on 18-Oct-2026: this is an engineering defect, not a mapping gap. The four omitted sites met the customer settings and the impact-region criteria, so the targets were on file and the system did not send to them. Product and Platform Bug, and it stays a miss. Settled by the owner on 18-Oct-2026: recorded as a Bug rather than an Improvement, to match the Platform Bug sub-type. The ticket documented no root cause at the time, so the defect is confirmed by the owner rather than by the record.</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Review</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 Settled by the owner on 18-Oct-2026: the model identified the event correctly and the analyst got the impact call wrong, which is People and Review.</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Review</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 Settled by the owner on 18-Oct-2026: the analyst did not run the company-mapping check before marking the story Not Impactful. The process existed and a person skipped it, so the row is People and Review with the process-adherence finding recorded here, not a Process root cause. Missed_Flag stays Yes.</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Keyword Update</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 Settled by the owner on 18-Oct-2026: the record's own finding names a keyword gap, so the row is filed Keyword Update rather than Event Identification.</t>
        </is>
      </c>
      <c r="P54" s="33" t="n"/>
      <c r="Q54" s="33" t="inlineStr">
        <is>
          <t>Yes</t>
        </is>
      </c>
      <c r="R54" s="39" t="n">
        <v>5</v>
      </c>
      <c r="S54" s="39" t="n"/>
      <c r="T54" s="35" t="n">
        <v>46143</v>
      </c>
      <c r="U54" s="33" t="inlineStr">
        <is>
          <t>Medium</t>
        </is>
      </c>
      <c r="V54" s="33" t="inlineStr">
        <is>
          <t>Dynamic Source Discovery</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Published Late</t>
        </is>
      </c>
      <c r="K55" s="33" t="inlineStr">
        <is>
          <t>Improvement</t>
        </is>
      </c>
      <c r="L55" s="33" t="inlineStr">
        <is>
          <t>Fixed</t>
        </is>
      </c>
      <c r="M55" s="33" t="inlineStr">
        <is>
          <t>Escalation timeliness check on a mapped supplier, so a bulletin that has been sitting unpublished is raised before the customer asks for it</t>
        </is>
      </c>
      <c r="N55" s="33" t="inlineStr">
        <is>
          <t>Yes</t>
        </is>
      </c>
      <c r="O55" s="33" t="inlineStr">
        <is>
          <t>NVR asked why no WarRoom appeared for SRS Distribution's completed acquisition of Mingledorff's. The supplier was mapped; the entire bulletin was published late, nine days after the event of 11-May-2026. Internal notes record erosion of trust. Settled by the owner: this is a publishing delay, not a mapping failure and not a ranking decision, so the Sub-type is Published Late and the focus moves off Entity &amp; Supplier Resolution to WarRoom &amp; Decision Validation, where the other two Published Late rows sit. The earlier Prioritization filing and the Mapping validation remedy both described causes the record does not support.</t>
        </is>
      </c>
      <c r="P55" s="33" t="inlineStr">
        <is>
          <t>~9 days (May 11 → May 20)</t>
        </is>
      </c>
      <c r="Q55" s="33" t="inlineStr">
        <is>
          <t>Yes</t>
        </is>
      </c>
      <c r="R55" s="39" t="n">
        <v>5</v>
      </c>
      <c r="S55" s="39" t="n">
        <v>216</v>
      </c>
      <c r="T55" s="35" t="n">
        <v>46143</v>
      </c>
      <c r="U55" s="33" t="inlineStr">
        <is>
          <t>Medium</t>
        </is>
      </c>
      <c r="V55" s="33" t="inlineStr">
        <is>
          <t>WarRoom &amp; Decision Validation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People</t>
        </is>
      </c>
      <c r="J65" s="33" t="inlineStr">
        <is>
          <t>Review</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 Settled by the owner on 18-Oct-2026: an analyst overlooked the event, so the root cause moves from Product to People and the row routes to EventWatch Ops.</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RCA approved and sent to the customer on 15-Jun-2026 as a PDF attached to EAO-4; the document text is not in the ticket.</t>
        </is>
      </c>
      <c r="Y65" s="33" t="inlineStr">
        <is>
          <t>EventWatch Ops - Nitin Rindhe</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RCA reviewed and sent to the customer as a PDF attached to EAO-10 (29-Jun-2026); the document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Clustering / Duplication Defect</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 Settled by the owner on 18-Oct-2026: the feeds captured the fire and clustered it with an unrelated German factory fire, which is a Product clustering defect.</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RCA approved and sent to the customer on 25-Jun-2026 as a PDF attached to EAO-9; the document text is not in the ticket. The WarRoom itself was published before the RCA was issued.</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Model Classification Defect</t>
        </is>
      </c>
      <c r="K74" s="33" t="inlineStr">
        <is>
          <t>Improvement</t>
        </is>
      </c>
      <c r="L74" s="33" t="inlineStr">
        <is>
          <t>RCA Shared</t>
        </is>
      </c>
      <c r="M74"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t>
        </is>
      </c>
      <c r="P74" s="33" t="n"/>
      <c r="Q74" s="33" t="inlineStr">
        <is>
          <t>Yes</t>
        </is>
      </c>
      <c r="R74" s="39" t="n">
        <v>7</v>
      </c>
      <c r="S74" s="39" t="n"/>
      <c r="T74" s="35" t="n">
        <v>46204</v>
      </c>
      <c r="U74" s="33" t="inlineStr">
        <is>
          <t>Medium</t>
        </is>
      </c>
      <c r="V74" s="33" t="inlineStr">
        <is>
          <t>WarRoom &amp; Decision Validation</t>
        </is>
      </c>
      <c r="W74" s="33" t="inlineStr">
        <is>
          <t>EAO-13</t>
        </is>
      </c>
      <c r="X74" s="33" t="inlineStr">
        <is>
          <t>A methodology weakness that Resilinc accepted, rather than an analyst execution error. EventWatch captured multiple public reports of the June 28, 2026 fire at the foam-manufacturing facility in Cuautitlan Izcalli, Mexico. The AI classification models categorized the event as Not Impactful based on the relevance assessment, including the absence of confirmed downstream supply-chain impact in the available reporting. The reporting team reviewed the captured articles through the human-in-the-loop process and concurred with the classification, so the event was not published. The investigation concluded that the weakness was in the relevance-assessment methodology itself. Significant industrial incidents required greater evaluation based on incident severity, manufacturing activity, facility type, industry relevance, and potential downstream impact, even when the available reporting did not yet confirm a direct supply-chain disruption. Resilinc accepted this methodology weakness, issued an ICA on 17-Jul-2026 adding a manual review for major industrial incidents initially classified Not Impactful, and committed to a PCA enhancing the AI relevance-scoring models. An earlier version of this entry listed the company's absence from the supplier database as a ground for the Not Impactful classification. That explanation is superseded. Supplier mapping was not a dominant input to the Event/Non-Event or Impactful/Not-Impactful classification decision.</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RCA approved and sent to the customer on 13-Jul-2026 as a PDF attached to EAO-14; the document text is not in the ticket.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People</t>
        </is>
      </c>
      <c r="J76" s="33" t="inlineStr">
        <is>
          <t>Supplier Selection Miss</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 Settled by the owner on 18-Oct-2026: the supplier was mapped under two names and the analyst checked only one of them, so this is an analyst selection miss rather than a normalization defect. Missed_Flag stays Yes: no WarRoom reached the customer.</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 Settled by the owner on 18-Oct-2026: the normalization account above is superseded. Samsung Electronics is also mapped as Samsung in the portal for this customer, so the supplier was on file under a second name. The analyst checked Samsung Electronics only and did not check Samsung, so the sites were never selected and no customer WarRoom was created. The failure is supplier selection by a person, not a platform normalization defect. People and Supplier Selection Miss, routed to EventWatch Ops.</t>
        </is>
      </c>
      <c r="Y76" s="33" t="inlineStr">
        <is>
          <t>EventWatch Ops - Nitin Rindhe</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Product</t>
        </is>
      </c>
      <c r="J78" s="33" t="inlineStr">
        <is>
          <t>Source Coverage</t>
        </is>
      </c>
      <c r="K78" s="33" t="inlineStr">
        <is>
          <t>Improvement</t>
        </is>
      </c>
      <c r="L78" s="33" t="inlineStr">
        <is>
          <t>RCA Shared</t>
        </is>
      </c>
      <c r="M78" s="33" t="inlineStr">
        <is>
          <t>Legal/labor-litigation source coverage and entity-linking for supplier-adjacent lawsuits</t>
        </is>
      </c>
      <c r="N78" s="33" t="inlineStr">
        <is>
          <t>Yes</t>
        </is>
      </c>
      <c r="O78" s="33" t="inlineStr">
        <is>
          <t>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Dynamic Source Discovery</t>
        </is>
      </c>
      <c r="W78" s="33" t="inlineStr">
        <is>
          <t>EAO-17</t>
        </is>
      </c>
      <c r="X78" s="33" t="inlineStr">
        <is>
          <t>RCA reviewed and sent to the customer on 14-Jul-2026 as a PDF attached to EAO-17; the document text is not in the ticket.</t>
        </is>
      </c>
      <c r="Y78" s="33" t="inlineStr">
        <is>
          <t>Product &amp; Platform</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Review</t>
        </is>
      </c>
      <c r="K82" s="33" t="inlineStr">
        <is>
          <t>Improvement</t>
        </is>
      </c>
      <c r="L82" s="33" t="inlineStr">
        <is>
          <t>RCA Shared</t>
        </is>
      </c>
      <c r="M82" s="33" t="inlineStr">
        <is>
          <t>Escalation automation for environmental-hazard advisories</t>
        </is>
      </c>
      <c r="N82" s="33" t="inlineStr">
        <is>
          <t>Yes</t>
        </is>
      </c>
      <c r="O82" s="33" t="inlineStr">
        <is>
          <t>Ford reported no EventWatch alert/WarRoom was generated for July 15-17 wildfire smoke air-quality degradation across the US Midwest/Northeast; CS confirmed no matching notification was found. Settled by the owner on 18-Oct-2026: an analyst did not assess or review the wildfire smoke event correctly. People and Review.</t>
        </is>
      </c>
      <c r="Q82" s="33" t="inlineStr">
        <is>
          <t>Yes</t>
        </is>
      </c>
      <c r="R82" s="39" t="n">
        <v>7</v>
      </c>
      <c r="T82" s="35" t="n">
        <v>46204</v>
      </c>
      <c r="U82" s="33" t="inlineStr">
        <is>
          <t>Medium</t>
        </is>
      </c>
      <c r="V82" s="33" t="inlineStr">
        <is>
          <t>WarRoom &amp; Decision Validation</t>
        </is>
      </c>
      <c r="W82" s="33" t="inlineStr">
        <is>
          <t>EAO-21</t>
        </is>
      </c>
      <c r="X82" s="33" t="inlineStr">
        <is>
          <t>RCA approved and sent to the customer on 21-Jul-2026 as a PDF attached to EAO-21; the document text is not in the ticket.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GM reported a fire at UTAS-Nova Automotive Lighting Systems, Danyang, Jiangsu, China (reported July 10) was not found in GM's org. EventWatch searched English and Chinese public sources on 04-Aug-2026 and found no article confirming the fire, and opened a monitoring story pending credible public reporting. Unresolved: the RCA Details on this row name a clustering defect, which is the finding for the Nemak article on the same ticket and not for this event. The cause here has not been settled.</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GM reported no event was created specifically for the July 27 Chicago Heights, Illinois tornado (broader Illinois storm alerts existed) and asked whether Trialco was identified as impacted. EventWatch answered on 04-Aug-2026 that the storm was notified with a WarRoom on 27-Jul-2026, titled Severe Thunderstorms Cause Widespread Damage in Parts of Wisconsin, Illinois, and that Trialco's Chicago Heights location sits inside that WarRoom's geofence, with no public reporting of damage at the facility. Unresolved: a bulletin did reach GM, so whether this row is a confirmed miss has not been re-examined since, and the RCA Details name the clustering finding for the Nemak article on the same ticket rather than this event.</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RCA approved and sent to the customer on 05-Aug-2026 as a PDF attached to EAO-23; the document text is not in the ticket.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RCA reviewed and sent to the customer on 20-Aug-2026 as a PDF attached to EAO-27; the document text is not in the ticket. Closed 25-Aug-2026 after no customer follow-up.</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Complaint</t>
        </is>
      </c>
      <c r="H92" s="33" t="inlineStr">
        <is>
          <t>Missed Event</t>
        </is>
      </c>
      <c r="I92" s="33" t="inlineStr">
        <is>
          <t>Product</t>
        </is>
      </c>
      <c r="J92" s="33" t="inlineStr">
        <is>
          <t>Source Coverage</t>
        </is>
      </c>
      <c r="K92" s="33" t="inlineStr">
        <is>
          <t>Improvement</t>
        </is>
      </c>
      <c r="L92" s="33" t="inlineStr">
        <is>
          <t>RCA Shared</t>
        </is>
      </c>
      <c r="M92" s="33" t="inlineStr">
        <is>
          <t>Dynamic Source Discovery</t>
        </is>
      </c>
      <c r="N92" s="33" t="inlineStr">
        <is>
          <t>Yes</t>
        </is>
      </c>
      <c r="O92" s="33" t="inlineStr">
        <is>
          <t>EAO-26: Customer reported a missed EventWatch alert for the Sasol polyethylene plant fire and shutdown. Investigation and RCA were requested; RCA shared.</t>
        </is>
      </c>
      <c r="P92" s="33" t="n"/>
      <c r="Q92" s="33" t="inlineStr">
        <is>
          <t>Yes</t>
        </is>
      </c>
      <c r="R92" s="39" t="n">
        <v>8</v>
      </c>
      <c r="S92" s="39" t="n"/>
      <c r="T92" s="35" t="n">
        <v>46235</v>
      </c>
      <c r="U92" s="33" t="inlineStr">
        <is>
          <t>Medium</t>
        </is>
      </c>
      <c r="V92" s="33" t="inlineStr">
        <is>
          <t>Dynamic Source Discovery</t>
        </is>
      </c>
      <c r="W92" s="33" t="inlineStr">
        <is>
          <t>EAO-26</t>
        </is>
      </c>
      <c r="X92" s="33" t="inlineStr">
        <is>
          <t>RCA reviewed and sent to the customer on 20-Aug-2026 as a PDF attached to EAO-26; the document text is not in the ticket. Closed 25-Aug-2026 after no customer follow-up.</t>
        </is>
      </c>
      <c r="Y92" s="33" t="inlineStr">
        <is>
          <t>Product &amp; Platform</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Dynamic Source Discovery</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Keyword miss, confirmed by Engineering on 21-Aug-2026. The articles carrying the Laredo World Trade Bridge closure were not matched by the terms then in use. The keywords have been added and the articles are captured now. Supersedes the earlier shared note that no RCA had been issued, which was written while the ticket was still with Engineering.</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Dynamic Source Discovery</t>
        </is>
      </c>
      <c r="N95" s="33" t="inlineStr">
        <is>
          <t>Yes</t>
        </is>
      </c>
      <c r="O95" s="33" t="inlineStr">
        <is>
          <t>EAO-25: Event was not captured by the vendor due to a source coverage gap. Vendor was asked to add the sources to its network. RCA shared based on the investigation trail. Unresolved: EAO-13 records the same Cuautitlan FXI fire of 28-Jun-2026 as captured and then classified Not Impactful by the model, which is the opposite finding. Both tickets are Ford-facing and the contradiction has not been resolved.</t>
        </is>
      </c>
      <c r="P95" s="33" t="n"/>
      <c r="Q95" s="33" t="inlineStr">
        <is>
          <t>Yes</t>
        </is>
      </c>
      <c r="R95" s="39" t="n">
        <v>8</v>
      </c>
      <c r="S95" s="39" t="n"/>
      <c r="T95" s="35" t="n">
        <v>46235</v>
      </c>
      <c r="U95" s="33" t="inlineStr">
        <is>
          <t>Medium</t>
        </is>
      </c>
      <c r="V95" s="33" t="inlineStr">
        <is>
          <t>Dynamic Source Discovery</t>
        </is>
      </c>
      <c r="W95" s="33" t="inlineStr">
        <is>
          <t>EAO-25</t>
        </is>
      </c>
      <c r="X95" s="33" t="inlineStr">
        <is>
          <t>Source miss, confirmed by Engineering on 21-Aug-2026: the FXI de Cuautitlan fire was not captured by the vendor, and the vendor has been asked to add the outlets carrying it to its network. Supersedes the earlier shared note that no RCA had been issued, which was written while the ticket was still with Engineering.</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People</t>
        </is>
      </c>
      <c r="J96" s="33" t="inlineStr">
        <is>
          <t>Review</t>
        </is>
      </c>
      <c r="K96" s="33" t="inlineStr">
        <is>
          <t>Improvement</t>
        </is>
      </c>
      <c r="L96" s="33" t="inlineStr">
        <is>
          <t>RCA Shared</t>
        </is>
      </c>
      <c r="M96" s="33" t="inlineStr">
        <is>
          <t>Not Impactful Decision Validation</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WarRoom &amp; Decision Validation</t>
        </is>
      </c>
      <c r="W96" s="33" t="inlineStr">
        <is>
          <t>EAO-25</t>
        </is>
      </c>
      <c r="X96" s="33" t="inlineStr">
        <is>
          <t>Captured, clustered, and then closed at review. Engineering confirmed on 21-Aug-2026 that the algorithm captured the Nemak Santa Catarina fire, and that the news processing pipeline attached it to the existing factory-fire cluster for Nuevo Leon as an update; an analyst later marked that cluster Not Impactful. Supersedes the earlier shared note that the source articles were not captured, which was true of the FXI fire on the same ticket and not of this one.</t>
        </is>
      </c>
      <c r="Y96" s="33" t="inlineStr">
        <is>
          <t>EventWatch Ops - Nitin Rindhe</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This is a publishing-quality complaint, not a missed bulletin, so Missed_Flag is No.</t>
        </is>
      </c>
      <c r="P97" s="33" t="n"/>
      <c r="Q97" s="33" t="inlineStr">
        <is>
          <t>Yes</t>
        </is>
      </c>
      <c r="R97" s="39" t="n">
        <v>8</v>
      </c>
      <c r="S97" s="39" t="n"/>
      <c r="T97" s="35" t="n">
        <v>46235</v>
      </c>
      <c r="U97" s="33" t="inlineStr">
        <is>
          <t>Medium</t>
        </is>
      </c>
      <c r="V97" s="33" t="inlineStr">
        <is>
          <t>Notification Visibility Monitoring</t>
        </is>
      </c>
      <c r="W97" s="33" t="inlineStr">
        <is>
          <t>TS-22695</t>
        </is>
      </c>
      <c r="X97" s="33" t="n"/>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v>46286</v>
      </c>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v>46290</v>
      </c>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Incorrect Geocode</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In Progress) and EAO-36 (Ford, 08-Sep, closed 22-Oct-2026).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cause is incorrect geocoding of supplier site coordinates rather than an operator or polygon error. Ford requested RCA, immediate corrective action and preventive corrective action. Number of Customers is 2; see the customer exposure table for the per-customer split. Confirmed on 08-Oct-2026 as a geocode mismatch, not a probable one: the SMI AMTEK site carried two sets of coordinates and one of them pinned it near Chandigarh. The impact polygon and the automated selection operated correctly on the coordinates available in the system. Sub-type moved from Mapping / Routing Defect to Incorrect Geocode on 22-Oct-2026, that value having been added for this failure. Two things are still open and nobody is chasing them from this row: the DO team's correction of the SMI AMTEK coordinates is unconfirmed, and the Data team has not answered what the source of the Pune site's coordinates was, having been asked on 13-Oct and chased on 19-Oct. The proximity explanation given to the customer on 11-Sep-2026 is superseded by the finding above.</t>
        </is>
      </c>
      <c r="P104" s="33" t="n"/>
      <c r="Q104" s="33" t="inlineStr">
        <is>
          <t>No</t>
        </is>
      </c>
      <c r="R104" s="39" t="n">
        <v>9</v>
      </c>
      <c r="S104" s="39" t="n"/>
      <c r="T104" s="35" t="inlineStr">
        <is>
          <t>Sep 2026</t>
        </is>
      </c>
      <c r="U104" s="33" t="inlineStr">
        <is>
          <t>Medium</t>
        </is>
      </c>
      <c r="V104" s="33" t="inlineStr">
        <is>
          <t>Entity &amp; Supplier Resolution</t>
        </is>
      </c>
      <c r="W104" s="33" t="inlineStr">
        <is>
          <t>EAO-35/EAO-36</t>
        </is>
      </c>
      <c r="X104" s="33" t="inlineStr">
        <is>
          <t>Supplier selection for this event was system-driven: a polygon was drawn around the affected region in Punjab, so no analyst chose the sites by hand and an incorrect manual selection is not possible. Customer Support confirmed on 08-Oct-2026 that SMI AMTEK CRANKSHAFT held two sets of geographic coordinates, one of which pinned the site near Chandigarh rather than at its actual location in Dharuhera, Rewari, Haryana. The incorrectly pinned location fell inside the geofence, so the site was associated with the WarRoom automatically. No proximity rule and no buffer zone were applied: inclusion was decided by the coordinates on the site record intersecting the polygon. A ticket was raised with the DO team to correct the coordinates. The source of the coordinates on Eaton's Pune site sits with the Data team and is still unanswered. This supersedes the earlier explanation that the site was included on its proximity to the affected region, which was read off the location the platform displayed and was itself the wrong pin.</t>
        </is>
      </c>
      <c r="Y104" s="33" t="inlineStr">
        <is>
          <t>Product &amp; Platform</t>
        </is>
      </c>
      <c r="Z104" s="37" t="n"/>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v>46303</v>
      </c>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v>46308</v>
      </c>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v>46301</v>
      </c>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v>46301</v>
      </c>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posted on 24-Sep-2026 and shared with the customer; the ticket closed on 05-Oct-2026.</t>
        </is>
      </c>
      <c r="Y109" s="33" t="inlineStr">
        <is>
          <t>Product &amp; Platform</t>
        </is>
      </c>
      <c r="Z109" s="37" t="n">
        <v>46300</v>
      </c>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v>46302</v>
      </c>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v>46300</v>
      </c>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v>46304</v>
      </c>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v>46303</v>
      </c>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RCA reviewed internally on 05-Oct-2026 and shared with the customer as a PDF attached to EAO-48; the document text is not in the ticket. Closed 07-Oct-2026 with no follow-up received.</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v>46316</v>
      </c>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RCA Shared</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closed on 14-Oct-2026 and the document text is not in the ticket.</t>
        </is>
      </c>
      <c r="Y120" s="33" t="inlineStr">
        <is>
          <t>EventWatch Ops - Nitin Rindhe</t>
        </is>
      </c>
      <c r="Z120" s="37" t="n">
        <v>46309</v>
      </c>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Fixed</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added the keywords to two RSS feeds on 14-Oct-2026, so the corrective action is complete and the row leaves Pending. STILL OPEN, and nothing automatic will look at this row again: the written RCA was attached on 14-Oct-2026 and is in internal approval with PM, not yet shared with General Mills, so there is no Resolution Date; the geofencing and WarRoom-creation questions the customer raised have not been answered separately. The Sub-type reads Keyword Update on engineering's own wording and awaits the owner's confirmation.</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Engineering added the keywords to two RSS feeds on 14-Oct-2026. Not a source-coverage gap - the row was staged as one before the investigation reported, and is corrected here. A written RCA was attached to the ticket on 14-Oct-2026 and its text is not readable from Jira.</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Source Coverage</t>
        </is>
      </c>
      <c r="K125" s="33" t="inlineStr">
        <is>
          <t>Improvement</t>
        </is>
      </c>
      <c r="L125" s="33" t="inlineStr">
        <is>
          <t>RCA Shared</t>
        </is>
      </c>
      <c r="M125" s="33" t="inlineStr">
        <is>
          <t>Source onboarding and feed-receipt verification for Turkish-language business and regional news covering the Bursa automotive cluster, so a filing at a sub-tier supplier is carried when it is published rather than found when the customer raises it</t>
        </is>
      </c>
      <c r="N125" s="33" t="inlineStr">
        <is>
          <t>Yes</t>
        </is>
      </c>
      <c r="O125" s="33" t="inlineStr">
        <is>
          <t>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cited sources are Turkish-language reports of alleged billion-lira fraud in the Bursa automotive sector, offered as customer evidence rather than verified fact. Settled as a source coverage gap: none of the three outlets is in the vendor's monitoring network and no similar source was captured, so there was no keyword possibility. This is the distinction against EAO-54, where the vendor did monitor the outlets and the matching terms missed the stories. Closed on the owner's call on 18-Oct-2026: the source-coverage finding is the response going back to Ford, so the row moves off Pending to RCA Shared. Resolution Date is left blank because the Jira ticket is still open at Approval Requested with no resolutiondate, and a guessed date is worse than none. A human carries the two loose ends from here, because a row off Pending is no longer picked up by the daily re-check: the vendor has not confirmed the sources are added, and the ticket has no closing date.</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inlineStr">
        <is>
          <t>Source coverage gap, confirmed by Product Management. None of the three outlets carrying the Bursa fraud allegations is in the vendor's monitoring network: ekonomistar.com.tr, which Ford cited, and sondakihaber.com and ifinnapp.com, which were checked on the ticket. No similar source reporting the news was captured either, so the story never reached the application and no keyword could have matched it. The vendor has been asked to add the sources and is working on it. Established by Ankit Gupta on 16-Oct-2026 and confirmed by Product Management.</t>
        </is>
      </c>
      <c r="Y125" s="33" t="inlineStr">
        <is>
          <t>Product &amp; Platform</t>
        </is>
      </c>
      <c r="Z125" s="37" t="n"/>
    </row>
    <row r="126">
      <c r="A126" s="35" t="n">
        <v>46296</v>
      </c>
      <c r="B126" s="37" t="n">
        <v>46310</v>
      </c>
      <c r="C126" s="33" t="inlineStr">
        <is>
          <t>Supply Shortage</t>
        </is>
      </c>
      <c r="D126" s="33" t="inlineStr">
        <is>
          <t>Belden Inc</t>
        </is>
      </c>
      <c r="E126" s="39" t="n">
        <v>1</v>
      </c>
      <c r="F126" s="33" t="inlineStr">
        <is>
          <t>Gallium and Germanium Supply Risk Under Chinese Export Curbs - No EventWatch Notification (Belden)</t>
        </is>
      </c>
      <c r="G126" s="33" t="inlineStr">
        <is>
          <t>Complaint</t>
        </is>
      </c>
      <c r="H126" s="33" t="inlineStr">
        <is>
          <t>Missed Event</t>
        </is>
      </c>
      <c r="I126" s="33" t="inlineStr">
        <is>
          <t>Product</t>
        </is>
      </c>
      <c r="J126" s="33" t="inlineStr">
        <is>
          <t>Keyword Update</t>
        </is>
      </c>
      <c r="K126" s="33" t="inlineStr">
        <is>
          <t>Improvement</t>
        </is>
      </c>
      <c r="L126" s="33" t="inlineStr">
        <is>
          <t>Pending</t>
        </is>
      </c>
      <c r="M126" s="33" t="inlineStr">
        <is>
          <t>Keyword coverage for critical-minerals export controls and compound-semiconductor feedstock risk, so a story worded around export curbs and niche metals is matched rather than passing through an ingested feed unrecognised</t>
        </is>
      </c>
      <c r="N126" s="33" t="inlineStr">
        <is>
          <t>Yes</t>
        </is>
      </c>
      <c r="O126" s="33" t="inlineStr">
        <is>
          <t>One of two events Belden raised in a single ticket about gallium arsenide, indium phosphide and semiconductor supply-chain risk; see the companion row for the epiwafer price increases. This row covers the Reuters report of 18-Sep-2026 on continued high prices and supply shortages for gallium and germanium under Chinese export curbs, with AI, fibre-optic and infrared-imaging demand adding pressure.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Reuters is in the monitoring network, which rules out a source gap and establishes the Sub-type as a keyword gap rather than leaving it a staging guess.</t>
        </is>
      </c>
      <c r="P126" s="33" t="n"/>
      <c r="Q126" s="33" t="inlineStr">
        <is>
          <t>Yes</t>
        </is>
      </c>
      <c r="R126" s="39" t="n">
        <v>10</v>
      </c>
      <c r="S126" s="39" t="n"/>
      <c r="T126" s="35" t="inlineStr">
        <is>
          <t>Oct 2026</t>
        </is>
      </c>
      <c r="U126" s="33" t="inlineStr">
        <is>
          <t>Medium</t>
        </is>
      </c>
      <c r="V126" s="33" t="inlineStr">
        <is>
          <t>Dynamic Source Discovery</t>
        </is>
      </c>
      <c r="W126" s="33" t="inlineStr">
        <is>
          <t>EAO-54</t>
        </is>
      </c>
      <c r="X126" s="33" t="inlineStr">
        <is>
          <t>Keyword gap, not a source gap. Reuters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6" s="33" t="inlineStr">
        <is>
          <t>Product &amp; Platform</t>
        </is>
      </c>
      <c r="Z126" s="37" t="n"/>
    </row>
    <row r="127">
      <c r="A127" s="35" t="n">
        <v>46296</v>
      </c>
      <c r="B127" s="37" t="n">
        <v>46310</v>
      </c>
      <c r="C127" s="33" t="inlineStr">
        <is>
          <t>Supply Shortage</t>
        </is>
      </c>
      <c r="D127" s="33" t="inlineStr">
        <is>
          <t>Belden Inc</t>
        </is>
      </c>
      <c r="E127" s="39" t="n">
        <v>1</v>
      </c>
      <c r="F127" s="33" t="inlineStr">
        <is>
          <t>GaAs and InP Epiwafer Price Increases in the Taiwan Supply Chain - No EventWatch Notification (Belden)</t>
        </is>
      </c>
      <c r="G127" s="33" t="inlineStr">
        <is>
          <t>Complaint</t>
        </is>
      </c>
      <c r="H127" s="33" t="inlineStr">
        <is>
          <t>Missed Event</t>
        </is>
      </c>
      <c r="I127" s="33" t="inlineStr">
        <is>
          <t>Product</t>
        </is>
      </c>
      <c r="J127" s="33" t="inlineStr">
        <is>
          <t>Keyword Update</t>
        </is>
      </c>
      <c r="K127" s="33" t="inlineStr">
        <is>
          <t>Improvement</t>
        </is>
      </c>
      <c r="L127" s="33" t="inlineStr">
        <is>
          <t>Pending</t>
        </is>
      </c>
      <c r="M127" s="33" t="inlineStr">
        <is>
          <t>Keyword coverage for compound-semiconductor epiwafer and substrate pricing terminology, so a trade-press story on GaAs and InP price increases is matched rather than passing through an ingested feed unrecognised</t>
        </is>
      </c>
      <c r="N127" s="33" t="inlineStr">
        <is>
          <t>Yes</t>
        </is>
      </c>
      <c r="O127" s="33" t="inlineStr">
        <is>
          <t>The second of two events Belden raised in a single ticket; see the companion row for the gallium and germanium export-curb risk. This row covers the DigiTimes report of 02-Jul-2026 that compound-semiconductor epitaxy makers are raising GaAs and InP epiwafer prices amid rising input costs, supply-chain shortages and inflation.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DigiTimes is in the monitoring network, which rules out a source gap and establishes the Sub-type as a keyword gap. Recorded as a counterpoint on the same subject: DigiTimes of 04-May-2026 carried WIN Semiconductors stating that GaAs and InP supply still meets production demand despite higher substrate costs. That statement is not itself a reportable disruption, so it takes no row of its own.</t>
        </is>
      </c>
      <c r="P127" s="33" t="n"/>
      <c r="Q127" s="33" t="inlineStr">
        <is>
          <t>Yes</t>
        </is>
      </c>
      <c r="R127" s="39" t="n">
        <v>10</v>
      </c>
      <c r="S127" s="39" t="n"/>
      <c r="T127" s="35" t="inlineStr">
        <is>
          <t>Oct 2026</t>
        </is>
      </c>
      <c r="U127" s="33" t="inlineStr">
        <is>
          <t>Medium</t>
        </is>
      </c>
      <c r="V127" s="33" t="inlineStr">
        <is>
          <t>Dynamic Source Discovery</t>
        </is>
      </c>
      <c r="W127" s="33" t="inlineStr">
        <is>
          <t>EAO-54</t>
        </is>
      </c>
      <c r="X127" s="33" t="inlineStr">
        <is>
          <t>Keyword gap, not a source gap. DigiTimes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7" s="33" t="inlineStr">
        <is>
          <t>Product &amp; Platform</t>
        </is>
      </c>
      <c r="Z127" s="37" t="n"/>
    </row>
    <row r="128">
      <c r="A128" s="35" t="n">
        <v>46296</v>
      </c>
      <c r="B128" s="37" t="n">
        <v>46311</v>
      </c>
      <c r="C128" s="33" t="inlineStr">
        <is>
          <t>Merger &amp; Acquisition</t>
        </is>
      </c>
      <c r="D128" s="33" t="inlineStr">
        <is>
          <t>Irving Oil</t>
        </is>
      </c>
      <c r="E128" s="39" t="n">
        <v>1</v>
      </c>
      <c r="F128" s="33" t="inlineStr">
        <is>
          <t>WSP Acquisition of GCM Corpo - No EventWatch Notification (Irving Oil)</t>
        </is>
      </c>
      <c r="G128" s="33" t="inlineStr">
        <is>
          <t>Complaint</t>
        </is>
      </c>
      <c r="H128" s="33" t="inlineStr">
        <is>
          <t>Missed Event</t>
        </is>
      </c>
      <c r="I128" s="33" t="inlineStr">
        <is>
          <t>Product</t>
        </is>
      </c>
      <c r="J128" s="33" t="inlineStr">
        <is>
          <t>Keyword Update</t>
        </is>
      </c>
      <c r="K128" s="33" t="inlineStr">
        <is>
          <t>Improvement</t>
        </is>
      </c>
      <c r="L128" s="33" t="inlineStr">
        <is>
          <t>RCA Shared</t>
        </is>
      </c>
      <c r="M128" s="33" t="inlineStr">
        <is>
          <t>Coverage check for acquisition announcements carried only in French-language Canadian business press</t>
        </is>
      </c>
      <c r="N128" s="33" t="inlineStr">
        <is>
          <t>Yes</t>
        </is>
      </c>
      <c r="O128" s="33" t="inlineStr">
        <is>
          <t>Irving Oil reported that no event was published for WSP's acquisition of GCM Corpo. Customer Support checked the backend and found no event matching that title in the database. The supporting article is a French-language release in Le Devoir. RCA - WSP Global to Acquire GCM Corpo.docx was attached to the ticket by Nitin Rindhe on 21-Oct-2026 and sent to Prithviraj Bajpai. On the owner's rule that attaching the RCA completes the record, this row is RCA Shared. The ticket itself carries no resolution date, so Resolution Date stays blank. The RCA is an attachment and its text is not readable from the ticket, so RCA Details stays blank rather than carrying a paraphrase of a document nobody here can open. The cause named in that document is not known, so the Sub-type below is still the staging guess it was. The Sub-type is a staging guess: the ticket does not say the feed was not received, so Source Coverage is not supported on the evidence available. If the investigation names language as the cause, the Standard Automation Focus becomes Multilingual Keyword Expansion.</t>
        </is>
      </c>
      <c r="P128" s="33" t="n"/>
      <c r="Q128" s="33" t="inlineStr">
        <is>
          <t>Yes</t>
        </is>
      </c>
      <c r="R128" s="39" t="n">
        <v>10</v>
      </c>
      <c r="S128" s="39" t="n"/>
      <c r="T128" s="35" t="inlineStr">
        <is>
          <t>Oct 2026</t>
        </is>
      </c>
      <c r="U128" s="33" t="inlineStr">
        <is>
          <t>Medium</t>
        </is>
      </c>
      <c r="V128" s="33" t="inlineStr">
        <is>
          <t>Dynamic Source Discovery</t>
        </is>
      </c>
      <c r="W128" s="33" t="inlineStr">
        <is>
          <t>EAO-55</t>
        </is>
      </c>
      <c r="X128" s="33" t="n"/>
      <c r="Y128" s="33" t="inlineStr">
        <is>
          <t>Product &amp; Platform</t>
        </is>
      </c>
      <c r="Z128"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0.33980582524271846</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0.1262135922330097</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0.06796116504854369</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0.04854368932038835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GM</t>
        </is>
      </c>
      <c r="B71" s="22" t="n">
        <v>4</v>
      </c>
      <c r="C71" s="24" t="n">
        <v>0.038834951456310676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Belden Inc</t>
        </is>
      </c>
      <c r="B72" s="22" t="n">
        <v>3</v>
      </c>
      <c r="C72" s="24" t="n">
        <v>0.02912621359223301</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Ford/GM</t>
        </is>
      </c>
      <c r="B73" s="22" t="n">
        <v>3</v>
      </c>
      <c r="C73" s="24" t="n">
        <v>0.02912621359223301</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0.019417475728155338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Irving Oil</t>
        </is>
      </c>
      <c r="B75" s="22" t="n">
        <v>2</v>
      </c>
      <c r="C75" s="24" t="n">
        <v>0.019417475728155338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META</t>
        </is>
      </c>
      <c r="B76" s="22" t="n">
        <v>2</v>
      </c>
      <c r="C76" s="24" t="n">
        <v>0.019417475728155338</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14</v>
      </c>
      <c r="K76" s="76" t="n">
        <v>2</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4</v>
      </c>
      <c r="K83" s="76" t="n">
        <v>2</v>
      </c>
      <c r="L83" s="76" t="n">
        <v>6</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7</v>
      </c>
      <c r="K90" s="76" t="n">
        <v>3</v>
      </c>
      <c r="L90" s="76" t="n">
        <v>10</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103</v>
      </c>
      <c r="K93" s="77" t="n">
        <v>24</v>
      </c>
      <c r="L93" s="77" t="n">
        <v>127</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7"/>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cross-tenant leakage and entity mislinkage. Use Incorrect Geocode where a site's own stored coordinates are wrong, and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row r="167" ht="30.75" customHeight="1">
      <c r="A167" s="42" t="inlineStr">
        <is>
          <t>Sub-type</t>
        </is>
      </c>
      <c r="B167" s="41" t="inlineStr">
        <is>
          <t>Incorrect Geocode</t>
        </is>
      </c>
      <c r="C167" s="41" t="inlineStr">
        <is>
          <t>The supplier site's stored geographic coordinates do not match its actual address, so a correctly drawn geofence selected a site that is not in the affected area.</t>
        </is>
      </c>
      <c r="D167" s="41" t="inlineStr">
        <is>
          <t>Detailed cause/handling category. The geofence and the automated selection both behaved correctly; the coordinates on the site record did not match the address. Owned by the Data team, who maintain supplier geocoding. Use Mapping / Routing Defect for tenant or entity linkage, and Supplier / Site Not Shared where the site was never provided at all.</t>
        </is>
      </c>
      <c r="E167" s="41" t="inlineStr">
        <is>
          <t>Sub-type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